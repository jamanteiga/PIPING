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eyenda" sheetId="1" state="visible" r:id="rId3"/>
    <sheet name="Parámetros" sheetId="2" state="visible" r:id="rId4"/>
    <sheet name="Packs" sheetId="3" state="visible" r:id="rId5"/>
    <sheet name="Accesorios" sheetId="4" state="visible" r:id="rId6"/>
    <sheet name="Fuentes" sheetId="5" state="visible" r:id="rId7"/>
  </sheets>
  <definedNames>
    <definedName function="false" hidden="true" localSheetId="3" name="_xlnm._FilterDatabase" vbProcedure="false">Accesorios!$A$1:$AC$129</definedName>
    <definedName function="false" hidden="true" localSheetId="2" name="_xlnm._FilterDatabase" vbProcedure="false">Packs!$A$1:$I$70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Referencia: diámetro interior del tubo de acero Sch 40 (ASME B36.10M) de esa medida, como aproximación del paso de la rosca. Verificar con el fabricante.</t>
        </r>
      </text>
    </comment>
    <comment ref="E5" authorId="0">
      <text>
        <r>
          <rPr>
            <sz val="10"/>
            <rFont val="Arial"/>
            <family val="2"/>
          </rPr>
          <t xml:space="preserve">Diámetros de paso ESTIMADOS de insertos de accesorios de compresión PP para tubo PE (orden típico de fabricantes españoles). Sustitúyelos por los del catálogo del fabricante real.</t>
        </r>
      </text>
    </comment>
  </commentList>
</comments>
</file>

<file path=xl/sharedStrings.xml><?xml version="1.0" encoding="utf-8"?>
<sst xmlns="http://schemas.openxmlformats.org/spreadsheetml/2006/main" count="2023" uniqueCount="589">
  <si>
    <t xml:space="preserve">Accesorios de polietileno · La Tienda del Jardín · plantilla para la base de datos de PIPING</t>
  </si>
  <si>
    <t xml:space="preserve">Qué contiene</t>
  </si>
  <si>
    <t xml:space="preserve">• Hoja «Accesorios»: una fila por pieza y medida, con los tipos y medidas leídos de latiendadeljardin.com (categoría 118 «Piezas de polietileno»).</t>
  </si>
  <si>
    <t xml:space="preserve">• Hoja «Parámetros»: medidas del tubo PE de referencia, diámetros de paso de los insertos y de las roscas, fT de Crane y coeficientes por tipo de pieza.</t>
  </si>
  <si>
    <t xml:space="preserve">• Hoja «Packs»: los packs de 4 o 5 unidades y los kits de riego de la tienda, enlazados a su pieza, con el precio por unidad.</t>
  </si>
  <si>
    <t xml:space="preserve">• Hoja «Fuentes»: de dónde sale cada dato.</t>
  </si>
  <si>
    <t xml:space="preserve">Colores</t>
  </si>
  <si>
    <t xml:space="preserve">• Texto azul: dato introducido (de la tienda o supuesto). Texto negro: fórmula, no la toques.</t>
  </si>
  <si>
    <t xml:space="preserve">• Precio: el de la pieza suelta es el «desde» de la tienda (medida más pequeña); el de pack es el de esa medida.</t>
  </si>
  <si>
    <t xml:space="preserve">• Fondo amarillo: dato que hay que verificar o completar. Sobre todo: diámetros de paso, roscas equivalentes y precio por medida.</t>
  </si>
  <si>
    <t xml:space="preserve">Cómo se calcula el K (Crane TP-410M, fórmulas 5 y 6, θ = 180°: estrechamiento brusco del inserto)</t>
  </si>
  <si>
    <t xml:space="preserve">K (referido a la velocidad en el tubo de salida, Dint2) = [K1 + 0,5·(1 − (dp/Dint1)²) + (1 − (dp/Dint2)²)²] · (Dint2/dp)⁴</t>
  </si>
  <si>
    <t xml:space="preserve">  dp = diámetro de paso del inserto; Dint1 = tubo de entrada; Dint2 = tubo de salida; K1 = n·fT (n de la hoja Parámetros).</t>
  </si>
  <si>
    <t xml:space="preserve">  Pieza igual (Dint1 = Dint2): es la fórmula 6 de Crane. Reducida: contracción desde el tubo mayor y expansión al menor.</t>
  </si>
  <si>
    <t xml:space="preserve">  «K sentido inverso»: el flujo va de la medida menor a la mayor; el K sigue referido al tubo menor.</t>
  </si>
  <si>
    <t xml:space="preserve">  Te: el paso directo usa la medida principal; la derivación usa n = 60 y queda referida al tubo de la derivación.</t>
  </si>
  <si>
    <t xml:space="preserve">  Piezas roscadas (machón, tuerca, manguito): igual, con los diámetros de paso de rosca y K adicional de Perry (0,04).</t>
  </si>
  <si>
    <t xml:space="preserve">  Pasamuros y adaptador de depósito: K de entrada a ras 0,5 y de salida 1,0 (Crane A-30).</t>
  </si>
  <si>
    <t xml:space="preserve">Pasos</t>
  </si>
  <si>
    <t xml:space="preserve">1. Revisa en «Parámetros» los diámetros de paso (amarillo). Fabricante según la tienda: Suinga; su catálogo técnico da el paso real de cada medida.</t>
  </si>
  <si>
    <t xml:space="preserve">2. Revisa en «Accesorios» las roscas equivalentes y los precios por medida (la tienda da un solo precio por artículo).</t>
  </si>
  <si>
    <t xml:space="preserve">3. Añade o borra filas copiando una fila del mismo tipo: las fórmulas se ajustan solas.</t>
  </si>
  <si>
    <t xml:space="preserve">4. Cuando esté revisada, pásamela y genero el SQL para Supabase (13_accesorios_pe.sql). Saldrá en Librerías › Accesorios, filtrada como plástico.</t>
  </si>
  <si>
    <t xml:space="preserve">Parámetros del cálculo</t>
  </si>
  <si>
    <t xml:space="preserve">Tubo PE de referencia: PE100 SDR 11 (PN 16) · EN 12201-2</t>
  </si>
  <si>
    <t xml:space="preserve">d (mm)</t>
  </si>
  <si>
    <t xml:space="preserve">Rosca BSP equivalente</t>
  </si>
  <si>
    <t xml:space="preserve">e (mm)</t>
  </si>
  <si>
    <t xml:space="preserve">Dint tubo (mm)</t>
  </si>
  <si>
    <t xml:space="preserve">d paso inserto (mm)</t>
  </si>
  <si>
    <t xml:space="preserve">NPS para fT</t>
  </si>
  <si>
    <t xml:space="preserve">fT (Crane)</t>
  </si>
  <si>
    <t xml:space="preserve">1/2"</t>
  </si>
  <si>
    <t xml:space="preserve">3/4"</t>
  </si>
  <si>
    <t xml:space="preserve">1"</t>
  </si>
  <si>
    <t xml:space="preserve">1 1/4"</t>
  </si>
  <si>
    <t xml:space="preserve">1 1/2"</t>
  </si>
  <si>
    <t xml:space="preserve">2"</t>
  </si>
  <si>
    <t xml:space="preserve">2 1/2"</t>
  </si>
  <si>
    <t xml:space="preserve">3"</t>
  </si>
  <si>
    <t xml:space="preserve">Piezas roscadas BSP: diámetro de paso de referencia</t>
  </si>
  <si>
    <t xml:space="preserve">Rosca</t>
  </si>
  <si>
    <t xml:space="preserve">d paso (mm)</t>
  </si>
  <si>
    <t xml:space="preserve">Coeficientes por tipo de pieza: K1 = n·fT (Crane A-29) y K adicional fijo</t>
  </si>
  <si>
    <t xml:space="preserve">Clave</t>
  </si>
  <si>
    <t xml:space="preserve">Pieza</t>
  </si>
  <si>
    <t xml:space="preserve">n paso</t>
  </si>
  <si>
    <t xml:space="preserve">n derivación</t>
  </si>
  <si>
    <t xml:space="preserve">K adicional fijo</t>
  </si>
  <si>
    <t xml:space="preserve">Fuente</t>
  </si>
  <si>
    <t xml:space="preserve">MANG</t>
  </si>
  <si>
    <t xml:space="preserve">Manguito / enlace de compresión (cuerpo recto)</t>
  </si>
  <si>
    <t xml:space="preserve">Solo pérdida del inserto (Crane fórm. 6)</t>
  </si>
  <si>
    <t xml:space="preserve">CODO</t>
  </si>
  <si>
    <t xml:space="preserve">Codo 90° (cuerpo de codo estándar)</t>
  </si>
  <si>
    <t xml:space="preserve">Crane A-29: codo estándar 90° = 30·fT</t>
  </si>
  <si>
    <t xml:space="preserve">TE</t>
  </si>
  <si>
    <t xml:space="preserve">Te (paso directo / derivación)</t>
  </si>
  <si>
    <t xml:space="preserve">Crane A-29: te paso 20·fT, derivación 60·fT</t>
  </si>
  <si>
    <t xml:space="preserve">ROSC</t>
  </si>
  <si>
    <t xml:space="preserve">Pieza roscada recta (machón, manguito, tuerca)</t>
  </si>
  <si>
    <t xml:space="preserve">Perry: manguito / unión 0,04</t>
  </si>
  <si>
    <t xml:space="preserve">DEP</t>
  </si>
  <si>
    <t xml:space="preserve">Pasamuros / adaptador de depósito</t>
  </si>
  <si>
    <t xml:space="preserve">Crane A-30: entrada a ras 0,5 · salida 1,0</t>
  </si>
  <si>
    <t xml:space="preserve">Ref. pack</t>
  </si>
  <si>
    <t xml:space="preserve">Artículo (tienda)</t>
  </si>
  <si>
    <t xml:space="preserve">Unidades</t>
  </si>
  <si>
    <t xml:space="preserve">Código de la pieza</t>
  </si>
  <si>
    <t xml:space="preserve">Precio pack (€, IVA incl.)</t>
  </si>
  <si>
    <t xml:space="preserve">Precio por unidad (€)</t>
  </si>
  <si>
    <t xml:space="preserve">K paso de la pieza</t>
  </si>
  <si>
    <t xml:space="preserve">URL</t>
  </si>
  <si>
    <t xml:space="preserve">Notas</t>
  </si>
  <si>
    <t xml:space="preserve">5220_x4</t>
  </si>
  <si>
    <t xml:space="preserve">Pack 4 Manguito Polietileno 20mm (Aenor)</t>
  </si>
  <si>
    <t xml:space="preserve">PE-MI-20</t>
  </si>
  <si>
    <t xml:space="preserve">https://latiendadeljardin.com/es/piezas-de-polietileno/3193-enlace-manguito-polietileno-20mm-pack4.html</t>
  </si>
  <si>
    <t xml:space="preserve">5225_x4</t>
  </si>
  <si>
    <t xml:space="preserve">Pack 4 Manguito Polietileno 25mm (Aenor)</t>
  </si>
  <si>
    <t xml:space="preserve">PE-MI-25</t>
  </si>
  <si>
    <t xml:space="preserve">https://latiendadeljardin.com/es/piezas-de-polietileno/3195-enlace-manguito-polietileno-25mm-pack4.html</t>
  </si>
  <si>
    <t xml:space="preserve">5232_x4</t>
  </si>
  <si>
    <t xml:space="preserve">Pack 4 Manguito Polietileno 32mm (Aenor)</t>
  </si>
  <si>
    <t xml:space="preserve">PE-MI-32</t>
  </si>
  <si>
    <t xml:space="preserve">https://latiendadeljardin.com/es/piezas-de-polietileno/3196-enlace-manguito-polietileno-32mm-pack4-8420082100900.html</t>
  </si>
  <si>
    <t xml:space="preserve">5240_x4</t>
  </si>
  <si>
    <t xml:space="preserve">Pack 4 Manguito Polietileno 40mm (Aenor)</t>
  </si>
  <si>
    <t xml:space="preserve">PE-MI-40</t>
  </si>
  <si>
    <t xml:space="preserve">https://latiendadeljardin.com/es/piezas-de-polietileno/3197-enlace-manguito-polietileno-40mm-pack4.html</t>
  </si>
  <si>
    <t xml:space="preserve">5250_x4</t>
  </si>
  <si>
    <t xml:space="preserve">Pack 4 Manguito Polietileno 50mm (Aenor)</t>
  </si>
  <si>
    <t xml:space="preserve">PE-MI-50</t>
  </si>
  <si>
    <t xml:space="preserve">https://latiendadeljardin.com/es/piezas-de-polietileno/3198-enlace-manguito-polietileno-50mm-pack4-8420082100924.html</t>
  </si>
  <si>
    <t xml:space="preserve">5263_x4</t>
  </si>
  <si>
    <t xml:space="preserve">Pack 4 Manguito Polietileno 63mm (Aenor)</t>
  </si>
  <si>
    <t xml:space="preserve">PE-MI-63</t>
  </si>
  <si>
    <t xml:space="preserve">https://latiendadeljardin.com/es/piezas-de-polietileno/3199-enlace-manguito-polietileno-63mm-pack4.html</t>
  </si>
  <si>
    <t xml:space="preserve">5275_x5</t>
  </si>
  <si>
    <t xml:space="preserve">Pack 5 Manguito Polietileno 75mm (Aenor)</t>
  </si>
  <si>
    <t xml:space="preserve">PE-MI-75</t>
  </si>
  <si>
    <t xml:space="preserve">https://latiendadeljardin.com/es/piezas-de-polietileno/3200-enlace-manguito-polietileno-75mm-pack5.html</t>
  </si>
  <si>
    <t xml:space="preserve">5290_x5</t>
  </si>
  <si>
    <t xml:space="preserve">Pack 5 Manguito Polietileno 90mm (Aenor)</t>
  </si>
  <si>
    <t xml:space="preserve">PE-MI-90</t>
  </si>
  <si>
    <t xml:space="preserve">https://latiendadeljardin.com/es/piezas-de-polietileno/3201-enlace-manguito-polietileno-90mm-pack5.html</t>
  </si>
  <si>
    <t xml:space="preserve">MR2520_x4</t>
  </si>
  <si>
    <t xml:space="preserve">Pack 4 Manguito Reducido Polietileno 25 a 20 mm (Aenor)</t>
  </si>
  <si>
    <t xml:space="preserve">PE-MR-25x20</t>
  </si>
  <si>
    <t xml:space="preserve">https://latiendadeljardin.com/es/piezas-de-polietileno/3256-enlace-manguito-reducido-25-20mm-pack4.html</t>
  </si>
  <si>
    <t xml:space="preserve">MR3225_x4</t>
  </si>
  <si>
    <t xml:space="preserve">Pack 4 Manguito Reducido Polietileno 32 a 25 mm (Aenor)</t>
  </si>
  <si>
    <t xml:space="preserve">PE-MR-32x25</t>
  </si>
  <si>
    <t xml:space="preserve">https://latiendadeljardin.com/es/piezas-de-polietileno/3257-enlace-manguito-reducido-32-25mm-pack4.html</t>
  </si>
  <si>
    <t xml:space="preserve">MR4032_x4</t>
  </si>
  <si>
    <t xml:space="preserve">Pack 4 Manguito Reducido Polietileno 40 a 32 mm (Aenor)</t>
  </si>
  <si>
    <t xml:space="preserve">PE-MR-40x32</t>
  </si>
  <si>
    <t xml:space="preserve">https://latiendadeljardin.com/es/piezas-de-polietileno/3258-enlace-manguito-reducido-40-32mm-pack4.html</t>
  </si>
  <si>
    <t xml:space="preserve">MR5040_x4</t>
  </si>
  <si>
    <t xml:space="preserve">Pack 4 Manguito Reducido Polietileno 50 a 40 mm (Aenor)</t>
  </si>
  <si>
    <t xml:space="preserve">PE-MR-50x40</t>
  </si>
  <si>
    <t xml:space="preserve">https://latiendadeljardin.com/es/piezas-de-polietileno/3259-enlace-manguito-reducido-50-40mm-pack4.html</t>
  </si>
  <si>
    <t xml:space="preserve">MR6350_x4</t>
  </si>
  <si>
    <t xml:space="preserve">Pack 4 Manguito Reducido Polietileno 63 a 50 mm (Aenor)</t>
  </si>
  <si>
    <t xml:space="preserve">PE-MR-63x50</t>
  </si>
  <si>
    <t xml:space="preserve">https://latiendadeljardin.com/es/piezas-de-polietileno/3260-enlace-manguito-reducido-63-50mm-pack4.html</t>
  </si>
  <si>
    <t xml:space="preserve">MR7563_x4</t>
  </si>
  <si>
    <t xml:space="preserve">Pack 4 Manguito Reducido Polietileno 75 a 63 mm (Aenor)</t>
  </si>
  <si>
    <t xml:space="preserve">PE-MR-75x63</t>
  </si>
  <si>
    <t xml:space="preserve">https://latiendadeljardin.com/es/piezas-de-polietileno/3261-enlace-manguito-reducido-75-63mm-pack4.html</t>
  </si>
  <si>
    <t xml:space="preserve">MR9075_x4</t>
  </si>
  <si>
    <t xml:space="preserve">Pack 4 Manguito Reducido Polietileno 90 a 75 mm (Aenor)</t>
  </si>
  <si>
    <t xml:space="preserve">PE-MR-90x75</t>
  </si>
  <si>
    <t xml:space="preserve">https://latiendadeljardin.com/es/piezas-de-polietileno/3262-enlace-manguito-reducido-90-75mm-pack4.html</t>
  </si>
  <si>
    <t xml:space="preserve">5920_x4</t>
  </si>
  <si>
    <t xml:space="preserve">Pack 4 Tapón Polietileno 20mm (Aenor)</t>
  </si>
  <si>
    <t xml:space="preserve">PE-TF-20</t>
  </si>
  <si>
    <t xml:space="preserve">https://latiendadeljardin.com/es/piezas-de-polietileno/3153-tapon-final-polietileno-20mm-pack4.html</t>
  </si>
  <si>
    <t xml:space="preserve">No confirmado: no se pudo leer en la tienda</t>
  </si>
  <si>
    <t xml:space="preserve">5925_x4</t>
  </si>
  <si>
    <t xml:space="preserve">Pack 4 Tapón Polietileno 25mm (Aenor)</t>
  </si>
  <si>
    <t xml:space="preserve">PE-TF-25</t>
  </si>
  <si>
    <t xml:space="preserve">https://latiendadeljardin.com/es/piezas-de-polietileno/3154-tapon-final-polietileno-25mm-pack4.html</t>
  </si>
  <si>
    <t xml:space="preserve">5932_x4</t>
  </si>
  <si>
    <t xml:space="preserve">Pack 4 Tapón Polietileno 32mm (Aenor)</t>
  </si>
  <si>
    <t xml:space="preserve">PE-TF-32</t>
  </si>
  <si>
    <t xml:space="preserve">https://latiendadeljardin.com/es/piezas-de-polietileno/3155-tapon-final-polietileno-32mm-pack4.html</t>
  </si>
  <si>
    <t xml:space="preserve">5940_x4</t>
  </si>
  <si>
    <t xml:space="preserve">Pack 4 Tapón Polietileno 40mm (Aenor)</t>
  </si>
  <si>
    <t xml:space="preserve">PE-TF-40</t>
  </si>
  <si>
    <t xml:space="preserve">https://latiendadeljardin.com/es/piezas-de-polietileno/3156-tapon-final-polietileno-40mm-pack4.html</t>
  </si>
  <si>
    <t xml:space="preserve">5950_x4</t>
  </si>
  <si>
    <t xml:space="preserve">Pack 4 Tapón Polietileno 50mm (Aenor)</t>
  </si>
  <si>
    <t xml:space="preserve">PE-TF-50</t>
  </si>
  <si>
    <t xml:space="preserve">https://latiendadeljardin.com/es/piezas-de-polietileno/3157-tapon-final-polietileno-50mm-pack4.html</t>
  </si>
  <si>
    <t xml:space="preserve">5963_x4</t>
  </si>
  <si>
    <t xml:space="preserve">Pack 4 Tapón Polietileno 63mm (Aenor)</t>
  </si>
  <si>
    <t xml:space="preserve">PE-TF-63</t>
  </si>
  <si>
    <t xml:space="preserve">https://latiendadeljardin.com/es/piezas-de-polietileno/3158-tapon-final-polietileno-63mm-pack4.html</t>
  </si>
  <si>
    <t xml:space="preserve">5975_x4</t>
  </si>
  <si>
    <t xml:space="preserve">Pack 4 Tapón Polietileno 75mm (Aenor)</t>
  </si>
  <si>
    <t xml:space="preserve">PE-TF-75</t>
  </si>
  <si>
    <t xml:space="preserve">https://latiendadeljardin.com/es/piezas-de-polietileno/3159-tapon-final-polietileno-75mm-pack4.html</t>
  </si>
  <si>
    <t xml:space="preserve">5120_x4</t>
  </si>
  <si>
    <t xml:space="preserve">Pack 4 Enlace Hembra Polietileno 20mm x 1/2" (Aenor)</t>
  </si>
  <si>
    <t xml:space="preserve">PE-EH-20</t>
  </si>
  <si>
    <t xml:space="preserve">https://latiendadeljardin.com/es/piezas-de-polietileno/3347-enlace-hembra-pe-20mm-pack4.html</t>
  </si>
  <si>
    <t xml:space="preserve">5125_x4</t>
  </si>
  <si>
    <t xml:space="preserve">Pack 4 Enlace Hembra Polietileno 25mm x 3/4" (Aenor)</t>
  </si>
  <si>
    <t xml:space="preserve">PE-EH-25</t>
  </si>
  <si>
    <t xml:space="preserve">https://latiendadeljardin.com/es/piezas-de-polietileno/3348-enlace-hembra-pe-25mm-pack4.html</t>
  </si>
  <si>
    <t xml:space="preserve">5132_x4</t>
  </si>
  <si>
    <t xml:space="preserve">Pack 4 Enlace Hembra Polietileno 32mm x 1" (Aenor)</t>
  </si>
  <si>
    <t xml:space="preserve">PE-EH-32</t>
  </si>
  <si>
    <t xml:space="preserve">https://latiendadeljardin.com/es/piezas-de-polietileno/3349-enlace-hembra-pe-32mm-pack4.html</t>
  </si>
  <si>
    <t xml:space="preserve">5140_x4</t>
  </si>
  <si>
    <t xml:space="preserve">Pack 4 Enlace Hembra Polietileno 40mm x 1 1/4" (Aenor)</t>
  </si>
  <si>
    <t xml:space="preserve">PE-EH-40</t>
  </si>
  <si>
    <t xml:space="preserve">https://latiendadeljardin.com/es/piezas-de-polietileno/3350-enlace-hembra-pe-40mm-pack4.html</t>
  </si>
  <si>
    <t xml:space="preserve">5150_x4</t>
  </si>
  <si>
    <t xml:space="preserve">Pack 4 Enlace Hembra Polietileno 50mm x 1 1/2" (Aenor)</t>
  </si>
  <si>
    <t xml:space="preserve">PE-EH-50</t>
  </si>
  <si>
    <t xml:space="preserve">https://latiendadeljardin.com/es/piezas-de-polietileno/3351-enlace-hembra-pe-50mm-pack4.html</t>
  </si>
  <si>
    <t xml:space="preserve">5163_x4</t>
  </si>
  <si>
    <t xml:space="preserve">Pack 4 Enlace Hembra Polietileno 63mm x 2" (Aenor)</t>
  </si>
  <si>
    <t xml:space="preserve">PE-EH-63</t>
  </si>
  <si>
    <t xml:space="preserve">https://latiendadeljardin.com/es/piezas-de-polietileno/3352-enlace-hembra-pe-63mm-pack4.html</t>
  </si>
  <si>
    <t xml:space="preserve">5175_x4</t>
  </si>
  <si>
    <t xml:space="preserve">Pack 4 Enlace Hembra Polietileno 75mm x 2 1/2" (Aenor)</t>
  </si>
  <si>
    <t xml:space="preserve">PE-EH-75</t>
  </si>
  <si>
    <t xml:space="preserve">https://latiendadeljardin.com/es/piezas-de-polietileno/3353-enlace-hembra-pe-75mm-pack4.html</t>
  </si>
  <si>
    <t xml:space="preserve">5190_x4</t>
  </si>
  <si>
    <t xml:space="preserve">Pack 4 Enlace Hembra Polietileno 90mm x 3" (Aenor)</t>
  </si>
  <si>
    <t xml:space="preserve">PE-EH-90</t>
  </si>
  <si>
    <t xml:space="preserve">https://latiendadeljardin.com/es/piezas-de-polietileno/3354-enlace-hembra-pe-90mm-pack4.html</t>
  </si>
  <si>
    <t xml:space="preserve">5020_x4</t>
  </si>
  <si>
    <t xml:space="preserve">Pack 4 Enlace Macho Polietileno 20mm x 1/2" (Aenor)</t>
  </si>
  <si>
    <t xml:space="preserve">PE-EM-20</t>
  </si>
  <si>
    <t xml:space="preserve">https://latiendadeljardin.com/es/piezas-de-polietileno/16513-4-enlace-macho-polietileno-20mm.html</t>
  </si>
  <si>
    <t xml:space="preserve">5025_x4</t>
  </si>
  <si>
    <t xml:space="preserve">Pack 4 Enlace Macho Polietileno 25mm x 3/4" (Aenor)</t>
  </si>
  <si>
    <t xml:space="preserve">PE-EM-25</t>
  </si>
  <si>
    <t xml:space="preserve">https://latiendadeljardin.com/es/piezas-de-polietileno/16514-4-enlace-macho-polietileno-25mm.html</t>
  </si>
  <si>
    <t xml:space="preserve">5032_x4</t>
  </si>
  <si>
    <t xml:space="preserve">Pack 4 Enlace Macho Polietileno 32mm x 1" (Aenor)</t>
  </si>
  <si>
    <t xml:space="preserve">PE-EM-32</t>
  </si>
  <si>
    <t xml:space="preserve">https://latiendadeljardin.com/es/piezas-de-polietileno/16515-4-enlace-macho-polietileno-32mm.html</t>
  </si>
  <si>
    <t xml:space="preserve">5040_x4</t>
  </si>
  <si>
    <t xml:space="preserve">Pack 4 Enlace Macho Polietileno 40mm x 1 1/4" (Aenor)</t>
  </si>
  <si>
    <t xml:space="preserve">PE-EM-40</t>
  </si>
  <si>
    <t xml:space="preserve">https://latiendadeljardin.com/es/piezas-de-polietileno/16516-4-enlace-macho-polietileno-40mm.html</t>
  </si>
  <si>
    <t xml:space="preserve">5050_x4</t>
  </si>
  <si>
    <t xml:space="preserve">Pack 4 Enlace Macho Polietileno 50mm x 1 1/2" (Aenor)</t>
  </si>
  <si>
    <t xml:space="preserve">PE-EM-50</t>
  </si>
  <si>
    <t xml:space="preserve">https://latiendadeljardin.com/es/piezas-de-polietileno/16517-4-enlace-macho-polietileno-50mm.html</t>
  </si>
  <si>
    <t xml:space="preserve">5063_x4</t>
  </si>
  <si>
    <t xml:space="preserve">Pack 4 Enlace Macho Polietileno 63mm x 2" (Aenor)</t>
  </si>
  <si>
    <t xml:space="preserve">PE-EM-63</t>
  </si>
  <si>
    <t xml:space="preserve">https://latiendadeljardin.com/es/piezas-de-polietileno/16518-4-enlace-macho-polietileno-63mm.html</t>
  </si>
  <si>
    <t xml:space="preserve">5075_x4</t>
  </si>
  <si>
    <t xml:space="preserve">Pack 4 Enlace Macho Polietileno 75mm x 2 1/2" (Aenor)</t>
  </si>
  <si>
    <t xml:space="preserve">PE-EM-75</t>
  </si>
  <si>
    <t xml:space="preserve">https://latiendadeljardin.com/es/piezas-de-polietileno/16519-4-enlace-macho-polietileno-75mm.html</t>
  </si>
  <si>
    <t xml:space="preserve">5090_x4</t>
  </si>
  <si>
    <t xml:space="preserve">Pack 4 Enlace Macho Polietileno 90mm x 3" (Aenor)</t>
  </si>
  <si>
    <t xml:space="preserve">PE-EM-90</t>
  </si>
  <si>
    <t xml:space="preserve">https://latiendadeljardin.com/es/piezas-de-polietileno/16520-4-enlace-macho-polietileno-90mm.html</t>
  </si>
  <si>
    <t xml:space="preserve">5420_x4</t>
  </si>
  <si>
    <t xml:space="preserve">Pack 4 Te Polietileno 20mm (Aenor)</t>
  </si>
  <si>
    <t xml:space="preserve">PE-TI-20</t>
  </si>
  <si>
    <t xml:space="preserve">https://latiendadeljardin.com/es/piezas-de-polietileno/16521-4-te-polietileno-20mm.html</t>
  </si>
  <si>
    <t xml:space="preserve">5425_x4</t>
  </si>
  <si>
    <t xml:space="preserve">Pack 4 Te Polietileno 25mm (Aenor)</t>
  </si>
  <si>
    <t xml:space="preserve">PE-TI-25</t>
  </si>
  <si>
    <t xml:space="preserve">https://latiendadeljardin.com/es/piezas-de-polietileno/16522-4-te-polietileno-25mm.html</t>
  </si>
  <si>
    <t xml:space="preserve">5432_x4</t>
  </si>
  <si>
    <t xml:space="preserve">Pack 4 Te Polietileno 32mm (Aenor)</t>
  </si>
  <si>
    <t xml:space="preserve">PE-TI-32</t>
  </si>
  <si>
    <t xml:space="preserve">https://latiendadeljardin.com/es/piezas-de-polietileno/16523-4-te-polietileno-32mm.html</t>
  </si>
  <si>
    <t xml:space="preserve">5440_x4</t>
  </si>
  <si>
    <t xml:space="preserve">Pack 4 Te Polietileno 40mm (Aenor)</t>
  </si>
  <si>
    <t xml:space="preserve">PE-TI-40</t>
  </si>
  <si>
    <t xml:space="preserve">https://latiendadeljardin.com/es/piezas-de-polietileno/16524-4-te-polietileno-40mm.html</t>
  </si>
  <si>
    <t xml:space="preserve">5450_x4</t>
  </si>
  <si>
    <t xml:space="preserve">Pack 4 Te Polietileno 50mm (Aenor)</t>
  </si>
  <si>
    <t xml:space="preserve">PE-TI-50</t>
  </si>
  <si>
    <t xml:space="preserve">https://latiendadeljardin.com/es/piezas-de-polietileno/16525-4-te-polietileno-50mm.html</t>
  </si>
  <si>
    <t xml:space="preserve">5463_x4</t>
  </si>
  <si>
    <t xml:space="preserve">Pack 4 Te Polietileno 63mm (Aenor)</t>
  </si>
  <si>
    <t xml:space="preserve">PE-TI-63</t>
  </si>
  <si>
    <t xml:space="preserve">https://latiendadeljardin.com/es/piezas-de-polietileno/16526-4-te-polietileno-63mm.html</t>
  </si>
  <si>
    <t xml:space="preserve">5475_x4</t>
  </si>
  <si>
    <t xml:space="preserve">Pack 4 Te Polietileno 75mm (Aenor)</t>
  </si>
  <si>
    <t xml:space="preserve">PE-TI-75</t>
  </si>
  <si>
    <t xml:space="preserve">https://latiendadeljardin.com/es/piezas-de-polietileno/16527-4-te-polietileno-75mm.html</t>
  </si>
  <si>
    <t xml:space="preserve">5490_x4</t>
  </si>
  <si>
    <t xml:space="preserve">Pack 4 Te Polietileno 90mm (Aenor)</t>
  </si>
  <si>
    <t xml:space="preserve">PE-TI-90</t>
  </si>
  <si>
    <t xml:space="preserve">https://latiendadeljardin.com/es/piezas-de-polietileno/16528-4-te-polietileno-90mm.html</t>
  </si>
  <si>
    <t xml:space="preserve">5520_x4</t>
  </si>
  <si>
    <t xml:space="preserve">Pack 4 Te Polietileno 20mm x 1/2" hembra (Aenor)</t>
  </si>
  <si>
    <t xml:space="preserve">PE-TH-20</t>
  </si>
  <si>
    <t xml:space="preserve">https://latiendadeljardin.com/es/piezas-de-polietileno/18269-4-te-polietileno-hembra-20mm.html</t>
  </si>
  <si>
    <t xml:space="preserve">5525_x4</t>
  </si>
  <si>
    <t xml:space="preserve">Pack 4 Te Polietileno 25mm x 3/4" hembra (Aenor)</t>
  </si>
  <si>
    <t xml:space="preserve">PE-TH-25</t>
  </si>
  <si>
    <t xml:space="preserve">https://latiendadeljardin.com/es/piezas-de-polietileno/18270-4-te-polietileno-hembra-25mm.html</t>
  </si>
  <si>
    <t xml:space="preserve">5532_x4</t>
  </si>
  <si>
    <t xml:space="preserve">Pack 4 Te Polietileno 32mm x 1" hembra (Aenor)</t>
  </si>
  <si>
    <t xml:space="preserve">PE-TH-32</t>
  </si>
  <si>
    <t xml:space="preserve">https://latiendadeljardin.com/es/piezas-de-polietileno/16562-4-te-polietileno-hembra-32mm.html</t>
  </si>
  <si>
    <t xml:space="preserve">5540_x4</t>
  </si>
  <si>
    <t xml:space="preserve">Pack 4 Te Polietileno 40mm x 1 1/4" hembra (Aenor)</t>
  </si>
  <si>
    <t xml:space="preserve">PE-TH-40</t>
  </si>
  <si>
    <t xml:space="preserve">https://latiendadeljardin.com/es/piezas-de-polietileno/16563-4-te-polietileno-hembra-40mm.html</t>
  </si>
  <si>
    <t xml:space="preserve">5550_x4</t>
  </si>
  <si>
    <t xml:space="preserve">Pack 4 Te Polietileno 50mm x 1 1/2" hembra (Aenor)</t>
  </si>
  <si>
    <t xml:space="preserve">PE-TH-50</t>
  </si>
  <si>
    <t xml:space="preserve">https://latiendadeljardin.com/es/piezas-de-polietileno/16564-4-te-polietileno-hembra-50mm.html</t>
  </si>
  <si>
    <t xml:space="preserve">5563_x4</t>
  </si>
  <si>
    <t xml:space="preserve">Pack 4 Te Polietileno 63mm x 2" hembra (Aenor)</t>
  </si>
  <si>
    <t xml:space="preserve">PE-TH-63</t>
  </si>
  <si>
    <t xml:space="preserve">https://latiendadeljardin.com/es/piezas-de-polietileno/16565-4-te-polietileno-hembra-63mm.html</t>
  </si>
  <si>
    <t xml:space="preserve">5575_x4</t>
  </si>
  <si>
    <t xml:space="preserve">Pack 4 Te Polietileno 75mm x 2 1/2" hembra (Aenor)</t>
  </si>
  <si>
    <t xml:space="preserve">PE-TH-75</t>
  </si>
  <si>
    <t xml:space="preserve">https://latiendadeljardin.com/es/piezas-de-polietileno/16566-4-te-polietileno-hembra-75mm.html</t>
  </si>
  <si>
    <t xml:space="preserve">Más caro que el pack de 90 mm: revisar en la tienda</t>
  </si>
  <si>
    <t xml:space="preserve">5590_x4</t>
  </si>
  <si>
    <t xml:space="preserve">Pack 4 Te Polietileno 90mm x 3" hembra (Aenor)</t>
  </si>
  <si>
    <t xml:space="preserve">PE-TH-90</t>
  </si>
  <si>
    <t xml:space="preserve">https://latiendadeljardin.com/es/piezas-de-polietileno/16567-4-te-polietileno-hembra-90mm.html</t>
  </si>
  <si>
    <t xml:space="preserve">5620_x4</t>
  </si>
  <si>
    <t xml:space="preserve">Pack 4 Codo Polietileno 20mm (Aenor)</t>
  </si>
  <si>
    <t xml:space="preserve">PE-CI-20</t>
  </si>
  <si>
    <t xml:space="preserve">https://latiendadeljardin.com/es/piezas-de-polietileno/17568-pack-4-codo-polietileno-20mm.html</t>
  </si>
  <si>
    <t xml:space="preserve">5625_x4</t>
  </si>
  <si>
    <t xml:space="preserve">Pack 4 Codo Polietileno 25mm (Aenor)</t>
  </si>
  <si>
    <t xml:space="preserve">PE-CI-25</t>
  </si>
  <si>
    <t xml:space="preserve">https://latiendadeljardin.com/es/piezas-de-polietileno/17569-pack-4-codo-polietileno-25mm.html</t>
  </si>
  <si>
    <t xml:space="preserve">5632_x4</t>
  </si>
  <si>
    <t xml:space="preserve">Pack 4 Codo Polietileno 32mm (Aenor)</t>
  </si>
  <si>
    <t xml:space="preserve">PE-CI-32</t>
  </si>
  <si>
    <t xml:space="preserve">https://latiendadeljardin.com/es/piezas-de-polietileno/17570-pack-4-codo-polietileno-32mm.html</t>
  </si>
  <si>
    <t xml:space="preserve">MAR_x5_8439</t>
  </si>
  <si>
    <t xml:space="preserve">Pack 5 Machón roscado plástico 3/4"x1/2" PN10</t>
  </si>
  <si>
    <t xml:space="preserve">PE-MAR-3/4x1/2</t>
  </si>
  <si>
    <t xml:space="preserve">https://latiendadeljardin.com/es/piezas-de-polietileno/8439-pack5-machon-roscado-plastico.html</t>
  </si>
  <si>
    <t xml:space="preserve">MAR_x5_8440</t>
  </si>
  <si>
    <t xml:space="preserve">Pack 5 Machón roscado plástico 1"x1/2" PN10</t>
  </si>
  <si>
    <t xml:space="preserve">PE-MAR-1x1/2</t>
  </si>
  <si>
    <t xml:space="preserve">https://latiendadeljardin.com/es/piezas-de-polietileno/8440-pack5-machon-roscado-plastico.html</t>
  </si>
  <si>
    <t xml:space="preserve">MAR_x5_8441</t>
  </si>
  <si>
    <t xml:space="preserve">Pack 5 Machón roscado plástico 1"x3/4" PN10</t>
  </si>
  <si>
    <t xml:space="preserve">PE-MAR-1x3/4</t>
  </si>
  <si>
    <t xml:space="preserve">https://latiendadeljardin.com/es/piezas-de-polietileno/8441-pack5-machon-roscado-plastico.html</t>
  </si>
  <si>
    <t xml:space="preserve">MAR_x5_8443</t>
  </si>
  <si>
    <t xml:space="preserve">Pack 5 Machón roscado plástico 2"x1 1/2" PN10</t>
  </si>
  <si>
    <t xml:space="preserve">PE-MAR-2x11/2</t>
  </si>
  <si>
    <t xml:space="preserve">https://latiendadeljardin.com/es/piezas-de-polietileno/8443-pack5-machon-roscado-plastico.html</t>
  </si>
  <si>
    <t xml:space="preserve">MA_x5_3/4"</t>
  </si>
  <si>
    <t xml:space="preserve">Pack 5 Machón roscado plástico 3/4"x3/4" PN10</t>
  </si>
  <si>
    <t xml:space="preserve">PE-MA-3/4</t>
  </si>
  <si>
    <t xml:space="preserve">https://latiendadeljardin.com/es/piezas-de-polietileno/83-piezas-de-polietileno</t>
  </si>
  <si>
    <t xml:space="preserve">Precio no confirmado</t>
  </si>
  <si>
    <t xml:space="preserve">MA_x5_1"</t>
  </si>
  <si>
    <t xml:space="preserve">Pack 5 Machón roscado plástico 1"x1" PN10</t>
  </si>
  <si>
    <t xml:space="preserve">PE-MA-1</t>
  </si>
  <si>
    <t xml:space="preserve">MA_x5_1 1/4"</t>
  </si>
  <si>
    <t xml:space="preserve">Pack 5 Machón roscado plástico 1 1/4"x1 1/4" PN10</t>
  </si>
  <si>
    <t xml:space="preserve">PE-MA-11/4</t>
  </si>
  <si>
    <t xml:space="preserve">https://latiendadeljardin.com/es/piezas-de-polietileno/8436-pack5-machon-roscado-plastico.html</t>
  </si>
  <si>
    <t xml:space="preserve">MA_x5_1 1/2"</t>
  </si>
  <si>
    <t xml:space="preserve">Pack 5 Machón roscado plástico 1 1/2"x1 1/2" PN10</t>
  </si>
  <si>
    <t xml:space="preserve">PE-MA-11/2</t>
  </si>
  <si>
    <t xml:space="preserve">MA_x5_2"</t>
  </si>
  <si>
    <t xml:space="preserve">Pack 5 Machón roscado plástico 2"x2" PN10</t>
  </si>
  <si>
    <t xml:space="preserve">PE-MA-2</t>
  </si>
  <si>
    <t xml:space="preserve">https://latiendadeljardin.com/es/piezas-de-polietileno/8438-pack5-machon-roscado-plastico.html</t>
  </si>
  <si>
    <t xml:space="preserve">KIT20</t>
  </si>
  <si>
    <t xml:space="preserve">Pack Riego Tubería 20mm: 5 Te + 5 Codo + 5 Enlace + 2 Tapón</t>
  </si>
  <si>
    <t xml:space="preserve">https://latiendadeljardin.com/es/piezas-de-polietileno/3888-pack-riego-tuberia-20mm.html</t>
  </si>
  <si>
    <t xml:space="preserve">Kit: 5 × PE-TI-20, 5 × PE-CI-20, 5 × PE-MI-20 (o enlace), 2 × PE-TF-20. Precio por pieza = media del kit</t>
  </si>
  <si>
    <t xml:space="preserve">KIT25</t>
  </si>
  <si>
    <t xml:space="preserve">Pack Riego Tubería 25mm: 5 Te + 5 Codo + 5 Enlace + 2 Tapón</t>
  </si>
  <si>
    <t xml:space="preserve">https://latiendadeljardin.com/es/piezas-de-polietileno/3889-pack-riego-tuberia-25mm.html</t>
  </si>
  <si>
    <t xml:space="preserve">Kit: 5 × PE-TI-25, 5 × PE-CI-25, 5 × PE-MI-25 (o enlace), 2 × PE-TF-25. Precio por pieza = media del kit</t>
  </si>
  <si>
    <t xml:space="preserve">KIT32</t>
  </si>
  <si>
    <t xml:space="preserve">Pack Riego Tubería 32mm: 5 Te + 5 Codo + 5 Enlace + 2 Tapón</t>
  </si>
  <si>
    <t xml:space="preserve">https://latiendadeljardin.com/es/piezas-de-polietileno/3890-pack-riego-tuberia-32mm.html</t>
  </si>
  <si>
    <t xml:space="preserve">Kit: 5 × PE-TI-32, 5 × PE-CI-32, 5 × PE-MI-32 (o enlace), 2 × PE-TF-32. Precio por pieza = media del kit</t>
  </si>
  <si>
    <t xml:space="preserve">Código</t>
  </si>
  <si>
    <t xml:space="preserve">Ref. tienda</t>
  </si>
  <si>
    <t xml:space="preserve">Subtipo PIPING</t>
  </si>
  <si>
    <t xml:space="preserve">Variante</t>
  </si>
  <si>
    <t xml:space="preserve">Conexión</t>
  </si>
  <si>
    <t xml:space="preserve">d1 (mm o ")</t>
  </si>
  <si>
    <t xml:space="preserve">d2 (mm o ")</t>
  </si>
  <si>
    <t xml:space="preserve">Rosca BSP</t>
  </si>
  <si>
    <t xml:space="preserve">PN (bar)</t>
  </si>
  <si>
    <t xml:space="preserve">Material</t>
  </si>
  <si>
    <t xml:space="preserve">Dint 1 (mm)</t>
  </si>
  <si>
    <t xml:space="preserve">Dint 2 (mm)</t>
  </si>
  <si>
    <t xml:space="preserve">d paso deriv. (mm)</t>
  </si>
  <si>
    <t xml:space="preserve">fT</t>
  </si>
  <si>
    <t xml:space="preserve">K1 paso</t>
  </si>
  <si>
    <t xml:space="preserve">K1 deriv.</t>
  </si>
  <si>
    <t xml:space="preserve">K paso (ref. salida)</t>
  </si>
  <si>
    <t xml:space="preserve">K derivación (ref. deriv.)</t>
  </si>
  <si>
    <t xml:space="preserve">K sentido inverso</t>
  </si>
  <si>
    <t xml:space="preserve">Origen del K</t>
  </si>
  <si>
    <t xml:space="preserve">Precio (€, IVA incl.)</t>
  </si>
  <si>
    <t xml:space="preserve">Clave K</t>
  </si>
  <si>
    <t xml:space="preserve">Tabla</t>
  </si>
  <si>
    <t xml:space="preserve">Precio por unidad en pack (€)</t>
  </si>
  <si>
    <t xml:space="preserve">Packs disponibles</t>
  </si>
  <si>
    <t xml:space="preserve">Manguito igual PE</t>
  </si>
  <si>
    <t xml:space="preserve">5220</t>
  </si>
  <si>
    <t xml:space="preserve">manguito</t>
  </si>
  <si>
    <t xml:space="preserve">Manguito de compresión igual</t>
  </si>
  <si>
    <t xml:space="preserve">Compresión × compresión</t>
  </si>
  <si>
    <t xml:space="preserve">PP (cuerpo) · compresión para tubo PE</t>
  </si>
  <si>
    <t xml:space="preserve">Crane fórm. 6 (θ = 180°): contracción y expansión en el inserto</t>
  </si>
  <si>
    <t xml:space="preserve">https://latiendadeljardin.com/es/piezas-de-polietileno/443-663-manguito-igual-pe.html</t>
  </si>
  <si>
    <t xml:space="preserve">PE</t>
  </si>
  <si>
    <t xml:space="preserve">Manguito reducido PE</t>
  </si>
  <si>
    <t xml:space="preserve">5325</t>
  </si>
  <si>
    <t xml:space="preserve">reduccion</t>
  </si>
  <si>
    <t xml:space="preserve">Manguito reducido de compresión (concéntrico)</t>
  </si>
  <si>
    <t xml:space="preserve">Crane fórm. 6 (θ = 180°): contracción y expansión en el inserto; reducida: contracción desde la medida mayor</t>
  </si>
  <si>
    <t xml:space="preserve">https://latiendadeljardin.com/es/piezas-de-polietileno/444-679-manguito-reducido-pe.html</t>
  </si>
  <si>
    <t xml:space="preserve">Enlace rosca hembra PE</t>
  </si>
  <si>
    <t xml:space="preserve">5120</t>
  </si>
  <si>
    <t xml:space="preserve">racor</t>
  </si>
  <si>
    <t xml:space="preserve">Enlace compresión × rosca hembra BSP</t>
  </si>
  <si>
    <t xml:space="preserve">Compresión × rosca H</t>
  </si>
  <si>
    <t xml:space="preserve">https://latiendadeljardin.com/es/piezas-de-polietileno/445-693-enlace-hembra-pe.html</t>
  </si>
  <si>
    <t xml:space="preserve">Rosca equivalente supuesta (la ficha no la indica)</t>
  </si>
  <si>
    <t xml:space="preserve">Enlace rosca macho PE</t>
  </si>
  <si>
    <t xml:space="preserve">5020</t>
  </si>
  <si>
    <t xml:space="preserve">Enlace compresión × rosca macho BSP</t>
  </si>
  <si>
    <t xml:space="preserve">Compresión × rosca M</t>
  </si>
  <si>
    <t xml:space="preserve">https://latiendadeljardin.com/es/piezas-de-polietileno/446-701-enlace-macho-pe.html</t>
  </si>
  <si>
    <t xml:space="preserve">Codo igual PE</t>
  </si>
  <si>
    <t xml:space="preserve">5620</t>
  </si>
  <si>
    <t xml:space="preserve">codo90</t>
  </si>
  <si>
    <t xml:space="preserve">Codo 90° de compresión</t>
  </si>
  <si>
    <t xml:space="preserve">Crane fórm. 6 con el paso del inserto + codo estándar 30·fT</t>
  </si>
  <si>
    <t xml:space="preserve">https://latiendadeljardin.com/es/piezas-de-polietileno/447-709-Codo-igual-pe.html</t>
  </si>
  <si>
    <t xml:space="preserve">PE-CI-40</t>
  </si>
  <si>
    <t xml:space="preserve">PE-CI-50</t>
  </si>
  <si>
    <t xml:space="preserve">PE-CI-63</t>
  </si>
  <si>
    <t xml:space="preserve">PE-CI-75</t>
  </si>
  <si>
    <t xml:space="preserve">PE-CI-90</t>
  </si>
  <si>
    <t xml:space="preserve">PE-CH-20</t>
  </si>
  <si>
    <t xml:space="preserve">Codo rosca hembra PE</t>
  </si>
  <si>
    <t xml:space="preserve">5820</t>
  </si>
  <si>
    <t xml:space="preserve">Codo 90° compresión × rosca hembra</t>
  </si>
  <si>
    <t xml:space="preserve">https://latiendadeljardin.com/es/piezas-de-polietileno/448-717-codo-hembra-pe.html</t>
  </si>
  <si>
    <t xml:space="preserve">Rosca equivalente supuesta</t>
  </si>
  <si>
    <t xml:space="preserve">PE-CH-25</t>
  </si>
  <si>
    <t xml:space="preserve">PE-CH-32</t>
  </si>
  <si>
    <t xml:space="preserve">PE-CH-40</t>
  </si>
  <si>
    <t xml:space="preserve">PE-CH-50</t>
  </si>
  <si>
    <t xml:space="preserve">PE-CH-63</t>
  </si>
  <si>
    <t xml:space="preserve">PE-CH-75</t>
  </si>
  <si>
    <t xml:space="preserve">PE-CH-90</t>
  </si>
  <si>
    <t xml:space="preserve">PE-CM-20</t>
  </si>
  <si>
    <t xml:space="preserve">Codo rosca macho PE</t>
  </si>
  <si>
    <t xml:space="preserve">5720</t>
  </si>
  <si>
    <t xml:space="preserve">Codo 90° compresión × rosca macho</t>
  </si>
  <si>
    <t xml:space="preserve">https://latiendadeljardin.com/es/piezas-de-polietileno/449-725-codo-macho-pe.html</t>
  </si>
  <si>
    <t xml:space="preserve">Rosca equivalente supuesta. La tienda solo ofrece hasta 63 mm</t>
  </si>
  <si>
    <t xml:space="preserve">PE-CM-25</t>
  </si>
  <si>
    <t xml:space="preserve">PE-CM-32</t>
  </si>
  <si>
    <t xml:space="preserve">PE-CM-40</t>
  </si>
  <si>
    <t xml:space="preserve">PE-CM-50</t>
  </si>
  <si>
    <t xml:space="preserve">PE-CM-63</t>
  </si>
  <si>
    <t xml:space="preserve">Te igual PE</t>
  </si>
  <si>
    <t xml:space="preserve">5420</t>
  </si>
  <si>
    <t xml:space="preserve">tee</t>
  </si>
  <si>
    <t xml:space="preserve">Te de compresión igual</t>
  </si>
  <si>
    <t xml:space="preserve">Compresión ×3</t>
  </si>
  <si>
    <t xml:space="preserve">Crane fórm. 6 (θ = 180°) con el paso del inserto + te 20·fT (paso) / 60·fT (derivación)</t>
  </si>
  <si>
    <t xml:space="preserve">https://latiendadeljardin.com/es/piezas-de-polietileno/450-733-Te-igual-pe.html</t>
  </si>
  <si>
    <t xml:space="preserve">PE-TR-25x20</t>
  </si>
  <si>
    <t xml:space="preserve">Te reducida PE</t>
  </si>
  <si>
    <t xml:space="preserve">6125</t>
  </si>
  <si>
    <t xml:space="preserve">Te de compresión con derivación reducida</t>
  </si>
  <si>
    <t xml:space="preserve">https://latiendadeljardin.com/es/piezas-de-polietileno/451-740-te-reducida-pe.html</t>
  </si>
  <si>
    <t xml:space="preserve">PE-TR-32x25</t>
  </si>
  <si>
    <t xml:space="preserve">PE-TR-40x32</t>
  </si>
  <si>
    <t xml:space="preserve">PE-TR-50x40</t>
  </si>
  <si>
    <t xml:space="preserve">PE-TR-63x50</t>
  </si>
  <si>
    <t xml:space="preserve">Te rosca hembra PE</t>
  </si>
  <si>
    <t xml:space="preserve">5520</t>
  </si>
  <si>
    <t xml:space="preserve">Te compresión × derivación rosca hembra</t>
  </si>
  <si>
    <t xml:space="preserve">Compresión × compresión × rosca H</t>
  </si>
  <si>
    <t xml:space="preserve">https://latiendadeljardin.com/es/piezas-de-polietileno/452-748-Te-hembra-pe.html</t>
  </si>
  <si>
    <t xml:space="preserve">Derivación roscada: se toma el mismo paso. Rosca equivalente supuesta</t>
  </si>
  <si>
    <t xml:space="preserve">PE-TM-20</t>
  </si>
  <si>
    <t xml:space="preserve">Te rosca macho PE</t>
  </si>
  <si>
    <t xml:space="preserve">6220</t>
  </si>
  <si>
    <t xml:space="preserve">Te compresión × derivación rosca macho</t>
  </si>
  <si>
    <t xml:space="preserve">Compresión × compresión × rosca M</t>
  </si>
  <si>
    <t xml:space="preserve">https://latiendadeljardin.com/es/piezas-de-polietileno/453-756-Te-macho-pe.html</t>
  </si>
  <si>
    <t xml:space="preserve">AENOR según la tienda. Rosca equivalente supuesta. Solo hasta 63 mm</t>
  </si>
  <si>
    <t xml:space="preserve">PE-TM-25</t>
  </si>
  <si>
    <t xml:space="preserve">PE-TM-32</t>
  </si>
  <si>
    <t xml:space="preserve">PE-TM-40</t>
  </si>
  <si>
    <t xml:space="preserve">PE-TM-50</t>
  </si>
  <si>
    <t xml:space="preserve">PE-TM-63</t>
  </si>
  <si>
    <t xml:space="preserve">Tapón final PE</t>
  </si>
  <si>
    <t xml:space="preserve">5920</t>
  </si>
  <si>
    <t xml:space="preserve">tapon</t>
  </si>
  <si>
    <t xml:space="preserve">Tapón final de compresión</t>
  </si>
  <si>
    <t xml:space="preserve">Compresión</t>
  </si>
  <si>
    <t xml:space="preserve">Extremo cerrado (tapón): no se calcula K</t>
  </si>
  <si>
    <t xml:space="preserve">https://latiendadeljardin.com/es/piezas-de-polietileno/454-764-tapon-final-pe.html</t>
  </si>
  <si>
    <t xml:space="preserve">Extremo cerrado: sin K</t>
  </si>
  <si>
    <t xml:space="preserve">PE-TF-90</t>
  </si>
  <si>
    <t xml:space="preserve">PE-CG-20</t>
  </si>
  <si>
    <t xml:space="preserve">Codo grifo PE</t>
  </si>
  <si>
    <t xml:space="preserve">27712020</t>
  </si>
  <si>
    <t xml:space="preserve">Codo grifo (compresión × rosca hembra)</t>
  </si>
  <si>
    <t xml:space="preserve">https://latiendadeljardin.com/es/piezas-de-polietileno/455-772-codo-grifo-pe.html</t>
  </si>
  <si>
    <t xml:space="preserve">Confirmar si lleva placa de fijación a pared</t>
  </si>
  <si>
    <t xml:space="preserve">PE-CG-25</t>
  </si>
  <si>
    <t xml:space="preserve">PE-MA-1/2</t>
  </si>
  <si>
    <t xml:space="preserve">Machón PE</t>
  </si>
  <si>
    <t xml:space="preserve">901-MR</t>
  </si>
  <si>
    <t xml:space="preserve">machon</t>
  </si>
  <si>
    <t xml:space="preserve">Machón igual rosca macho × macho</t>
  </si>
  <si>
    <t xml:space="preserve">Rosca M × M</t>
  </si>
  <si>
    <t xml:space="preserve">Plástico (PE según el título; la ficha dice también PP)</t>
  </si>
  <si>
    <t xml:space="preserve">Crane fórm. 6 con el paso de rosca + Perry 0,04</t>
  </si>
  <si>
    <t xml:space="preserve">https://latiendadeljardin.com/es/piezas-de-polietileno/663-1076-machon-igual-polietileno.html</t>
  </si>
  <si>
    <t xml:space="preserve">BSP</t>
  </si>
  <si>
    <t xml:space="preserve">PE-MA-21/2</t>
  </si>
  <si>
    <t xml:space="preserve">PE-MA-3</t>
  </si>
  <si>
    <t xml:space="preserve">Machón reducido PE</t>
  </si>
  <si>
    <t xml:space="preserve">910-MR</t>
  </si>
  <si>
    <t xml:space="preserve">Machón reducido rosca macho × macho</t>
  </si>
  <si>
    <t xml:space="preserve">3/4" × 1/2"</t>
  </si>
  <si>
    <t xml:space="preserve">Crane fórm. 6 con el paso de rosca + Perry 0,04; reducida: contracción desde la medida mayor</t>
  </si>
  <si>
    <t xml:space="preserve">https://latiendadeljardin.com/es/piezas-de-polietileno/1638-2100-machon-reducido-polietileno.html</t>
  </si>
  <si>
    <t xml:space="preserve">1" × 1/2"</t>
  </si>
  <si>
    <t xml:space="preserve">1" × 3/4"</t>
  </si>
  <si>
    <t xml:space="preserve">PE-MAR-11/4x3/4</t>
  </si>
  <si>
    <t xml:space="preserve">1 1/4" × 3/4"</t>
  </si>
  <si>
    <t xml:space="preserve">PE-MAR-11/4x1</t>
  </si>
  <si>
    <t xml:space="preserve">1 1/4" × 1"</t>
  </si>
  <si>
    <t xml:space="preserve">PE-MAR-11/2x3/4</t>
  </si>
  <si>
    <t xml:space="preserve">1 1/2" × 3/4"</t>
  </si>
  <si>
    <t xml:space="preserve">PE-MAR-2x1</t>
  </si>
  <si>
    <t xml:space="preserve">2" × 1"</t>
  </si>
  <si>
    <t xml:space="preserve">2" × 1 1/2"</t>
  </si>
  <si>
    <t xml:space="preserve">PE-MAR-21/2x2</t>
  </si>
  <si>
    <t xml:space="preserve">2 1/2" × 2"</t>
  </si>
  <si>
    <t xml:space="preserve">PE-MAR-3x21/2</t>
  </si>
  <si>
    <t xml:space="preserve">3" × 2 1/2"</t>
  </si>
  <si>
    <t xml:space="preserve">PE-TUR-3/4x1/2</t>
  </si>
  <si>
    <t xml:space="preserve">Tuerca reducida PE</t>
  </si>
  <si>
    <t xml:space="preserve">410-MR</t>
  </si>
  <si>
    <t xml:space="preserve">tuerca</t>
  </si>
  <si>
    <t xml:space="preserve">Tuerca reducida (reducción macho × hembra)</t>
  </si>
  <si>
    <t xml:space="preserve">Rosca M × H</t>
  </si>
  <si>
    <t xml:space="preserve">https://latiendadeljardin.com/es/piezas-de-polietileno/3184-2369-tuerca-reducida-pe.html</t>
  </si>
  <si>
    <t xml:space="preserve">PE-TUR-1x1/2</t>
  </si>
  <si>
    <t xml:space="preserve">PE-TUR-1x3/4</t>
  </si>
  <si>
    <t xml:space="preserve">PE-TUR-11/4x3/4</t>
  </si>
  <si>
    <t xml:space="preserve">PE-TUR-11/4x1</t>
  </si>
  <si>
    <t xml:space="preserve">PE-TUR-11/2x3/4</t>
  </si>
  <si>
    <t xml:space="preserve">PE-TUR-11/2x1</t>
  </si>
  <si>
    <t xml:space="preserve">1 1/2" × 1"</t>
  </si>
  <si>
    <t xml:space="preserve">PE-TUR-11/2x11/4</t>
  </si>
  <si>
    <t xml:space="preserve">1 1/2" × 1 1/4"</t>
  </si>
  <si>
    <t xml:space="preserve">PE-TUR-2x1</t>
  </si>
  <si>
    <t xml:space="preserve">PE-TUR-2x11/2</t>
  </si>
  <si>
    <t xml:space="preserve">PE-TUR-21/2x2</t>
  </si>
  <si>
    <t xml:space="preserve">PE-TUR-3x21/2</t>
  </si>
  <si>
    <t xml:space="preserve">PP-MH-1/2</t>
  </si>
  <si>
    <t xml:space="preserve">Manguito hembra PP</t>
  </si>
  <si>
    <t xml:space="preserve">401-MR</t>
  </si>
  <si>
    <t xml:space="preserve">Manguito rosca hembra × hembra</t>
  </si>
  <si>
    <t xml:space="preserve">Rosca H × H</t>
  </si>
  <si>
    <t xml:space="preserve">PP</t>
  </si>
  <si>
    <t xml:space="preserve">https://latiendadeljardin.com/es/piezas-de-polietileno/1637-2091-manguito-hembra-pp.html</t>
  </si>
  <si>
    <t xml:space="preserve">PP-MH-3/4</t>
  </si>
  <si>
    <t xml:space="preserve">PP-MH-1</t>
  </si>
  <si>
    <t xml:space="preserve">PP-MH-11/4</t>
  </si>
  <si>
    <t xml:space="preserve">PP-MH-11/2</t>
  </si>
  <si>
    <t xml:space="preserve">PP-MH-2</t>
  </si>
  <si>
    <t xml:space="preserve">PE-PAS-1</t>
  </si>
  <si>
    <t xml:space="preserve">Pasamuros 1" para depósito de agua</t>
  </si>
  <si>
    <t xml:space="preserve">—</t>
  </si>
  <si>
    <t xml:space="preserve">Pasamuros para depósito</t>
  </si>
  <si>
    <t xml:space="preserve">Rosca × depósito</t>
  </si>
  <si>
    <t xml:space="preserve">Plástico</t>
  </si>
  <si>
    <t xml:space="preserve">Crane A-30: entrada a ras 0,5 (del depósito al tubo) · salida 1,0 (del tubo al depósito)</t>
  </si>
  <si>
    <t xml:space="preserve">https://latiendadeljardin.com/es/depositos-de-poliester/756-pasamuros-deposito-agua-32mm-8420020022769.html</t>
  </si>
  <si>
    <t xml:space="preserve">La tienda dice 1" en el título y 32 mm en la URL; la imagen, 25 mm. K = entrada a ras (0,5) / salida (1,0)</t>
  </si>
  <si>
    <t xml:space="preserve">PE-ADP-32</t>
  </si>
  <si>
    <t xml:space="preserve">Adaptador para depósito macho 1" 32 mm con tapón</t>
  </si>
  <si>
    <t xml:space="preserve">Adaptador de depósito macho</t>
  </si>
  <si>
    <t xml:space="preserve">Rosca M × depósito</t>
  </si>
  <si>
    <t xml:space="preserve">https://latiendadeljardin.com/es/depositos-de-poliester/757-adaptador-depositos-macho-32mm-8420020022752.html</t>
  </si>
  <si>
    <t xml:space="preserve">K = entrada a ras (0,5) / salida (1,0)</t>
  </si>
  <si>
    <t xml:space="preserve">Dato</t>
  </si>
  <si>
    <t xml:space="preserve">Artículos, referencias, medidas, PN y precios</t>
  </si>
  <si>
    <t xml:space="preserve">latiendadeljardin.com, categoría 118 «Piezas de polietileno»: listados de las páginas 1, 2, 3, 6 y 8 y fichas de cada artículo y de cada pack, leído el 21/10/2026. Las páginas 4, 5 y 7 no se pudieron abrir directamente (la tienda devuelve siempre otra página); sus packs se han sacado de las fichas relacionadas y del buscador. Hay 4 packs sin precio confirmado (amarillo).</t>
  </si>
  <si>
    <t xml:space="preserve">Fabricante</t>
  </si>
  <si>
    <t xml:space="preserve">La ficha en inglés del tapón de 25 mm indica la marca Suinga (fabricado en España, certificado AENOR). Su catálogo técnico es la fuente para los diámetros de paso.</t>
  </si>
  <si>
    <t xml:space="preserve">Precio</t>
  </si>
  <si>
    <t xml:space="preserve">Columna «Precio»: precio del listado, IVA incluido, que es el «desde» (la medida más pequeña); la tienda no lo da por medida. La columna «Precio por unidad en pack» sí es de esa medida exacta (precio del pack / unidades).</t>
  </si>
  <si>
    <t xml:space="preserve">Espesores del tubo PE100 SDR 11</t>
  </si>
  <si>
    <t xml:space="preserve">EN 12201-2 (PN 16).</t>
  </si>
  <si>
    <t xml:space="preserve">Diámetro de paso de los insertos</t>
  </si>
  <si>
    <t xml:space="preserve">ESTIMADO, sin dato del fabricante: la tienda no indica marca ni norma de las piezas. Sustituir por el del catálogo del fabricante.</t>
  </si>
  <si>
    <t xml:space="preserve">Paso de las piezas roscadas</t>
  </si>
  <si>
    <t xml:space="preserve">Aproximado por el diámetro interior del tubo de acero Sch 40, ASME B36.10M.</t>
  </si>
  <si>
    <t xml:space="preserve">fT y coeficientes n·fT</t>
  </si>
  <si>
    <t xml:space="preserve">Crane TP-410M (2009), pág. A-26 a A-29.</t>
  </si>
  <si>
    <t xml:space="preserve">Contracción y expansión bruscas</t>
  </si>
  <si>
    <t xml:space="preserve">Crane TP-410M, pág. A-26, fórmulas 5 y 6 (θ = 180°).</t>
  </si>
  <si>
    <t xml:space="preserve">K de manguito o unión roscada</t>
  </si>
  <si>
    <t xml:space="preserve">Perry’s Chemical Engineers’ Handbook, tabla de pérdidas en accesorios (0,04).</t>
  </si>
  <si>
    <t xml:space="preserve">Entrada y salida de depósito</t>
  </si>
  <si>
    <t xml:space="preserve">Crane TP-410M, pág. A-30.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</si>
</sst>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#,##0.0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atiendadeljardin.com/es/piezas-de-polietileno/3193-enlace-manguito-polietileno-20mm-pack4.html" TargetMode="External"/><Relationship Id="rId2" Type="http://schemas.openxmlformats.org/officeDocument/2006/relationships/hyperlink" Target="https://latiendadeljardin.com/es/piezas-de-polietileno/3195-enlace-manguito-polietileno-25mm-pack4.html" TargetMode="External"/><Relationship Id="rId3" Type="http://schemas.openxmlformats.org/officeDocument/2006/relationships/hyperlink" Target="https://latiendadeljardin.com/es/piezas-de-polietileno/3196-enlace-manguito-polietileno-32mm-pack4-8420082100900.html" TargetMode="External"/><Relationship Id="rId4" Type="http://schemas.openxmlformats.org/officeDocument/2006/relationships/hyperlink" Target="https://latiendadeljardin.com/es/piezas-de-polietileno/3197-enlace-manguito-polietileno-40mm-pack4.html" TargetMode="External"/><Relationship Id="rId5" Type="http://schemas.openxmlformats.org/officeDocument/2006/relationships/hyperlink" Target="https://latiendadeljardin.com/es/piezas-de-polietileno/3198-enlace-manguito-polietileno-50mm-pack4-8420082100924.html" TargetMode="External"/><Relationship Id="rId6" Type="http://schemas.openxmlformats.org/officeDocument/2006/relationships/hyperlink" Target="https://latiendadeljardin.com/es/piezas-de-polietileno/3199-enlace-manguito-polietileno-63mm-pack4.html" TargetMode="External"/><Relationship Id="rId7" Type="http://schemas.openxmlformats.org/officeDocument/2006/relationships/hyperlink" Target="https://latiendadeljardin.com/es/piezas-de-polietileno/3200-enlace-manguito-polietileno-75mm-pack5.html" TargetMode="External"/><Relationship Id="rId8" Type="http://schemas.openxmlformats.org/officeDocument/2006/relationships/hyperlink" Target="https://latiendadeljardin.com/es/piezas-de-polietileno/3201-enlace-manguito-polietileno-90mm-pack5.html" TargetMode="External"/><Relationship Id="rId9" Type="http://schemas.openxmlformats.org/officeDocument/2006/relationships/hyperlink" Target="https://latiendadeljardin.com/es/piezas-de-polietileno/3256-enlace-manguito-reducido-25-20mm-pack4.html" TargetMode="External"/><Relationship Id="rId10" Type="http://schemas.openxmlformats.org/officeDocument/2006/relationships/hyperlink" Target="https://latiendadeljardin.com/es/piezas-de-polietileno/3257-enlace-manguito-reducido-32-25mm-pack4.html" TargetMode="External"/><Relationship Id="rId11" Type="http://schemas.openxmlformats.org/officeDocument/2006/relationships/hyperlink" Target="https://latiendadeljardin.com/es/piezas-de-polietileno/3258-enlace-manguito-reducido-40-32mm-pack4.html" TargetMode="External"/><Relationship Id="rId12" Type="http://schemas.openxmlformats.org/officeDocument/2006/relationships/hyperlink" Target="https://latiendadeljardin.com/es/piezas-de-polietileno/3259-enlace-manguito-reducido-50-40mm-pack4.html" TargetMode="External"/><Relationship Id="rId13" Type="http://schemas.openxmlformats.org/officeDocument/2006/relationships/hyperlink" Target="https://latiendadeljardin.com/es/piezas-de-polietileno/3260-enlace-manguito-reducido-63-50mm-pack4.html" TargetMode="External"/><Relationship Id="rId14" Type="http://schemas.openxmlformats.org/officeDocument/2006/relationships/hyperlink" Target="https://latiendadeljardin.com/es/piezas-de-polietileno/3261-enlace-manguito-reducido-75-63mm-pack4.html" TargetMode="External"/><Relationship Id="rId15" Type="http://schemas.openxmlformats.org/officeDocument/2006/relationships/hyperlink" Target="https://latiendadeljardin.com/es/piezas-de-polietileno/3262-enlace-manguito-reducido-90-75mm-pack4.html" TargetMode="External"/><Relationship Id="rId16" Type="http://schemas.openxmlformats.org/officeDocument/2006/relationships/hyperlink" Target="https://latiendadeljardin.com/es/piezas-de-polietileno/3153-tapon-final-polietileno-20mm-pack4.html" TargetMode="External"/><Relationship Id="rId17" Type="http://schemas.openxmlformats.org/officeDocument/2006/relationships/hyperlink" Target="https://latiendadeljardin.com/es/piezas-de-polietileno/3154-tapon-final-polietileno-25mm-pack4.html" TargetMode="External"/><Relationship Id="rId18" Type="http://schemas.openxmlformats.org/officeDocument/2006/relationships/hyperlink" Target="https://latiendadeljardin.com/es/piezas-de-polietileno/3155-tapon-final-polietileno-32mm-pack4.html" TargetMode="External"/><Relationship Id="rId19" Type="http://schemas.openxmlformats.org/officeDocument/2006/relationships/hyperlink" Target="https://latiendadeljardin.com/es/piezas-de-polietileno/3156-tapon-final-polietileno-40mm-pack4.html" TargetMode="External"/><Relationship Id="rId20" Type="http://schemas.openxmlformats.org/officeDocument/2006/relationships/hyperlink" Target="https://latiendadeljardin.com/es/piezas-de-polietileno/3157-tapon-final-polietileno-50mm-pack4.html" TargetMode="External"/><Relationship Id="rId21" Type="http://schemas.openxmlformats.org/officeDocument/2006/relationships/hyperlink" Target="https://latiendadeljardin.com/es/piezas-de-polietileno/3158-tapon-final-polietileno-63mm-pack4.html" TargetMode="External"/><Relationship Id="rId22" Type="http://schemas.openxmlformats.org/officeDocument/2006/relationships/hyperlink" Target="https://latiendadeljardin.com/es/piezas-de-polietileno/3159-tapon-final-polietileno-75mm-pack4.html" TargetMode="External"/><Relationship Id="rId23" Type="http://schemas.openxmlformats.org/officeDocument/2006/relationships/hyperlink" Target="https://latiendadeljardin.com/es/piezas-de-polietileno/3347-enlace-hembra-pe-20mm-pack4.html" TargetMode="External"/><Relationship Id="rId24" Type="http://schemas.openxmlformats.org/officeDocument/2006/relationships/hyperlink" Target="https://latiendadeljardin.com/es/piezas-de-polietileno/3348-enlace-hembra-pe-25mm-pack4.html" TargetMode="External"/><Relationship Id="rId25" Type="http://schemas.openxmlformats.org/officeDocument/2006/relationships/hyperlink" Target="https://latiendadeljardin.com/es/piezas-de-polietileno/3349-enlace-hembra-pe-32mm-pack4.html" TargetMode="External"/><Relationship Id="rId26" Type="http://schemas.openxmlformats.org/officeDocument/2006/relationships/hyperlink" Target="https://latiendadeljardin.com/es/piezas-de-polietileno/3350-enlace-hembra-pe-40mm-pack4.html" TargetMode="External"/><Relationship Id="rId27" Type="http://schemas.openxmlformats.org/officeDocument/2006/relationships/hyperlink" Target="https://latiendadeljardin.com/es/piezas-de-polietileno/3351-enlace-hembra-pe-50mm-pack4.html" TargetMode="External"/><Relationship Id="rId28" Type="http://schemas.openxmlformats.org/officeDocument/2006/relationships/hyperlink" Target="https://latiendadeljardin.com/es/piezas-de-polietileno/3352-enlace-hembra-pe-63mm-pack4.html" TargetMode="External"/><Relationship Id="rId29" Type="http://schemas.openxmlformats.org/officeDocument/2006/relationships/hyperlink" Target="https://latiendadeljardin.com/es/piezas-de-polietileno/3353-enlace-hembra-pe-75mm-pack4.html" TargetMode="External"/><Relationship Id="rId30" Type="http://schemas.openxmlformats.org/officeDocument/2006/relationships/hyperlink" Target="https://latiendadeljardin.com/es/piezas-de-polietileno/3354-enlace-hembra-pe-90mm-pack4.html" TargetMode="External"/><Relationship Id="rId31" Type="http://schemas.openxmlformats.org/officeDocument/2006/relationships/hyperlink" Target="https://latiendadeljardin.com/es/piezas-de-polietileno/16513-4-enlace-macho-polietileno-20mm.html" TargetMode="External"/><Relationship Id="rId32" Type="http://schemas.openxmlformats.org/officeDocument/2006/relationships/hyperlink" Target="https://latiendadeljardin.com/es/piezas-de-polietileno/16514-4-enlace-macho-polietileno-25mm.html" TargetMode="External"/><Relationship Id="rId33" Type="http://schemas.openxmlformats.org/officeDocument/2006/relationships/hyperlink" Target="https://latiendadeljardin.com/es/piezas-de-polietileno/16515-4-enlace-macho-polietileno-32mm.html" TargetMode="External"/><Relationship Id="rId34" Type="http://schemas.openxmlformats.org/officeDocument/2006/relationships/hyperlink" Target="https://latiendadeljardin.com/es/piezas-de-polietileno/16516-4-enlace-macho-polietileno-40mm.html" TargetMode="External"/><Relationship Id="rId35" Type="http://schemas.openxmlformats.org/officeDocument/2006/relationships/hyperlink" Target="https://latiendadeljardin.com/es/piezas-de-polietileno/16517-4-enlace-macho-polietileno-50mm.html" TargetMode="External"/><Relationship Id="rId36" Type="http://schemas.openxmlformats.org/officeDocument/2006/relationships/hyperlink" Target="https://latiendadeljardin.com/es/piezas-de-polietileno/16518-4-enlace-macho-polietileno-63mm.html" TargetMode="External"/><Relationship Id="rId37" Type="http://schemas.openxmlformats.org/officeDocument/2006/relationships/hyperlink" Target="https://latiendadeljardin.com/es/piezas-de-polietileno/16519-4-enlace-macho-polietileno-75mm.html" TargetMode="External"/><Relationship Id="rId38" Type="http://schemas.openxmlformats.org/officeDocument/2006/relationships/hyperlink" Target="https://latiendadeljardin.com/es/piezas-de-polietileno/16520-4-enlace-macho-polietileno-90mm.html" TargetMode="External"/><Relationship Id="rId39" Type="http://schemas.openxmlformats.org/officeDocument/2006/relationships/hyperlink" Target="https://latiendadeljardin.com/es/piezas-de-polietileno/16521-4-te-polietileno-20mm.html" TargetMode="External"/><Relationship Id="rId40" Type="http://schemas.openxmlformats.org/officeDocument/2006/relationships/hyperlink" Target="https://latiendadeljardin.com/es/piezas-de-polietileno/16522-4-te-polietileno-25mm.html" TargetMode="External"/><Relationship Id="rId41" Type="http://schemas.openxmlformats.org/officeDocument/2006/relationships/hyperlink" Target="https://latiendadeljardin.com/es/piezas-de-polietileno/16523-4-te-polietileno-32mm.html" TargetMode="External"/><Relationship Id="rId42" Type="http://schemas.openxmlformats.org/officeDocument/2006/relationships/hyperlink" Target="https://latiendadeljardin.com/es/piezas-de-polietileno/16524-4-te-polietileno-40mm.html" TargetMode="External"/><Relationship Id="rId43" Type="http://schemas.openxmlformats.org/officeDocument/2006/relationships/hyperlink" Target="https://latiendadeljardin.com/es/piezas-de-polietileno/16525-4-te-polietileno-50mm.html" TargetMode="External"/><Relationship Id="rId44" Type="http://schemas.openxmlformats.org/officeDocument/2006/relationships/hyperlink" Target="https://latiendadeljardin.com/es/piezas-de-polietileno/16526-4-te-polietileno-63mm.html" TargetMode="External"/><Relationship Id="rId45" Type="http://schemas.openxmlformats.org/officeDocument/2006/relationships/hyperlink" Target="https://latiendadeljardin.com/es/piezas-de-polietileno/16527-4-te-polietileno-75mm.html" TargetMode="External"/><Relationship Id="rId46" Type="http://schemas.openxmlformats.org/officeDocument/2006/relationships/hyperlink" Target="https://latiendadeljardin.com/es/piezas-de-polietileno/16528-4-te-polietileno-90mm.html" TargetMode="External"/><Relationship Id="rId47" Type="http://schemas.openxmlformats.org/officeDocument/2006/relationships/hyperlink" Target="https://latiendadeljardin.com/es/piezas-de-polietileno/18269-4-te-polietileno-hembra-20mm.html" TargetMode="External"/><Relationship Id="rId48" Type="http://schemas.openxmlformats.org/officeDocument/2006/relationships/hyperlink" Target="https://latiendadeljardin.com/es/piezas-de-polietileno/18270-4-te-polietileno-hembra-25mm.html" TargetMode="External"/><Relationship Id="rId49" Type="http://schemas.openxmlformats.org/officeDocument/2006/relationships/hyperlink" Target="https://latiendadeljardin.com/es/piezas-de-polietileno/16562-4-te-polietileno-hembra-32mm.html" TargetMode="External"/><Relationship Id="rId50" Type="http://schemas.openxmlformats.org/officeDocument/2006/relationships/hyperlink" Target="https://latiendadeljardin.com/es/piezas-de-polietileno/16563-4-te-polietileno-hembra-40mm.html" TargetMode="External"/><Relationship Id="rId51" Type="http://schemas.openxmlformats.org/officeDocument/2006/relationships/hyperlink" Target="https://latiendadeljardin.com/es/piezas-de-polietileno/16564-4-te-polietileno-hembra-50mm.html" TargetMode="External"/><Relationship Id="rId52" Type="http://schemas.openxmlformats.org/officeDocument/2006/relationships/hyperlink" Target="https://latiendadeljardin.com/es/piezas-de-polietileno/16565-4-te-polietileno-hembra-63mm.html" TargetMode="External"/><Relationship Id="rId53" Type="http://schemas.openxmlformats.org/officeDocument/2006/relationships/hyperlink" Target="https://latiendadeljardin.com/es/piezas-de-polietileno/16566-4-te-polietileno-hembra-75mm.html" TargetMode="External"/><Relationship Id="rId54" Type="http://schemas.openxmlformats.org/officeDocument/2006/relationships/hyperlink" Target="https://latiendadeljardin.com/es/piezas-de-polietileno/16567-4-te-polietileno-hembra-90mm.html" TargetMode="External"/><Relationship Id="rId55" Type="http://schemas.openxmlformats.org/officeDocument/2006/relationships/hyperlink" Target="https://latiendadeljardin.com/es/piezas-de-polietileno/17568-pack-4-codo-polietileno-20mm.html" TargetMode="External"/><Relationship Id="rId56" Type="http://schemas.openxmlformats.org/officeDocument/2006/relationships/hyperlink" Target="https://latiendadeljardin.com/es/piezas-de-polietileno/17569-pack-4-codo-polietileno-25mm.html" TargetMode="External"/><Relationship Id="rId57" Type="http://schemas.openxmlformats.org/officeDocument/2006/relationships/hyperlink" Target="https://latiendadeljardin.com/es/piezas-de-polietileno/17570-pack-4-codo-polietileno-32mm.html" TargetMode="External"/><Relationship Id="rId58" Type="http://schemas.openxmlformats.org/officeDocument/2006/relationships/hyperlink" Target="https://latiendadeljardin.com/es/piezas-de-polietileno/8439-pack5-machon-roscado-plastico.html" TargetMode="External"/><Relationship Id="rId59" Type="http://schemas.openxmlformats.org/officeDocument/2006/relationships/hyperlink" Target="https://latiendadeljardin.com/es/piezas-de-polietileno/8440-pack5-machon-roscado-plastico.html" TargetMode="External"/><Relationship Id="rId60" Type="http://schemas.openxmlformats.org/officeDocument/2006/relationships/hyperlink" Target="https://latiendadeljardin.com/es/piezas-de-polietileno/8441-pack5-machon-roscado-plastico.html" TargetMode="External"/><Relationship Id="rId61" Type="http://schemas.openxmlformats.org/officeDocument/2006/relationships/hyperlink" Target="https://latiendadeljardin.com/es/piezas-de-polietileno/8443-pack5-machon-roscado-plastico.html" TargetMode="External"/><Relationship Id="rId62" Type="http://schemas.openxmlformats.org/officeDocument/2006/relationships/hyperlink" Target="https://latiendadeljardin.com/es/piezas-de-polietileno/83-piezas-de-polietileno" TargetMode="External"/><Relationship Id="rId63" Type="http://schemas.openxmlformats.org/officeDocument/2006/relationships/hyperlink" Target="https://latiendadeljardin.com/es/piezas-de-polietileno/83-piezas-de-polietileno" TargetMode="External"/><Relationship Id="rId64" Type="http://schemas.openxmlformats.org/officeDocument/2006/relationships/hyperlink" Target="https://latiendadeljardin.com/es/piezas-de-polietileno/8436-pack5-machon-roscado-plastico.html" TargetMode="External"/><Relationship Id="rId65" Type="http://schemas.openxmlformats.org/officeDocument/2006/relationships/hyperlink" Target="https://latiendadeljardin.com/es/piezas-de-polietileno/83-piezas-de-polietileno" TargetMode="External"/><Relationship Id="rId66" Type="http://schemas.openxmlformats.org/officeDocument/2006/relationships/hyperlink" Target="https://latiendadeljardin.com/es/piezas-de-polietileno/8438-pack5-machon-roscado-plastico.html" TargetMode="External"/><Relationship Id="rId67" Type="http://schemas.openxmlformats.org/officeDocument/2006/relationships/hyperlink" Target="https://latiendadeljardin.com/es/piezas-de-polietileno/3888-pack-riego-tuberia-20mm.html" TargetMode="External"/><Relationship Id="rId68" Type="http://schemas.openxmlformats.org/officeDocument/2006/relationships/hyperlink" Target="https://latiendadeljardin.com/es/piezas-de-polietileno/3889-pack-riego-tuberia-25mm.html" TargetMode="External"/><Relationship Id="rId69" Type="http://schemas.openxmlformats.org/officeDocument/2006/relationships/hyperlink" Target="https://latiendadeljardin.com/es/piezas-de-polietileno/3890-pack-riego-tuberia-32mm.html" TargetMode="External"/><Relationship Id="rId70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atiendadeljardin.com/es/piezas-de-polietileno/443-663-manguito-igual-pe.html" TargetMode="External"/><Relationship Id="rId2" Type="http://schemas.openxmlformats.org/officeDocument/2006/relationships/hyperlink" Target="https://latiendadeljardin.com/es/piezas-de-polietileno/443-663-manguito-igual-pe.html" TargetMode="External"/><Relationship Id="rId3" Type="http://schemas.openxmlformats.org/officeDocument/2006/relationships/hyperlink" Target="https://latiendadeljardin.com/es/piezas-de-polietileno/443-663-manguito-igual-pe.html" TargetMode="External"/><Relationship Id="rId4" Type="http://schemas.openxmlformats.org/officeDocument/2006/relationships/hyperlink" Target="https://latiendadeljardin.com/es/piezas-de-polietileno/443-663-manguito-igual-pe.html" TargetMode="External"/><Relationship Id="rId5" Type="http://schemas.openxmlformats.org/officeDocument/2006/relationships/hyperlink" Target="https://latiendadeljardin.com/es/piezas-de-polietileno/443-663-manguito-igual-pe.html" TargetMode="External"/><Relationship Id="rId6" Type="http://schemas.openxmlformats.org/officeDocument/2006/relationships/hyperlink" Target="https://latiendadeljardin.com/es/piezas-de-polietileno/443-663-manguito-igual-pe.html" TargetMode="External"/><Relationship Id="rId7" Type="http://schemas.openxmlformats.org/officeDocument/2006/relationships/hyperlink" Target="https://latiendadeljardin.com/es/piezas-de-polietileno/443-663-manguito-igual-pe.html" TargetMode="External"/><Relationship Id="rId8" Type="http://schemas.openxmlformats.org/officeDocument/2006/relationships/hyperlink" Target="https://latiendadeljardin.com/es/piezas-de-polietileno/443-663-manguito-igual-pe.html" TargetMode="External"/><Relationship Id="rId9" Type="http://schemas.openxmlformats.org/officeDocument/2006/relationships/hyperlink" Target="https://latiendadeljardin.com/es/piezas-de-polietileno/444-679-manguito-reducido-pe.html" TargetMode="External"/><Relationship Id="rId10" Type="http://schemas.openxmlformats.org/officeDocument/2006/relationships/hyperlink" Target="https://latiendadeljardin.com/es/piezas-de-polietileno/444-679-manguito-reducido-pe.html" TargetMode="External"/><Relationship Id="rId11" Type="http://schemas.openxmlformats.org/officeDocument/2006/relationships/hyperlink" Target="https://latiendadeljardin.com/es/piezas-de-polietileno/444-679-manguito-reducido-pe.html" TargetMode="External"/><Relationship Id="rId12" Type="http://schemas.openxmlformats.org/officeDocument/2006/relationships/hyperlink" Target="https://latiendadeljardin.com/es/piezas-de-polietileno/444-679-manguito-reducido-pe.html" TargetMode="External"/><Relationship Id="rId13" Type="http://schemas.openxmlformats.org/officeDocument/2006/relationships/hyperlink" Target="https://latiendadeljardin.com/es/piezas-de-polietileno/444-679-manguito-reducido-pe.html" TargetMode="External"/><Relationship Id="rId14" Type="http://schemas.openxmlformats.org/officeDocument/2006/relationships/hyperlink" Target="https://latiendadeljardin.com/es/piezas-de-polietileno/444-679-manguito-reducido-pe.html" TargetMode="External"/><Relationship Id="rId15" Type="http://schemas.openxmlformats.org/officeDocument/2006/relationships/hyperlink" Target="https://latiendadeljardin.com/es/piezas-de-polietileno/444-679-manguito-reducido-pe.html" TargetMode="External"/><Relationship Id="rId16" Type="http://schemas.openxmlformats.org/officeDocument/2006/relationships/hyperlink" Target="https://latiendadeljardin.com/es/piezas-de-polietileno/445-693-enlace-hembra-pe.html" TargetMode="External"/><Relationship Id="rId17" Type="http://schemas.openxmlformats.org/officeDocument/2006/relationships/hyperlink" Target="https://latiendadeljardin.com/es/piezas-de-polietileno/445-693-enlace-hembra-pe.html" TargetMode="External"/><Relationship Id="rId18" Type="http://schemas.openxmlformats.org/officeDocument/2006/relationships/hyperlink" Target="https://latiendadeljardin.com/es/piezas-de-polietileno/445-693-enlace-hembra-pe.html" TargetMode="External"/><Relationship Id="rId19" Type="http://schemas.openxmlformats.org/officeDocument/2006/relationships/hyperlink" Target="https://latiendadeljardin.com/es/piezas-de-polietileno/445-693-enlace-hembra-pe.html" TargetMode="External"/><Relationship Id="rId20" Type="http://schemas.openxmlformats.org/officeDocument/2006/relationships/hyperlink" Target="https://latiendadeljardin.com/es/piezas-de-polietileno/445-693-enlace-hembra-pe.html" TargetMode="External"/><Relationship Id="rId21" Type="http://schemas.openxmlformats.org/officeDocument/2006/relationships/hyperlink" Target="https://latiendadeljardin.com/es/piezas-de-polietileno/445-693-enlace-hembra-pe.html" TargetMode="External"/><Relationship Id="rId22" Type="http://schemas.openxmlformats.org/officeDocument/2006/relationships/hyperlink" Target="https://latiendadeljardin.com/es/piezas-de-polietileno/445-693-enlace-hembra-pe.html" TargetMode="External"/><Relationship Id="rId23" Type="http://schemas.openxmlformats.org/officeDocument/2006/relationships/hyperlink" Target="https://latiendadeljardin.com/es/piezas-de-polietileno/445-693-enlace-hembra-pe.html" TargetMode="External"/><Relationship Id="rId24" Type="http://schemas.openxmlformats.org/officeDocument/2006/relationships/hyperlink" Target="https://latiendadeljardin.com/es/piezas-de-polietileno/446-701-enlace-macho-pe.html" TargetMode="External"/><Relationship Id="rId25" Type="http://schemas.openxmlformats.org/officeDocument/2006/relationships/hyperlink" Target="https://latiendadeljardin.com/es/piezas-de-polietileno/446-701-enlace-macho-pe.html" TargetMode="External"/><Relationship Id="rId26" Type="http://schemas.openxmlformats.org/officeDocument/2006/relationships/hyperlink" Target="https://latiendadeljardin.com/es/piezas-de-polietileno/446-701-enlace-macho-pe.html" TargetMode="External"/><Relationship Id="rId27" Type="http://schemas.openxmlformats.org/officeDocument/2006/relationships/hyperlink" Target="https://latiendadeljardin.com/es/piezas-de-polietileno/446-701-enlace-macho-pe.html" TargetMode="External"/><Relationship Id="rId28" Type="http://schemas.openxmlformats.org/officeDocument/2006/relationships/hyperlink" Target="https://latiendadeljardin.com/es/piezas-de-polietileno/446-701-enlace-macho-pe.html" TargetMode="External"/><Relationship Id="rId29" Type="http://schemas.openxmlformats.org/officeDocument/2006/relationships/hyperlink" Target="https://latiendadeljardin.com/es/piezas-de-polietileno/446-701-enlace-macho-pe.html" TargetMode="External"/><Relationship Id="rId30" Type="http://schemas.openxmlformats.org/officeDocument/2006/relationships/hyperlink" Target="https://latiendadeljardin.com/es/piezas-de-polietileno/446-701-enlace-macho-pe.html" TargetMode="External"/><Relationship Id="rId31" Type="http://schemas.openxmlformats.org/officeDocument/2006/relationships/hyperlink" Target="https://latiendadeljardin.com/es/piezas-de-polietileno/446-701-enlace-macho-pe.html" TargetMode="External"/><Relationship Id="rId32" Type="http://schemas.openxmlformats.org/officeDocument/2006/relationships/hyperlink" Target="https://latiendadeljardin.com/es/piezas-de-polietileno/447-709-Codo-igual-pe.html" TargetMode="External"/><Relationship Id="rId33" Type="http://schemas.openxmlformats.org/officeDocument/2006/relationships/hyperlink" Target="https://latiendadeljardin.com/es/piezas-de-polietileno/447-709-Codo-igual-pe.html" TargetMode="External"/><Relationship Id="rId34" Type="http://schemas.openxmlformats.org/officeDocument/2006/relationships/hyperlink" Target="https://latiendadeljardin.com/es/piezas-de-polietileno/447-709-Codo-igual-pe.html" TargetMode="External"/><Relationship Id="rId35" Type="http://schemas.openxmlformats.org/officeDocument/2006/relationships/hyperlink" Target="https://latiendadeljardin.com/es/piezas-de-polietileno/447-709-Codo-igual-pe.html" TargetMode="External"/><Relationship Id="rId36" Type="http://schemas.openxmlformats.org/officeDocument/2006/relationships/hyperlink" Target="https://latiendadeljardin.com/es/piezas-de-polietileno/447-709-Codo-igual-pe.html" TargetMode="External"/><Relationship Id="rId37" Type="http://schemas.openxmlformats.org/officeDocument/2006/relationships/hyperlink" Target="https://latiendadeljardin.com/es/piezas-de-polietileno/447-709-Codo-igual-pe.html" TargetMode="External"/><Relationship Id="rId38" Type="http://schemas.openxmlformats.org/officeDocument/2006/relationships/hyperlink" Target="https://latiendadeljardin.com/es/piezas-de-polietileno/447-709-Codo-igual-pe.html" TargetMode="External"/><Relationship Id="rId39" Type="http://schemas.openxmlformats.org/officeDocument/2006/relationships/hyperlink" Target="https://latiendadeljardin.com/es/piezas-de-polietileno/447-709-Codo-igual-pe.html" TargetMode="External"/><Relationship Id="rId40" Type="http://schemas.openxmlformats.org/officeDocument/2006/relationships/hyperlink" Target="https://latiendadeljardin.com/es/piezas-de-polietileno/448-717-codo-hembra-pe.html" TargetMode="External"/><Relationship Id="rId41" Type="http://schemas.openxmlformats.org/officeDocument/2006/relationships/hyperlink" Target="https://latiendadeljardin.com/es/piezas-de-polietileno/448-717-codo-hembra-pe.html" TargetMode="External"/><Relationship Id="rId42" Type="http://schemas.openxmlformats.org/officeDocument/2006/relationships/hyperlink" Target="https://latiendadeljardin.com/es/piezas-de-polietileno/448-717-codo-hembra-pe.html" TargetMode="External"/><Relationship Id="rId43" Type="http://schemas.openxmlformats.org/officeDocument/2006/relationships/hyperlink" Target="https://latiendadeljardin.com/es/piezas-de-polietileno/448-717-codo-hembra-pe.html" TargetMode="External"/><Relationship Id="rId44" Type="http://schemas.openxmlformats.org/officeDocument/2006/relationships/hyperlink" Target="https://latiendadeljardin.com/es/piezas-de-polietileno/448-717-codo-hembra-pe.html" TargetMode="External"/><Relationship Id="rId45" Type="http://schemas.openxmlformats.org/officeDocument/2006/relationships/hyperlink" Target="https://latiendadeljardin.com/es/piezas-de-polietileno/448-717-codo-hembra-pe.html" TargetMode="External"/><Relationship Id="rId46" Type="http://schemas.openxmlformats.org/officeDocument/2006/relationships/hyperlink" Target="https://latiendadeljardin.com/es/piezas-de-polietileno/448-717-codo-hembra-pe.html" TargetMode="External"/><Relationship Id="rId47" Type="http://schemas.openxmlformats.org/officeDocument/2006/relationships/hyperlink" Target="https://latiendadeljardin.com/es/piezas-de-polietileno/448-717-codo-hembra-pe.html" TargetMode="External"/><Relationship Id="rId48" Type="http://schemas.openxmlformats.org/officeDocument/2006/relationships/hyperlink" Target="https://latiendadeljardin.com/es/piezas-de-polietileno/449-725-codo-macho-pe.html" TargetMode="External"/><Relationship Id="rId49" Type="http://schemas.openxmlformats.org/officeDocument/2006/relationships/hyperlink" Target="https://latiendadeljardin.com/es/piezas-de-polietileno/449-725-codo-macho-pe.html" TargetMode="External"/><Relationship Id="rId50" Type="http://schemas.openxmlformats.org/officeDocument/2006/relationships/hyperlink" Target="https://latiendadeljardin.com/es/piezas-de-polietileno/449-725-codo-macho-pe.html" TargetMode="External"/><Relationship Id="rId51" Type="http://schemas.openxmlformats.org/officeDocument/2006/relationships/hyperlink" Target="https://latiendadeljardin.com/es/piezas-de-polietileno/449-725-codo-macho-pe.html" TargetMode="External"/><Relationship Id="rId52" Type="http://schemas.openxmlformats.org/officeDocument/2006/relationships/hyperlink" Target="https://latiendadeljardin.com/es/piezas-de-polietileno/449-725-codo-macho-pe.html" TargetMode="External"/><Relationship Id="rId53" Type="http://schemas.openxmlformats.org/officeDocument/2006/relationships/hyperlink" Target="https://latiendadeljardin.com/es/piezas-de-polietileno/449-725-codo-macho-pe.html" TargetMode="External"/><Relationship Id="rId54" Type="http://schemas.openxmlformats.org/officeDocument/2006/relationships/hyperlink" Target="https://latiendadeljardin.com/es/piezas-de-polietileno/450-733-Te-igual-pe.html" TargetMode="External"/><Relationship Id="rId55" Type="http://schemas.openxmlformats.org/officeDocument/2006/relationships/hyperlink" Target="https://latiendadeljardin.com/es/piezas-de-polietileno/450-733-Te-igual-pe.html" TargetMode="External"/><Relationship Id="rId56" Type="http://schemas.openxmlformats.org/officeDocument/2006/relationships/hyperlink" Target="https://latiendadeljardin.com/es/piezas-de-polietileno/450-733-Te-igual-pe.html" TargetMode="External"/><Relationship Id="rId57" Type="http://schemas.openxmlformats.org/officeDocument/2006/relationships/hyperlink" Target="https://latiendadeljardin.com/es/piezas-de-polietileno/450-733-Te-igual-pe.html" TargetMode="External"/><Relationship Id="rId58" Type="http://schemas.openxmlformats.org/officeDocument/2006/relationships/hyperlink" Target="https://latiendadeljardin.com/es/piezas-de-polietileno/450-733-Te-igual-pe.html" TargetMode="External"/><Relationship Id="rId59" Type="http://schemas.openxmlformats.org/officeDocument/2006/relationships/hyperlink" Target="https://latiendadeljardin.com/es/piezas-de-polietileno/450-733-Te-igual-pe.html" TargetMode="External"/><Relationship Id="rId60" Type="http://schemas.openxmlformats.org/officeDocument/2006/relationships/hyperlink" Target="https://latiendadeljardin.com/es/piezas-de-polietileno/450-733-Te-igual-pe.html" TargetMode="External"/><Relationship Id="rId61" Type="http://schemas.openxmlformats.org/officeDocument/2006/relationships/hyperlink" Target="https://latiendadeljardin.com/es/piezas-de-polietileno/450-733-Te-igual-pe.html" TargetMode="External"/><Relationship Id="rId62" Type="http://schemas.openxmlformats.org/officeDocument/2006/relationships/hyperlink" Target="https://latiendadeljardin.com/es/piezas-de-polietileno/451-740-te-reducida-pe.html" TargetMode="External"/><Relationship Id="rId63" Type="http://schemas.openxmlformats.org/officeDocument/2006/relationships/hyperlink" Target="https://latiendadeljardin.com/es/piezas-de-polietileno/451-740-te-reducida-pe.html" TargetMode="External"/><Relationship Id="rId64" Type="http://schemas.openxmlformats.org/officeDocument/2006/relationships/hyperlink" Target="https://latiendadeljardin.com/es/piezas-de-polietileno/451-740-te-reducida-pe.html" TargetMode="External"/><Relationship Id="rId65" Type="http://schemas.openxmlformats.org/officeDocument/2006/relationships/hyperlink" Target="https://latiendadeljardin.com/es/piezas-de-polietileno/451-740-te-reducida-pe.html" TargetMode="External"/><Relationship Id="rId66" Type="http://schemas.openxmlformats.org/officeDocument/2006/relationships/hyperlink" Target="https://latiendadeljardin.com/es/piezas-de-polietileno/451-740-te-reducida-pe.html" TargetMode="External"/><Relationship Id="rId67" Type="http://schemas.openxmlformats.org/officeDocument/2006/relationships/hyperlink" Target="https://latiendadeljardin.com/es/piezas-de-polietileno/452-748-Te-hembra-pe.html" TargetMode="External"/><Relationship Id="rId68" Type="http://schemas.openxmlformats.org/officeDocument/2006/relationships/hyperlink" Target="https://latiendadeljardin.com/es/piezas-de-polietileno/452-748-Te-hembra-pe.html" TargetMode="External"/><Relationship Id="rId69" Type="http://schemas.openxmlformats.org/officeDocument/2006/relationships/hyperlink" Target="https://latiendadeljardin.com/es/piezas-de-polietileno/452-748-Te-hembra-pe.html" TargetMode="External"/><Relationship Id="rId70" Type="http://schemas.openxmlformats.org/officeDocument/2006/relationships/hyperlink" Target="https://latiendadeljardin.com/es/piezas-de-polietileno/452-748-Te-hembra-pe.html" TargetMode="External"/><Relationship Id="rId71" Type="http://schemas.openxmlformats.org/officeDocument/2006/relationships/hyperlink" Target="https://latiendadeljardin.com/es/piezas-de-polietileno/452-748-Te-hembra-pe.html" TargetMode="External"/><Relationship Id="rId72" Type="http://schemas.openxmlformats.org/officeDocument/2006/relationships/hyperlink" Target="https://latiendadeljardin.com/es/piezas-de-polietileno/452-748-Te-hembra-pe.html" TargetMode="External"/><Relationship Id="rId73" Type="http://schemas.openxmlformats.org/officeDocument/2006/relationships/hyperlink" Target="https://latiendadeljardin.com/es/piezas-de-polietileno/452-748-Te-hembra-pe.html" TargetMode="External"/><Relationship Id="rId74" Type="http://schemas.openxmlformats.org/officeDocument/2006/relationships/hyperlink" Target="https://latiendadeljardin.com/es/piezas-de-polietileno/452-748-Te-hembra-pe.html" TargetMode="External"/><Relationship Id="rId75" Type="http://schemas.openxmlformats.org/officeDocument/2006/relationships/hyperlink" Target="https://latiendadeljardin.com/es/piezas-de-polietileno/453-756-Te-macho-pe.html" TargetMode="External"/><Relationship Id="rId76" Type="http://schemas.openxmlformats.org/officeDocument/2006/relationships/hyperlink" Target="https://latiendadeljardin.com/es/piezas-de-polietileno/453-756-Te-macho-pe.html" TargetMode="External"/><Relationship Id="rId77" Type="http://schemas.openxmlformats.org/officeDocument/2006/relationships/hyperlink" Target="https://latiendadeljardin.com/es/piezas-de-polietileno/453-756-Te-macho-pe.html" TargetMode="External"/><Relationship Id="rId78" Type="http://schemas.openxmlformats.org/officeDocument/2006/relationships/hyperlink" Target="https://latiendadeljardin.com/es/piezas-de-polietileno/453-756-Te-macho-pe.html" TargetMode="External"/><Relationship Id="rId79" Type="http://schemas.openxmlformats.org/officeDocument/2006/relationships/hyperlink" Target="https://latiendadeljardin.com/es/piezas-de-polietileno/453-756-Te-macho-pe.html" TargetMode="External"/><Relationship Id="rId80" Type="http://schemas.openxmlformats.org/officeDocument/2006/relationships/hyperlink" Target="https://latiendadeljardin.com/es/piezas-de-polietileno/453-756-Te-macho-pe.html" TargetMode="External"/><Relationship Id="rId81" Type="http://schemas.openxmlformats.org/officeDocument/2006/relationships/hyperlink" Target="https://latiendadeljardin.com/es/piezas-de-polietileno/454-764-tapon-final-pe.html" TargetMode="External"/><Relationship Id="rId82" Type="http://schemas.openxmlformats.org/officeDocument/2006/relationships/hyperlink" Target="https://latiendadeljardin.com/es/piezas-de-polietileno/454-764-tapon-final-pe.html" TargetMode="External"/><Relationship Id="rId83" Type="http://schemas.openxmlformats.org/officeDocument/2006/relationships/hyperlink" Target="https://latiendadeljardin.com/es/piezas-de-polietileno/454-764-tapon-final-pe.html" TargetMode="External"/><Relationship Id="rId84" Type="http://schemas.openxmlformats.org/officeDocument/2006/relationships/hyperlink" Target="https://latiendadeljardin.com/es/piezas-de-polietileno/454-764-tapon-final-pe.html" TargetMode="External"/><Relationship Id="rId85" Type="http://schemas.openxmlformats.org/officeDocument/2006/relationships/hyperlink" Target="https://latiendadeljardin.com/es/piezas-de-polietileno/454-764-tapon-final-pe.html" TargetMode="External"/><Relationship Id="rId86" Type="http://schemas.openxmlformats.org/officeDocument/2006/relationships/hyperlink" Target="https://latiendadeljardin.com/es/piezas-de-polietileno/454-764-tapon-final-pe.html" TargetMode="External"/><Relationship Id="rId87" Type="http://schemas.openxmlformats.org/officeDocument/2006/relationships/hyperlink" Target="https://latiendadeljardin.com/es/piezas-de-polietileno/454-764-tapon-final-pe.html" TargetMode="External"/><Relationship Id="rId88" Type="http://schemas.openxmlformats.org/officeDocument/2006/relationships/hyperlink" Target="https://latiendadeljardin.com/es/piezas-de-polietileno/454-764-tapon-final-pe.html" TargetMode="External"/><Relationship Id="rId89" Type="http://schemas.openxmlformats.org/officeDocument/2006/relationships/hyperlink" Target="https://latiendadeljardin.com/es/piezas-de-polietileno/455-772-codo-grifo-pe.html" TargetMode="External"/><Relationship Id="rId90" Type="http://schemas.openxmlformats.org/officeDocument/2006/relationships/hyperlink" Target="https://latiendadeljardin.com/es/piezas-de-polietileno/455-772-codo-grifo-pe.html" TargetMode="External"/><Relationship Id="rId91" Type="http://schemas.openxmlformats.org/officeDocument/2006/relationships/hyperlink" Target="https://latiendadeljardin.com/es/piezas-de-polietileno/663-1076-machon-igual-polietileno.html" TargetMode="External"/><Relationship Id="rId92" Type="http://schemas.openxmlformats.org/officeDocument/2006/relationships/hyperlink" Target="https://latiendadeljardin.com/es/piezas-de-polietileno/663-1076-machon-igual-polietileno.html" TargetMode="External"/><Relationship Id="rId93" Type="http://schemas.openxmlformats.org/officeDocument/2006/relationships/hyperlink" Target="https://latiendadeljardin.com/es/piezas-de-polietileno/663-1076-machon-igual-polietileno.html" TargetMode="External"/><Relationship Id="rId94" Type="http://schemas.openxmlformats.org/officeDocument/2006/relationships/hyperlink" Target="https://latiendadeljardin.com/es/piezas-de-polietileno/663-1076-machon-igual-polietileno.html" TargetMode="External"/><Relationship Id="rId95" Type="http://schemas.openxmlformats.org/officeDocument/2006/relationships/hyperlink" Target="https://latiendadeljardin.com/es/piezas-de-polietileno/663-1076-machon-igual-polietileno.html" TargetMode="External"/><Relationship Id="rId96" Type="http://schemas.openxmlformats.org/officeDocument/2006/relationships/hyperlink" Target="https://latiendadeljardin.com/es/piezas-de-polietileno/663-1076-machon-igual-polietileno.html" TargetMode="External"/><Relationship Id="rId97" Type="http://schemas.openxmlformats.org/officeDocument/2006/relationships/hyperlink" Target="https://latiendadeljardin.com/es/piezas-de-polietileno/663-1076-machon-igual-polietileno.html" TargetMode="External"/><Relationship Id="rId98" Type="http://schemas.openxmlformats.org/officeDocument/2006/relationships/hyperlink" Target="https://latiendadeljardin.com/es/piezas-de-polietileno/663-1076-machon-igual-polietileno.html" TargetMode="External"/><Relationship Id="rId99" Type="http://schemas.openxmlformats.org/officeDocument/2006/relationships/hyperlink" Target="https://latiendadeljardin.com/es/piezas-de-polietileno/1638-2100-machon-reducido-polietileno.html" TargetMode="External"/><Relationship Id="rId100" Type="http://schemas.openxmlformats.org/officeDocument/2006/relationships/hyperlink" Target="https://latiendadeljardin.com/es/piezas-de-polietileno/1638-2100-machon-reducido-polietileno.html" TargetMode="External"/><Relationship Id="rId101" Type="http://schemas.openxmlformats.org/officeDocument/2006/relationships/hyperlink" Target="https://latiendadeljardin.com/es/piezas-de-polietileno/1638-2100-machon-reducido-polietileno.html" TargetMode="External"/><Relationship Id="rId102" Type="http://schemas.openxmlformats.org/officeDocument/2006/relationships/hyperlink" Target="https://latiendadeljardin.com/es/piezas-de-polietileno/1638-2100-machon-reducido-polietileno.html" TargetMode="External"/><Relationship Id="rId103" Type="http://schemas.openxmlformats.org/officeDocument/2006/relationships/hyperlink" Target="https://latiendadeljardin.com/es/piezas-de-polietileno/1638-2100-machon-reducido-polietileno.html" TargetMode="External"/><Relationship Id="rId104" Type="http://schemas.openxmlformats.org/officeDocument/2006/relationships/hyperlink" Target="https://latiendadeljardin.com/es/piezas-de-polietileno/1638-2100-machon-reducido-polietileno.html" TargetMode="External"/><Relationship Id="rId105" Type="http://schemas.openxmlformats.org/officeDocument/2006/relationships/hyperlink" Target="https://latiendadeljardin.com/es/piezas-de-polietileno/1638-2100-machon-reducido-polietileno.html" TargetMode="External"/><Relationship Id="rId106" Type="http://schemas.openxmlformats.org/officeDocument/2006/relationships/hyperlink" Target="https://latiendadeljardin.com/es/piezas-de-polietileno/1638-2100-machon-reducido-polietileno.html" TargetMode="External"/><Relationship Id="rId107" Type="http://schemas.openxmlformats.org/officeDocument/2006/relationships/hyperlink" Target="https://latiendadeljardin.com/es/piezas-de-polietileno/1638-2100-machon-reducido-polietileno.html" TargetMode="External"/><Relationship Id="rId108" Type="http://schemas.openxmlformats.org/officeDocument/2006/relationships/hyperlink" Target="https://latiendadeljardin.com/es/piezas-de-polietileno/1638-2100-machon-reducido-polietileno.html" TargetMode="External"/><Relationship Id="rId109" Type="http://schemas.openxmlformats.org/officeDocument/2006/relationships/hyperlink" Target="https://latiendadeljardin.com/es/piezas-de-polietileno/3184-2369-tuerca-reducida-pe.html" TargetMode="External"/><Relationship Id="rId110" Type="http://schemas.openxmlformats.org/officeDocument/2006/relationships/hyperlink" Target="https://latiendadeljardin.com/es/piezas-de-polietileno/3184-2369-tuerca-reducida-pe.html" TargetMode="External"/><Relationship Id="rId111" Type="http://schemas.openxmlformats.org/officeDocument/2006/relationships/hyperlink" Target="https://latiendadeljardin.com/es/piezas-de-polietileno/3184-2369-tuerca-reducida-pe.html" TargetMode="External"/><Relationship Id="rId112" Type="http://schemas.openxmlformats.org/officeDocument/2006/relationships/hyperlink" Target="https://latiendadeljardin.com/es/piezas-de-polietileno/3184-2369-tuerca-reducida-pe.html" TargetMode="External"/><Relationship Id="rId113" Type="http://schemas.openxmlformats.org/officeDocument/2006/relationships/hyperlink" Target="https://latiendadeljardin.com/es/piezas-de-polietileno/3184-2369-tuerca-reducida-pe.html" TargetMode="External"/><Relationship Id="rId114" Type="http://schemas.openxmlformats.org/officeDocument/2006/relationships/hyperlink" Target="https://latiendadeljardin.com/es/piezas-de-polietileno/3184-2369-tuerca-reducida-pe.html" TargetMode="External"/><Relationship Id="rId115" Type="http://schemas.openxmlformats.org/officeDocument/2006/relationships/hyperlink" Target="https://latiendadeljardin.com/es/piezas-de-polietileno/3184-2369-tuerca-reducida-pe.html" TargetMode="External"/><Relationship Id="rId116" Type="http://schemas.openxmlformats.org/officeDocument/2006/relationships/hyperlink" Target="https://latiendadeljardin.com/es/piezas-de-polietileno/3184-2369-tuerca-reducida-pe.html" TargetMode="External"/><Relationship Id="rId117" Type="http://schemas.openxmlformats.org/officeDocument/2006/relationships/hyperlink" Target="https://latiendadeljardin.com/es/piezas-de-polietileno/3184-2369-tuerca-reducida-pe.html" TargetMode="External"/><Relationship Id="rId118" Type="http://schemas.openxmlformats.org/officeDocument/2006/relationships/hyperlink" Target="https://latiendadeljardin.com/es/piezas-de-polietileno/3184-2369-tuerca-reducida-pe.html" TargetMode="External"/><Relationship Id="rId119" Type="http://schemas.openxmlformats.org/officeDocument/2006/relationships/hyperlink" Target="https://latiendadeljardin.com/es/piezas-de-polietileno/3184-2369-tuerca-reducida-pe.html" TargetMode="External"/><Relationship Id="rId120" Type="http://schemas.openxmlformats.org/officeDocument/2006/relationships/hyperlink" Target="https://latiendadeljardin.com/es/piezas-de-polietileno/3184-2369-tuerca-reducida-pe.html" TargetMode="External"/><Relationship Id="rId121" Type="http://schemas.openxmlformats.org/officeDocument/2006/relationships/hyperlink" Target="https://latiendadeljardin.com/es/piezas-de-polietileno/1637-2091-manguito-hembra-pp.html" TargetMode="External"/><Relationship Id="rId122" Type="http://schemas.openxmlformats.org/officeDocument/2006/relationships/hyperlink" Target="https://latiendadeljardin.com/es/piezas-de-polietileno/1637-2091-manguito-hembra-pp.html" TargetMode="External"/><Relationship Id="rId123" Type="http://schemas.openxmlformats.org/officeDocument/2006/relationships/hyperlink" Target="https://latiendadeljardin.com/es/piezas-de-polietileno/1637-2091-manguito-hembra-pp.html" TargetMode="External"/><Relationship Id="rId124" Type="http://schemas.openxmlformats.org/officeDocument/2006/relationships/hyperlink" Target="https://latiendadeljardin.com/es/piezas-de-polietileno/1637-2091-manguito-hembra-pp.html" TargetMode="External"/><Relationship Id="rId125" Type="http://schemas.openxmlformats.org/officeDocument/2006/relationships/hyperlink" Target="https://latiendadeljardin.com/es/piezas-de-polietileno/1637-2091-manguito-hembra-pp.html" TargetMode="External"/><Relationship Id="rId126" Type="http://schemas.openxmlformats.org/officeDocument/2006/relationships/hyperlink" Target="https://latiendadeljardin.com/es/piezas-de-polietileno/1637-2091-manguito-hembra-pp.html" TargetMode="External"/><Relationship Id="rId127" Type="http://schemas.openxmlformats.org/officeDocument/2006/relationships/hyperlink" Target="https://latiendadeljardin.com/es/depositos-de-poliester/756-pasamuros-deposito-agua-32mm-8420020022769.html" TargetMode="External"/><Relationship Id="rId128" Type="http://schemas.openxmlformats.org/officeDocument/2006/relationships/hyperlink" Target="https://latiendadeljardin.com/es/depositos-de-poliester/757-adaptador-depositos-macho-32mm-8420020022752.html" TargetMode="External"/><Relationship Id="rId129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4" t="s">
        <v>23</v>
      </c>
    </row>
    <row r="3" customFormat="false" ht="15" hidden="false" customHeight="false" outlineLevel="0" collapsed="false">
      <c r="A3" s="5" t="s">
        <v>24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</row>
    <row r="5" customFormat="false" ht="15" hidden="false" customHeight="false" outlineLevel="0" collapsed="false">
      <c r="A5" s="7" t="n">
        <v>20</v>
      </c>
      <c r="B5" s="7" t="s">
        <v>32</v>
      </c>
      <c r="C5" s="8" t="n">
        <v>2</v>
      </c>
      <c r="D5" s="9" t="n">
        <f aca="false">A5-2*C5</f>
        <v>16</v>
      </c>
      <c r="E5" s="10" t="n">
        <v>13</v>
      </c>
      <c r="F5" s="7" t="s">
        <v>32</v>
      </c>
      <c r="G5" s="11" t="n">
        <v>0.027</v>
      </c>
    </row>
    <row r="6" customFormat="false" ht="15" hidden="false" customHeight="false" outlineLevel="0" collapsed="false">
      <c r="A6" s="7" t="n">
        <v>25</v>
      </c>
      <c r="B6" s="7" t="s">
        <v>33</v>
      </c>
      <c r="C6" s="8" t="n">
        <v>2.3</v>
      </c>
      <c r="D6" s="9" t="n">
        <f aca="false">A6-2*C6</f>
        <v>20.4</v>
      </c>
      <c r="E6" s="10" t="n">
        <v>17</v>
      </c>
      <c r="F6" s="7" t="s">
        <v>33</v>
      </c>
      <c r="G6" s="11" t="n">
        <v>0.025</v>
      </c>
    </row>
    <row r="7" customFormat="false" ht="15" hidden="false" customHeight="false" outlineLevel="0" collapsed="false">
      <c r="A7" s="7" t="n">
        <v>32</v>
      </c>
      <c r="B7" s="7" t="s">
        <v>34</v>
      </c>
      <c r="C7" s="8" t="n">
        <v>2.9</v>
      </c>
      <c r="D7" s="9" t="n">
        <f aca="false">A7-2*C7</f>
        <v>26.2</v>
      </c>
      <c r="E7" s="10" t="n">
        <v>22</v>
      </c>
      <c r="F7" s="7" t="s">
        <v>34</v>
      </c>
      <c r="G7" s="11" t="n">
        <v>0.023</v>
      </c>
    </row>
    <row r="8" customFormat="false" ht="15" hidden="false" customHeight="false" outlineLevel="0" collapsed="false">
      <c r="A8" s="7" t="n">
        <v>40</v>
      </c>
      <c r="B8" s="7" t="s">
        <v>35</v>
      </c>
      <c r="C8" s="8" t="n">
        <v>3.7</v>
      </c>
      <c r="D8" s="9" t="n">
        <f aca="false">A8-2*C8</f>
        <v>32.6</v>
      </c>
      <c r="E8" s="10" t="n">
        <v>28</v>
      </c>
      <c r="F8" s="7" t="s">
        <v>35</v>
      </c>
      <c r="G8" s="11" t="n">
        <v>0.022</v>
      </c>
    </row>
    <row r="9" customFormat="false" ht="15" hidden="false" customHeight="false" outlineLevel="0" collapsed="false">
      <c r="A9" s="7" t="n">
        <v>50</v>
      </c>
      <c r="B9" s="7" t="s">
        <v>36</v>
      </c>
      <c r="C9" s="8" t="n">
        <v>4.6</v>
      </c>
      <c r="D9" s="9" t="n">
        <f aca="false">A9-2*C9</f>
        <v>40.8</v>
      </c>
      <c r="E9" s="10" t="n">
        <v>35</v>
      </c>
      <c r="F9" s="7" t="s">
        <v>36</v>
      </c>
      <c r="G9" s="11" t="n">
        <v>0.021</v>
      </c>
    </row>
    <row r="10" customFormat="false" ht="15" hidden="false" customHeight="false" outlineLevel="0" collapsed="false">
      <c r="A10" s="7" t="n">
        <v>63</v>
      </c>
      <c r="B10" s="7" t="s">
        <v>37</v>
      </c>
      <c r="C10" s="8" t="n">
        <v>5.8</v>
      </c>
      <c r="D10" s="9" t="n">
        <f aca="false">A10-2*C10</f>
        <v>51.4</v>
      </c>
      <c r="E10" s="10" t="n">
        <v>45</v>
      </c>
      <c r="F10" s="7" t="s">
        <v>37</v>
      </c>
      <c r="G10" s="11" t="n">
        <v>0.019</v>
      </c>
    </row>
    <row r="11" customFormat="false" ht="15" hidden="false" customHeight="false" outlineLevel="0" collapsed="false">
      <c r="A11" s="7" t="n">
        <v>75</v>
      </c>
      <c r="B11" s="7" t="s">
        <v>38</v>
      </c>
      <c r="C11" s="8" t="n">
        <v>6.8</v>
      </c>
      <c r="D11" s="9" t="n">
        <f aca="false">A11-2*C11</f>
        <v>61.4</v>
      </c>
      <c r="E11" s="10" t="n">
        <v>54</v>
      </c>
      <c r="F11" s="7" t="s">
        <v>38</v>
      </c>
      <c r="G11" s="11" t="n">
        <v>0.018</v>
      </c>
    </row>
    <row r="12" customFormat="false" ht="15" hidden="false" customHeight="false" outlineLevel="0" collapsed="false">
      <c r="A12" s="7" t="n">
        <v>90</v>
      </c>
      <c r="B12" s="7" t="s">
        <v>39</v>
      </c>
      <c r="C12" s="8" t="n">
        <v>8.2</v>
      </c>
      <c r="D12" s="9" t="n">
        <f aca="false">A12-2*C12</f>
        <v>73.6</v>
      </c>
      <c r="E12" s="10" t="n">
        <v>66</v>
      </c>
      <c r="F12" s="7" t="s">
        <v>39</v>
      </c>
      <c r="G12" s="11" t="n">
        <v>0.018</v>
      </c>
    </row>
    <row r="14" customFormat="false" ht="15" hidden="false" customHeight="false" outlineLevel="0" collapsed="false">
      <c r="A14" s="5" t="s">
        <v>40</v>
      </c>
    </row>
    <row r="15" customFormat="false" ht="15" hidden="false" customHeight="false" outlineLevel="0" collapsed="false">
      <c r="A15" s="12" t="s">
        <v>41</v>
      </c>
      <c r="B15" s="12" t="s">
        <v>42</v>
      </c>
      <c r="C15" s="12" t="s">
        <v>31</v>
      </c>
    </row>
    <row r="16" customFormat="false" ht="15" hidden="false" customHeight="false" outlineLevel="0" collapsed="false">
      <c r="A16" s="7" t="s">
        <v>32</v>
      </c>
      <c r="B16" s="10" t="n">
        <v>15.8</v>
      </c>
      <c r="C16" s="11" t="n">
        <v>0.027</v>
      </c>
    </row>
    <row r="17" customFormat="false" ht="15" hidden="false" customHeight="false" outlineLevel="0" collapsed="false">
      <c r="A17" s="7" t="s">
        <v>33</v>
      </c>
      <c r="B17" s="10" t="n">
        <v>20.9</v>
      </c>
      <c r="C17" s="11" t="n">
        <v>0.025</v>
      </c>
    </row>
    <row r="18" customFormat="false" ht="15" hidden="false" customHeight="false" outlineLevel="0" collapsed="false">
      <c r="A18" s="7" t="s">
        <v>34</v>
      </c>
      <c r="B18" s="10" t="n">
        <v>26.6</v>
      </c>
      <c r="C18" s="11" t="n">
        <v>0.023</v>
      </c>
    </row>
    <row r="19" customFormat="false" ht="15" hidden="false" customHeight="false" outlineLevel="0" collapsed="false">
      <c r="A19" s="7" t="s">
        <v>35</v>
      </c>
      <c r="B19" s="10" t="n">
        <v>35.1</v>
      </c>
      <c r="C19" s="11" t="n">
        <v>0.022</v>
      </c>
    </row>
    <row r="20" customFormat="false" ht="15" hidden="false" customHeight="false" outlineLevel="0" collapsed="false">
      <c r="A20" s="7" t="s">
        <v>36</v>
      </c>
      <c r="B20" s="10" t="n">
        <v>40.9</v>
      </c>
      <c r="C20" s="11" t="n">
        <v>0.021</v>
      </c>
    </row>
    <row r="21" customFormat="false" ht="15" hidden="false" customHeight="false" outlineLevel="0" collapsed="false">
      <c r="A21" s="7" t="s">
        <v>37</v>
      </c>
      <c r="B21" s="10" t="n">
        <v>52.5</v>
      </c>
      <c r="C21" s="11" t="n">
        <v>0.019</v>
      </c>
    </row>
    <row r="22" customFormat="false" ht="15" hidden="false" customHeight="false" outlineLevel="0" collapsed="false">
      <c r="A22" s="7" t="s">
        <v>38</v>
      </c>
      <c r="B22" s="10" t="n">
        <v>62.7</v>
      </c>
      <c r="C22" s="11" t="n">
        <v>0.018</v>
      </c>
    </row>
    <row r="23" customFormat="false" ht="15" hidden="false" customHeight="false" outlineLevel="0" collapsed="false">
      <c r="A23" s="7" t="s">
        <v>39</v>
      </c>
      <c r="B23" s="10" t="n">
        <v>77.9</v>
      </c>
      <c r="C23" s="11" t="n">
        <v>0.018</v>
      </c>
    </row>
    <row r="25" customFormat="false" ht="15" hidden="false" customHeight="false" outlineLevel="0" collapsed="false">
      <c r="A25" s="5" t="s">
        <v>43</v>
      </c>
    </row>
    <row r="26" customFormat="false" ht="15" hidden="false" customHeight="false" outlineLevel="0" collapsed="false">
      <c r="A26" s="12" t="s">
        <v>44</v>
      </c>
      <c r="B26" s="12" t="s">
        <v>45</v>
      </c>
      <c r="C26" s="12" t="s">
        <v>46</v>
      </c>
      <c r="D26" s="12" t="s">
        <v>47</v>
      </c>
      <c r="E26" s="12" t="s">
        <v>48</v>
      </c>
      <c r="F26" s="12" t="s">
        <v>49</v>
      </c>
    </row>
    <row r="27" customFormat="false" ht="15" hidden="false" customHeight="false" outlineLevel="0" collapsed="false">
      <c r="A27" s="13" t="s">
        <v>50</v>
      </c>
      <c r="B27" s="13" t="s">
        <v>51</v>
      </c>
      <c r="C27" s="7" t="n">
        <v>0</v>
      </c>
      <c r="D27" s="7"/>
      <c r="E27" s="7" t="n">
        <v>0</v>
      </c>
      <c r="F27" s="13" t="s">
        <v>52</v>
      </c>
    </row>
    <row r="28" customFormat="false" ht="15" hidden="false" customHeight="false" outlineLevel="0" collapsed="false">
      <c r="A28" s="13" t="s">
        <v>53</v>
      </c>
      <c r="B28" s="13" t="s">
        <v>54</v>
      </c>
      <c r="C28" s="7" t="n">
        <v>30</v>
      </c>
      <c r="D28" s="7"/>
      <c r="E28" s="7" t="n">
        <v>0</v>
      </c>
      <c r="F28" s="13" t="s">
        <v>55</v>
      </c>
    </row>
    <row r="29" customFormat="false" ht="15" hidden="false" customHeight="false" outlineLevel="0" collapsed="false">
      <c r="A29" s="13" t="s">
        <v>56</v>
      </c>
      <c r="B29" s="13" t="s">
        <v>57</v>
      </c>
      <c r="C29" s="7" t="n">
        <v>20</v>
      </c>
      <c r="D29" s="7" t="n">
        <v>60</v>
      </c>
      <c r="E29" s="7" t="n">
        <v>0</v>
      </c>
      <c r="F29" s="13" t="s">
        <v>58</v>
      </c>
    </row>
    <row r="30" customFormat="false" ht="15" hidden="false" customHeight="false" outlineLevel="0" collapsed="false">
      <c r="A30" s="13" t="s">
        <v>59</v>
      </c>
      <c r="B30" s="13" t="s">
        <v>60</v>
      </c>
      <c r="C30" s="7" t="n">
        <v>0</v>
      </c>
      <c r="D30" s="7"/>
      <c r="E30" s="7" t="n">
        <v>0.04</v>
      </c>
      <c r="F30" s="13" t="s">
        <v>61</v>
      </c>
    </row>
    <row r="31" customFormat="false" ht="15" hidden="false" customHeight="false" outlineLevel="0" collapsed="false">
      <c r="A31" s="13" t="s">
        <v>62</v>
      </c>
      <c r="B31" s="13" t="s">
        <v>63</v>
      </c>
      <c r="C31" s="7" t="n">
        <v>0</v>
      </c>
      <c r="D31" s="7"/>
      <c r="E31" s="7" t="n">
        <v>0.5</v>
      </c>
      <c r="F31" s="1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4" t="s">
        <v>65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  <c r="H1" s="14" t="s">
        <v>72</v>
      </c>
      <c r="I1" s="14" t="s">
        <v>73</v>
      </c>
    </row>
    <row r="2" customFormat="false" ht="15" hidden="false" customHeight="false" outlineLevel="0" collapsed="false">
      <c r="A2" s="7" t="s">
        <v>74</v>
      </c>
      <c r="B2" s="7" t="s">
        <v>75</v>
      </c>
      <c r="C2" s="7" t="n">
        <v>4</v>
      </c>
      <c r="D2" s="7" t="s">
        <v>76</v>
      </c>
      <c r="E2" s="15" t="n">
        <v>12.95</v>
      </c>
      <c r="F2" s="16" t="n">
        <f aca="false">IF(E2="","",E2/C2)</f>
        <v>3.2375</v>
      </c>
      <c r="G2" s="17" t="n">
        <f aca="false">IF(D2="","",IFERROR(INDEX(Accesorios!$S$2:$S$129,MATCH(D2,Accesorios!$A$2:$A$129,0)),""))</f>
        <v>0.654914043625924</v>
      </c>
      <c r="H2" s="18" t="s">
        <v>77</v>
      </c>
      <c r="I2" s="7"/>
    </row>
    <row r="3" customFormat="false" ht="15" hidden="false" customHeight="false" outlineLevel="0" collapsed="false">
      <c r="A3" s="7" t="s">
        <v>78</v>
      </c>
      <c r="B3" s="7" t="s">
        <v>79</v>
      </c>
      <c r="C3" s="7" t="n">
        <v>4</v>
      </c>
      <c r="D3" s="7" t="s">
        <v>80</v>
      </c>
      <c r="E3" s="15" t="n">
        <v>11.95</v>
      </c>
      <c r="F3" s="16" t="n">
        <f aca="false">IF(E3="","",E3/C3)</f>
        <v>2.9875</v>
      </c>
      <c r="G3" s="17" t="n">
        <f aca="false">IF(D3="","",IFERROR(INDEX(Accesorios!$S$2:$S$129,MATCH(D3,Accesorios!$A$2:$A$129,0)),""))</f>
        <v>0.5104</v>
      </c>
      <c r="H3" s="18" t="s">
        <v>81</v>
      </c>
      <c r="I3" s="7"/>
    </row>
    <row r="4" customFormat="false" ht="15" hidden="false" customHeight="false" outlineLevel="0" collapsed="false">
      <c r="A4" s="7" t="s">
        <v>82</v>
      </c>
      <c r="B4" s="7" t="s">
        <v>83</v>
      </c>
      <c r="C4" s="7" t="n">
        <v>4</v>
      </c>
      <c r="D4" s="7" t="s">
        <v>84</v>
      </c>
      <c r="E4" s="15" t="n">
        <v>14.95</v>
      </c>
      <c r="F4" s="16" t="n">
        <f aca="false">IF(E4="","",E4/C4)</f>
        <v>3.7375</v>
      </c>
      <c r="G4" s="17" t="n">
        <f aca="false">IF(D4="","",IFERROR(INDEX(Accesorios!$S$2:$S$129,MATCH(D4,Accesorios!$A$2:$A$129,0)),""))</f>
        <v>0.471549972679462</v>
      </c>
      <c r="H4" s="18" t="s">
        <v>85</v>
      </c>
      <c r="I4" s="7"/>
    </row>
    <row r="5" customFormat="false" ht="15" hidden="false" customHeight="false" outlineLevel="0" collapsed="false">
      <c r="A5" s="7" t="s">
        <v>86</v>
      </c>
      <c r="B5" s="7" t="s">
        <v>87</v>
      </c>
      <c r="C5" s="7" t="n">
        <v>4</v>
      </c>
      <c r="D5" s="7" t="s">
        <v>88</v>
      </c>
      <c r="E5" s="15" t="n">
        <v>24.95</v>
      </c>
      <c r="F5" s="16" t="n">
        <f aca="false">IF(E5="","",E5/C5)</f>
        <v>6.2375</v>
      </c>
      <c r="G5" s="17" t="n">
        <f aca="false">IF(D5="","",IFERROR(INDEX(Accesorios!$S$2:$S$129,MATCH(D5,Accesorios!$A$2:$A$129,0)),""))</f>
        <v>0.367416288785923</v>
      </c>
      <c r="H5" s="18" t="s">
        <v>89</v>
      </c>
      <c r="I5" s="7"/>
    </row>
    <row r="6" customFormat="false" ht="15" hidden="false" customHeight="false" outlineLevel="0" collapsed="false">
      <c r="A6" s="7" t="s">
        <v>90</v>
      </c>
      <c r="B6" s="7" t="s">
        <v>91</v>
      </c>
      <c r="C6" s="7" t="n">
        <v>4</v>
      </c>
      <c r="D6" s="7" t="s">
        <v>92</v>
      </c>
      <c r="E6" s="15" t="n">
        <v>37.95</v>
      </c>
      <c r="F6" s="16" t="n">
        <f aca="false">IF(E6="","",E6/C6)</f>
        <v>9.4875</v>
      </c>
      <c r="G6" s="17" t="n">
        <f aca="false">IF(D6="","",IFERROR(INDEX(Accesorios!$S$2:$S$129,MATCH(D6,Accesorios!$A$2:$A$129,0)),""))</f>
        <v>0.372647726380675</v>
      </c>
      <c r="H6" s="18" t="s">
        <v>93</v>
      </c>
      <c r="I6" s="7"/>
    </row>
    <row r="7" customFormat="false" ht="15" hidden="false" customHeight="false" outlineLevel="0" collapsed="false">
      <c r="A7" s="7" t="s">
        <v>94</v>
      </c>
      <c r="B7" s="7" t="s">
        <v>95</v>
      </c>
      <c r="C7" s="7" t="n">
        <v>4</v>
      </c>
      <c r="D7" s="7" t="s">
        <v>96</v>
      </c>
      <c r="E7" s="15" t="n">
        <v>58.95</v>
      </c>
      <c r="F7" s="16" t="n">
        <f aca="false">IF(E7="","",E7/C7)</f>
        <v>14.7375</v>
      </c>
      <c r="G7" s="17" t="n">
        <f aca="false">IF(D7="","",IFERROR(INDEX(Accesorios!$S$2:$S$129,MATCH(D7,Accesorios!$A$2:$A$129,0)),""))</f>
        <v>0.291572982752629</v>
      </c>
      <c r="H7" s="18" t="s">
        <v>97</v>
      </c>
      <c r="I7" s="7"/>
    </row>
    <row r="8" customFormat="false" ht="15" hidden="false" customHeight="false" outlineLevel="0" collapsed="false">
      <c r="A8" s="7" t="s">
        <v>98</v>
      </c>
      <c r="B8" s="7" t="s">
        <v>99</v>
      </c>
      <c r="C8" s="7" t="n">
        <v>5</v>
      </c>
      <c r="D8" s="7" t="s">
        <v>100</v>
      </c>
      <c r="E8" s="15" t="n">
        <v>88.95</v>
      </c>
      <c r="F8" s="16" t="n">
        <f aca="false">IF(E8="","",E8/C8)</f>
        <v>17.79</v>
      </c>
      <c r="G8" s="17" t="n">
        <f aca="false">IF(D8="","",IFERROR(INDEX(Accesorios!$S$2:$S$129,MATCH(D8,Accesorios!$A$2:$A$129,0)),""))</f>
        <v>0.275071127651047</v>
      </c>
      <c r="H8" s="18" t="s">
        <v>101</v>
      </c>
      <c r="I8" s="7"/>
    </row>
    <row r="9" customFormat="false" ht="15" hidden="false" customHeight="false" outlineLevel="0" collapsed="false">
      <c r="A9" s="7" t="s">
        <v>102</v>
      </c>
      <c r="B9" s="7" t="s">
        <v>103</v>
      </c>
      <c r="C9" s="7" t="n">
        <v>5</v>
      </c>
      <c r="D9" s="7" t="s">
        <v>104</v>
      </c>
      <c r="E9" s="15" t="n">
        <v>130.95</v>
      </c>
      <c r="F9" s="16" t="n">
        <f aca="false">IF(E9="","",E9/C9)</f>
        <v>26.19</v>
      </c>
      <c r="G9" s="17" t="n">
        <f aca="false">IF(D9="","",IFERROR(INDEX(Accesorios!$S$2:$S$129,MATCH(D9,Accesorios!$A$2:$A$129,0)),""))</f>
        <v>0.210765781531822</v>
      </c>
      <c r="H9" s="18" t="s">
        <v>105</v>
      </c>
      <c r="I9" s="7"/>
    </row>
    <row r="10" customFormat="false" ht="15" hidden="false" customHeight="false" outlineLevel="0" collapsed="false">
      <c r="A10" s="7" t="s">
        <v>106</v>
      </c>
      <c r="B10" s="7" t="s">
        <v>107</v>
      </c>
      <c r="C10" s="7" t="n">
        <v>4</v>
      </c>
      <c r="D10" s="7" t="s">
        <v>108</v>
      </c>
      <c r="E10" s="15" t="n">
        <v>9.95</v>
      </c>
      <c r="F10" s="16" t="n">
        <f aca="false">IF(E10="","",E10/C10)</f>
        <v>2.4875</v>
      </c>
      <c r="G10" s="17" t="n">
        <f aca="false">IF(D10="","",IFERROR(INDEX(Accesorios!$S$2:$S$129,MATCH(D10,Accesorios!$A$2:$A$129,0)),""))</f>
        <v>0.946399566945357</v>
      </c>
      <c r="H10" s="18" t="s">
        <v>109</v>
      </c>
      <c r="I10" s="7"/>
    </row>
    <row r="11" customFormat="false" ht="15" hidden="false" customHeight="false" outlineLevel="0" collapsed="false">
      <c r="A11" s="7" t="s">
        <v>110</v>
      </c>
      <c r="B11" s="7" t="s">
        <v>111</v>
      </c>
      <c r="C11" s="7" t="n">
        <v>4</v>
      </c>
      <c r="D11" s="7" t="s">
        <v>112</v>
      </c>
      <c r="E11" s="15" t="n">
        <v>12.95</v>
      </c>
      <c r="F11" s="16" t="n">
        <f aca="false">IF(E11="","",E11/C11)</f>
        <v>3.2375</v>
      </c>
      <c r="G11" s="17" t="n">
        <f aca="false">IF(D11="","",IFERROR(INDEX(Accesorios!$S$2:$S$129,MATCH(D11,Accesorios!$A$2:$A$129,0)),""))</f>
        <v>0.793893968882932</v>
      </c>
      <c r="H11" s="18" t="s">
        <v>113</v>
      </c>
      <c r="I11" s="7"/>
    </row>
    <row r="12" customFormat="false" ht="15" hidden="false" customHeight="false" outlineLevel="0" collapsed="false">
      <c r="A12" s="7" t="s">
        <v>114</v>
      </c>
      <c r="B12" s="7" t="s">
        <v>115</v>
      </c>
      <c r="C12" s="7" t="n">
        <v>4</v>
      </c>
      <c r="D12" s="7" t="s">
        <v>116</v>
      </c>
      <c r="E12" s="15" t="n">
        <v>18.95</v>
      </c>
      <c r="F12" s="16" t="n">
        <f aca="false">IF(E12="","",E12/C12)</f>
        <v>4.7375</v>
      </c>
      <c r="G12" s="17" t="n">
        <f aca="false">IF(D12="","",IFERROR(INDEX(Accesorios!$S$2:$S$129,MATCH(D12,Accesorios!$A$2:$A$129,0)),""))</f>
        <v>0.722651483201418</v>
      </c>
      <c r="H12" s="18" t="s">
        <v>117</v>
      </c>
      <c r="I12" s="7"/>
    </row>
    <row r="13" customFormat="false" ht="15" hidden="false" customHeight="false" outlineLevel="0" collapsed="false">
      <c r="A13" s="7" t="s">
        <v>118</v>
      </c>
      <c r="B13" s="7" t="s">
        <v>119</v>
      </c>
      <c r="C13" s="7" t="n">
        <v>4</v>
      </c>
      <c r="D13" s="7" t="s">
        <v>120</v>
      </c>
      <c r="E13" s="15" t="n">
        <v>26.95</v>
      </c>
      <c r="F13" s="16" t="n">
        <f aca="false">IF(E13="","",E13/C13)</f>
        <v>6.7375</v>
      </c>
      <c r="G13" s="17" t="n">
        <f aca="false">IF(D13="","",IFERROR(INDEX(Accesorios!$S$2:$S$129,MATCH(D13,Accesorios!$A$2:$A$129,0)),""))</f>
        <v>0.612479843006631</v>
      </c>
      <c r="H13" s="18" t="s">
        <v>121</v>
      </c>
      <c r="I13" s="7"/>
    </row>
    <row r="14" customFormat="false" ht="15" hidden="false" customHeight="false" outlineLevel="0" collapsed="false">
      <c r="A14" s="7" t="s">
        <v>122</v>
      </c>
      <c r="B14" s="7" t="s">
        <v>123</v>
      </c>
      <c r="C14" s="7" t="n">
        <v>4</v>
      </c>
      <c r="D14" s="7" t="s">
        <v>124</v>
      </c>
      <c r="E14" s="15" t="n">
        <v>40.95</v>
      </c>
      <c r="F14" s="16" t="n">
        <f aca="false">IF(E14="","",E14/C14)</f>
        <v>10.2375</v>
      </c>
      <c r="G14" s="17" t="n">
        <f aca="false">IF(D14="","",IFERROR(INDEX(Accesorios!$S$2:$S$129,MATCH(D14,Accesorios!$A$2:$A$129,0)),""))</f>
        <v>0.623989566406061</v>
      </c>
      <c r="H14" s="18" t="s">
        <v>125</v>
      </c>
      <c r="I14" s="7"/>
    </row>
    <row r="15" customFormat="false" ht="15" hidden="false" customHeight="false" outlineLevel="0" collapsed="false">
      <c r="A15" s="7" t="s">
        <v>126</v>
      </c>
      <c r="B15" s="7" t="s">
        <v>127</v>
      </c>
      <c r="C15" s="7" t="n">
        <v>4</v>
      </c>
      <c r="D15" s="7" t="s">
        <v>128</v>
      </c>
      <c r="E15" s="15" t="n">
        <v>75.95</v>
      </c>
      <c r="F15" s="16" t="n">
        <f aca="false">IF(E15="","",E15/C15)</f>
        <v>18.9875</v>
      </c>
      <c r="G15" s="17" t="n">
        <f aca="false">IF(D15="","",IFERROR(INDEX(Accesorios!$S$2:$S$129,MATCH(D15,Accesorios!$A$2:$A$129,0)),""))</f>
        <v>0.486756694300016</v>
      </c>
      <c r="H15" s="18" t="s">
        <v>129</v>
      </c>
      <c r="I15" s="7"/>
    </row>
    <row r="16" customFormat="false" ht="15" hidden="false" customHeight="false" outlineLevel="0" collapsed="false">
      <c r="A16" s="7" t="s">
        <v>130</v>
      </c>
      <c r="B16" s="7" t="s">
        <v>131</v>
      </c>
      <c r="C16" s="7" t="n">
        <v>4</v>
      </c>
      <c r="D16" s="7" t="s">
        <v>132</v>
      </c>
      <c r="E16" s="15" t="n">
        <v>109.95</v>
      </c>
      <c r="F16" s="16" t="n">
        <f aca="false">IF(E16="","",E16/C16)</f>
        <v>27.4875</v>
      </c>
      <c r="G16" s="17" t="n">
        <f aca="false">IF(D16="","",IFERROR(INDEX(Accesorios!$S$2:$S$129,MATCH(D16,Accesorios!$A$2:$A$129,0)),""))</f>
        <v>0.471613954186526</v>
      </c>
      <c r="H16" s="18" t="s">
        <v>133</v>
      </c>
      <c r="I16" s="7"/>
    </row>
    <row r="17" customFormat="false" ht="15" hidden="false" customHeight="false" outlineLevel="0" collapsed="false">
      <c r="A17" s="7" t="s">
        <v>134</v>
      </c>
      <c r="B17" s="7" t="s">
        <v>135</v>
      </c>
      <c r="C17" s="7" t="n">
        <v>4</v>
      </c>
      <c r="D17" s="7" t="s">
        <v>136</v>
      </c>
      <c r="E17" s="19"/>
      <c r="F17" s="16" t="str">
        <f aca="false">IF(E17="","",E17/C17)</f>
        <v/>
      </c>
      <c r="G17" s="17" t="n">
        <f aca="false">IF(D17="","",IFERROR(INDEX(Accesorios!$S$2:$S$129,MATCH(D17,Accesorios!$A$2:$A$129,0)),""))</f>
        <v>0</v>
      </c>
      <c r="H17" s="18" t="s">
        <v>137</v>
      </c>
      <c r="I17" s="7" t="s">
        <v>138</v>
      </c>
    </row>
    <row r="18" customFormat="false" ht="15" hidden="false" customHeight="false" outlineLevel="0" collapsed="false">
      <c r="A18" s="7" t="s">
        <v>139</v>
      </c>
      <c r="B18" s="7" t="s">
        <v>140</v>
      </c>
      <c r="C18" s="7" t="n">
        <v>4</v>
      </c>
      <c r="D18" s="7" t="s">
        <v>141</v>
      </c>
      <c r="E18" s="15" t="n">
        <v>8.95</v>
      </c>
      <c r="F18" s="16" t="n">
        <f aca="false">IF(E18="","",E18/C18)</f>
        <v>2.2375</v>
      </c>
      <c r="G18" s="17" t="n">
        <f aca="false">IF(D18="","",IFERROR(INDEX(Accesorios!$S$2:$S$129,MATCH(D18,Accesorios!$A$2:$A$129,0)),""))</f>
        <v>0</v>
      </c>
      <c r="H18" s="18" t="s">
        <v>142</v>
      </c>
      <c r="I18" s="7"/>
    </row>
    <row r="19" customFormat="false" ht="15" hidden="false" customHeight="false" outlineLevel="0" collapsed="false">
      <c r="A19" s="7" t="s">
        <v>143</v>
      </c>
      <c r="B19" s="7" t="s">
        <v>144</v>
      </c>
      <c r="C19" s="7" t="n">
        <v>4</v>
      </c>
      <c r="D19" s="7" t="s">
        <v>145</v>
      </c>
      <c r="E19" s="15" t="n">
        <v>11.95</v>
      </c>
      <c r="F19" s="16" t="n">
        <f aca="false">IF(E19="","",E19/C19)</f>
        <v>2.9875</v>
      </c>
      <c r="G19" s="17" t="n">
        <f aca="false">IF(D19="","",IFERROR(INDEX(Accesorios!$S$2:$S$129,MATCH(D19,Accesorios!$A$2:$A$129,0)),""))</f>
        <v>0</v>
      </c>
      <c r="H19" s="18" t="s">
        <v>146</v>
      </c>
      <c r="I19" s="7"/>
    </row>
    <row r="20" customFormat="false" ht="15" hidden="false" customHeight="false" outlineLevel="0" collapsed="false">
      <c r="A20" s="7" t="s">
        <v>147</v>
      </c>
      <c r="B20" s="7" t="s">
        <v>148</v>
      </c>
      <c r="C20" s="7" t="n">
        <v>4</v>
      </c>
      <c r="D20" s="7" t="s">
        <v>149</v>
      </c>
      <c r="E20" s="19"/>
      <c r="F20" s="16" t="str">
        <f aca="false">IF(E20="","",E20/C20)</f>
        <v/>
      </c>
      <c r="G20" s="17" t="n">
        <f aca="false">IF(D20="","",IFERROR(INDEX(Accesorios!$S$2:$S$129,MATCH(D20,Accesorios!$A$2:$A$129,0)),""))</f>
        <v>0</v>
      </c>
      <c r="H20" s="18" t="s">
        <v>150</v>
      </c>
      <c r="I20" s="7" t="s">
        <v>138</v>
      </c>
    </row>
    <row r="21" customFormat="false" ht="15" hidden="false" customHeight="false" outlineLevel="0" collapsed="false">
      <c r="A21" s="7" t="s">
        <v>151</v>
      </c>
      <c r="B21" s="7" t="s">
        <v>152</v>
      </c>
      <c r="C21" s="7" t="n">
        <v>4</v>
      </c>
      <c r="D21" s="7" t="s">
        <v>153</v>
      </c>
      <c r="E21" s="15" t="n">
        <v>21.95</v>
      </c>
      <c r="F21" s="16" t="n">
        <f aca="false">IF(E21="","",E21/C21)</f>
        <v>5.4875</v>
      </c>
      <c r="G21" s="17" t="n">
        <f aca="false">IF(D21="","",IFERROR(INDEX(Accesorios!$S$2:$S$129,MATCH(D21,Accesorios!$A$2:$A$129,0)),""))</f>
        <v>0</v>
      </c>
      <c r="H21" s="18" t="s">
        <v>154</v>
      </c>
      <c r="I21" s="7"/>
    </row>
    <row r="22" customFormat="false" ht="15" hidden="false" customHeight="false" outlineLevel="0" collapsed="false">
      <c r="A22" s="7" t="s">
        <v>155</v>
      </c>
      <c r="B22" s="7" t="s">
        <v>156</v>
      </c>
      <c r="C22" s="7" t="n">
        <v>4</v>
      </c>
      <c r="D22" s="7" t="s">
        <v>157</v>
      </c>
      <c r="E22" s="15" t="n">
        <v>30.95</v>
      </c>
      <c r="F22" s="16" t="n">
        <f aca="false">IF(E22="","",E22/C22)</f>
        <v>7.7375</v>
      </c>
      <c r="G22" s="17" t="n">
        <f aca="false">IF(D22="","",IFERROR(INDEX(Accesorios!$S$2:$S$129,MATCH(D22,Accesorios!$A$2:$A$129,0)),""))</f>
        <v>0</v>
      </c>
      <c r="H22" s="18" t="s">
        <v>158</v>
      </c>
      <c r="I22" s="7"/>
    </row>
    <row r="23" customFormat="false" ht="15" hidden="false" customHeight="false" outlineLevel="0" collapsed="false">
      <c r="A23" s="7" t="s">
        <v>159</v>
      </c>
      <c r="B23" s="7" t="s">
        <v>160</v>
      </c>
      <c r="C23" s="7" t="n">
        <v>4</v>
      </c>
      <c r="D23" s="7" t="s">
        <v>161</v>
      </c>
      <c r="E23" s="15" t="n">
        <v>50.95</v>
      </c>
      <c r="F23" s="16" t="n">
        <f aca="false">IF(E23="","",E23/C23)</f>
        <v>12.7375</v>
      </c>
      <c r="G23" s="17" t="n">
        <f aca="false">IF(D23="","",IFERROR(INDEX(Accesorios!$S$2:$S$129,MATCH(D23,Accesorios!$A$2:$A$129,0)),""))</f>
        <v>0</v>
      </c>
      <c r="H23" s="18" t="s">
        <v>162</v>
      </c>
      <c r="I23" s="7"/>
    </row>
    <row r="24" customFormat="false" ht="15" hidden="false" customHeight="false" outlineLevel="0" collapsed="false">
      <c r="A24" s="7" t="s">
        <v>163</v>
      </c>
      <c r="B24" s="7" t="s">
        <v>164</v>
      </c>
      <c r="C24" s="7" t="n">
        <v>4</v>
      </c>
      <c r="D24" s="7" t="s">
        <v>165</v>
      </c>
      <c r="E24" s="15" t="n">
        <v>5.95</v>
      </c>
      <c r="F24" s="16" t="n">
        <f aca="false">IF(E24="","",E24/C24)</f>
        <v>1.4875</v>
      </c>
      <c r="G24" s="17" t="n">
        <f aca="false">IF(D24="","",IFERROR(INDEX(Accesorios!$S$2:$S$129,MATCH(D24,Accesorios!$A$2:$A$129,0)),""))</f>
        <v>0.654914043625924</v>
      </c>
      <c r="H24" s="18" t="s">
        <v>166</v>
      </c>
      <c r="I24" s="7"/>
    </row>
    <row r="25" customFormat="false" ht="15" hidden="false" customHeight="false" outlineLevel="0" collapsed="false">
      <c r="A25" s="7" t="s">
        <v>167</v>
      </c>
      <c r="B25" s="7" t="s">
        <v>168</v>
      </c>
      <c r="C25" s="7" t="n">
        <v>4</v>
      </c>
      <c r="D25" s="7" t="s">
        <v>169</v>
      </c>
      <c r="E25" s="15" t="n">
        <v>7.95</v>
      </c>
      <c r="F25" s="16" t="n">
        <f aca="false">IF(E25="","",E25/C25)</f>
        <v>1.9875</v>
      </c>
      <c r="G25" s="17" t="n">
        <f aca="false">IF(D25="","",IFERROR(INDEX(Accesorios!$S$2:$S$129,MATCH(D25,Accesorios!$A$2:$A$129,0)),""))</f>
        <v>0.5104</v>
      </c>
      <c r="H25" s="18" t="s">
        <v>170</v>
      </c>
      <c r="I25" s="7"/>
    </row>
    <row r="26" customFormat="false" ht="15" hidden="false" customHeight="false" outlineLevel="0" collapsed="false">
      <c r="A26" s="7" t="s">
        <v>171</v>
      </c>
      <c r="B26" s="7" t="s">
        <v>172</v>
      </c>
      <c r="C26" s="7" t="n">
        <v>4</v>
      </c>
      <c r="D26" s="7" t="s">
        <v>173</v>
      </c>
      <c r="E26" s="15" t="n">
        <v>10.95</v>
      </c>
      <c r="F26" s="16" t="n">
        <f aca="false">IF(E26="","",E26/C26)</f>
        <v>2.7375</v>
      </c>
      <c r="G26" s="17" t="n">
        <f aca="false">IF(D26="","",IFERROR(INDEX(Accesorios!$S$2:$S$129,MATCH(D26,Accesorios!$A$2:$A$129,0)),""))</f>
        <v>0.471549972679462</v>
      </c>
      <c r="H26" s="18" t="s">
        <v>174</v>
      </c>
      <c r="I26" s="7"/>
    </row>
    <row r="27" customFormat="false" ht="15" hidden="false" customHeight="false" outlineLevel="0" collapsed="false">
      <c r="A27" s="7" t="s">
        <v>175</v>
      </c>
      <c r="B27" s="7" t="s">
        <v>176</v>
      </c>
      <c r="C27" s="7" t="n">
        <v>4</v>
      </c>
      <c r="D27" s="7" t="s">
        <v>177</v>
      </c>
      <c r="E27" s="15" t="n">
        <v>15.95</v>
      </c>
      <c r="F27" s="16" t="n">
        <f aca="false">IF(E27="","",E27/C27)</f>
        <v>3.9875</v>
      </c>
      <c r="G27" s="17" t="n">
        <f aca="false">IF(D27="","",IFERROR(INDEX(Accesorios!$S$2:$S$129,MATCH(D27,Accesorios!$A$2:$A$129,0)),""))</f>
        <v>0.367416288785923</v>
      </c>
      <c r="H27" s="18" t="s">
        <v>178</v>
      </c>
      <c r="I27" s="7"/>
    </row>
    <row r="28" customFormat="false" ht="15" hidden="false" customHeight="false" outlineLevel="0" collapsed="false">
      <c r="A28" s="7" t="s">
        <v>179</v>
      </c>
      <c r="B28" s="7" t="s">
        <v>180</v>
      </c>
      <c r="C28" s="7" t="n">
        <v>4</v>
      </c>
      <c r="D28" s="7" t="s">
        <v>181</v>
      </c>
      <c r="E28" s="15" t="n">
        <v>20.95</v>
      </c>
      <c r="F28" s="16" t="n">
        <f aca="false">IF(E28="","",E28/C28)</f>
        <v>5.2375</v>
      </c>
      <c r="G28" s="17" t="n">
        <f aca="false">IF(D28="","",IFERROR(INDEX(Accesorios!$S$2:$S$129,MATCH(D28,Accesorios!$A$2:$A$129,0)),""))</f>
        <v>0.372647726380675</v>
      </c>
      <c r="H28" s="18" t="s">
        <v>182</v>
      </c>
      <c r="I28" s="7"/>
    </row>
    <row r="29" customFormat="false" ht="15" hidden="false" customHeight="false" outlineLevel="0" collapsed="false">
      <c r="A29" s="7" t="s">
        <v>183</v>
      </c>
      <c r="B29" s="7" t="s">
        <v>184</v>
      </c>
      <c r="C29" s="7" t="n">
        <v>4</v>
      </c>
      <c r="D29" s="7" t="s">
        <v>185</v>
      </c>
      <c r="E29" s="15" t="n">
        <v>31.95</v>
      </c>
      <c r="F29" s="16" t="n">
        <f aca="false">IF(E29="","",E29/C29)</f>
        <v>7.9875</v>
      </c>
      <c r="G29" s="17" t="n">
        <f aca="false">IF(D29="","",IFERROR(INDEX(Accesorios!$S$2:$S$129,MATCH(D29,Accesorios!$A$2:$A$129,0)),""))</f>
        <v>0.291572982752629</v>
      </c>
      <c r="H29" s="18" t="s">
        <v>186</v>
      </c>
      <c r="I29" s="7"/>
    </row>
    <row r="30" customFormat="false" ht="15" hidden="false" customHeight="false" outlineLevel="0" collapsed="false">
      <c r="A30" s="7" t="s">
        <v>187</v>
      </c>
      <c r="B30" s="7" t="s">
        <v>188</v>
      </c>
      <c r="C30" s="7" t="n">
        <v>4</v>
      </c>
      <c r="D30" s="7" t="s">
        <v>189</v>
      </c>
      <c r="E30" s="15" t="n">
        <v>61.95</v>
      </c>
      <c r="F30" s="16" t="n">
        <f aca="false">IF(E30="","",E30/C30)</f>
        <v>15.4875</v>
      </c>
      <c r="G30" s="17" t="n">
        <f aca="false">IF(D30="","",IFERROR(INDEX(Accesorios!$S$2:$S$129,MATCH(D30,Accesorios!$A$2:$A$129,0)),""))</f>
        <v>0.275071127651047</v>
      </c>
      <c r="H30" s="18" t="s">
        <v>190</v>
      </c>
      <c r="I30" s="7"/>
    </row>
    <row r="31" customFormat="false" ht="15" hidden="false" customHeight="false" outlineLevel="0" collapsed="false">
      <c r="A31" s="7" t="s">
        <v>191</v>
      </c>
      <c r="B31" s="7" t="s">
        <v>192</v>
      </c>
      <c r="C31" s="7" t="n">
        <v>4</v>
      </c>
      <c r="D31" s="7" t="s">
        <v>193</v>
      </c>
      <c r="E31" s="15" t="n">
        <v>75.95</v>
      </c>
      <c r="F31" s="16" t="n">
        <f aca="false">IF(E31="","",E31/C31)</f>
        <v>18.9875</v>
      </c>
      <c r="G31" s="17" t="n">
        <f aca="false">IF(D31="","",IFERROR(INDEX(Accesorios!$S$2:$S$129,MATCH(D31,Accesorios!$A$2:$A$129,0)),""))</f>
        <v>0.210765781531822</v>
      </c>
      <c r="H31" s="18" t="s">
        <v>194</v>
      </c>
      <c r="I31" s="7"/>
    </row>
    <row r="32" customFormat="false" ht="15" hidden="false" customHeight="false" outlineLevel="0" collapsed="false">
      <c r="A32" s="7" t="s">
        <v>195</v>
      </c>
      <c r="B32" s="7" t="s">
        <v>196</v>
      </c>
      <c r="C32" s="7" t="n">
        <v>4</v>
      </c>
      <c r="D32" s="7" t="s">
        <v>197</v>
      </c>
      <c r="E32" s="15" t="n">
        <v>6.95</v>
      </c>
      <c r="F32" s="16" t="n">
        <f aca="false">IF(E32="","",E32/C32)</f>
        <v>1.7375</v>
      </c>
      <c r="G32" s="17" t="n">
        <f aca="false">IF(D32="","",IFERROR(INDEX(Accesorios!$S$2:$S$129,MATCH(D32,Accesorios!$A$2:$A$129,0)),""))</f>
        <v>0.654914043625924</v>
      </c>
      <c r="H32" s="18" t="s">
        <v>198</v>
      </c>
      <c r="I32" s="7"/>
    </row>
    <row r="33" customFormat="false" ht="15" hidden="false" customHeight="false" outlineLevel="0" collapsed="false">
      <c r="A33" s="7" t="s">
        <v>199</v>
      </c>
      <c r="B33" s="7" t="s">
        <v>200</v>
      </c>
      <c r="C33" s="7" t="n">
        <v>4</v>
      </c>
      <c r="D33" s="7" t="s">
        <v>201</v>
      </c>
      <c r="E33" s="15" t="n">
        <v>8.95</v>
      </c>
      <c r="F33" s="16" t="n">
        <f aca="false">IF(E33="","",E33/C33)</f>
        <v>2.2375</v>
      </c>
      <c r="G33" s="17" t="n">
        <f aca="false">IF(D33="","",IFERROR(INDEX(Accesorios!$S$2:$S$129,MATCH(D33,Accesorios!$A$2:$A$129,0)),""))</f>
        <v>0.5104</v>
      </c>
      <c r="H33" s="18" t="s">
        <v>202</v>
      </c>
      <c r="I33" s="7"/>
    </row>
    <row r="34" customFormat="false" ht="15" hidden="false" customHeight="false" outlineLevel="0" collapsed="false">
      <c r="A34" s="7" t="s">
        <v>203</v>
      </c>
      <c r="B34" s="7" t="s">
        <v>204</v>
      </c>
      <c r="C34" s="7" t="n">
        <v>4</v>
      </c>
      <c r="D34" s="7" t="s">
        <v>205</v>
      </c>
      <c r="E34" s="15" t="n">
        <v>13.95</v>
      </c>
      <c r="F34" s="16" t="n">
        <f aca="false">IF(E34="","",E34/C34)</f>
        <v>3.4875</v>
      </c>
      <c r="G34" s="17" t="n">
        <f aca="false">IF(D34="","",IFERROR(INDEX(Accesorios!$S$2:$S$129,MATCH(D34,Accesorios!$A$2:$A$129,0)),""))</f>
        <v>0.471549972679462</v>
      </c>
      <c r="H34" s="18" t="s">
        <v>206</v>
      </c>
      <c r="I34" s="7"/>
    </row>
    <row r="35" customFormat="false" ht="15" hidden="false" customHeight="false" outlineLevel="0" collapsed="false">
      <c r="A35" s="7" t="s">
        <v>207</v>
      </c>
      <c r="B35" s="7" t="s">
        <v>208</v>
      </c>
      <c r="C35" s="7" t="n">
        <v>4</v>
      </c>
      <c r="D35" s="7" t="s">
        <v>209</v>
      </c>
      <c r="E35" s="15" t="n">
        <v>17.95</v>
      </c>
      <c r="F35" s="16" t="n">
        <f aca="false">IF(E35="","",E35/C35)</f>
        <v>4.4875</v>
      </c>
      <c r="G35" s="17" t="n">
        <f aca="false">IF(D35="","",IFERROR(INDEX(Accesorios!$S$2:$S$129,MATCH(D35,Accesorios!$A$2:$A$129,0)),""))</f>
        <v>0.367416288785923</v>
      </c>
      <c r="H35" s="18" t="s">
        <v>210</v>
      </c>
      <c r="I35" s="7"/>
    </row>
    <row r="36" customFormat="false" ht="15" hidden="false" customHeight="false" outlineLevel="0" collapsed="false">
      <c r="A36" s="7" t="s">
        <v>211</v>
      </c>
      <c r="B36" s="7" t="s">
        <v>212</v>
      </c>
      <c r="C36" s="7" t="n">
        <v>4</v>
      </c>
      <c r="D36" s="7" t="s">
        <v>213</v>
      </c>
      <c r="E36" s="15" t="n">
        <v>22.95</v>
      </c>
      <c r="F36" s="16" t="n">
        <f aca="false">IF(E36="","",E36/C36)</f>
        <v>5.7375</v>
      </c>
      <c r="G36" s="17" t="n">
        <f aca="false">IF(D36="","",IFERROR(INDEX(Accesorios!$S$2:$S$129,MATCH(D36,Accesorios!$A$2:$A$129,0)),""))</f>
        <v>0.372647726380675</v>
      </c>
      <c r="H36" s="18" t="s">
        <v>214</v>
      </c>
      <c r="I36" s="7"/>
    </row>
    <row r="37" customFormat="false" ht="15" hidden="false" customHeight="false" outlineLevel="0" collapsed="false">
      <c r="A37" s="7" t="s">
        <v>215</v>
      </c>
      <c r="B37" s="7" t="s">
        <v>216</v>
      </c>
      <c r="C37" s="7" t="n">
        <v>4</v>
      </c>
      <c r="D37" s="7" t="s">
        <v>217</v>
      </c>
      <c r="E37" s="19"/>
      <c r="F37" s="16" t="str">
        <f aca="false">IF(E37="","",E37/C37)</f>
        <v/>
      </c>
      <c r="G37" s="17" t="n">
        <f aca="false">IF(D37="","",IFERROR(INDEX(Accesorios!$S$2:$S$129,MATCH(D37,Accesorios!$A$2:$A$129,0)),""))</f>
        <v>0.291572982752629</v>
      </c>
      <c r="H37" s="18" t="s">
        <v>218</v>
      </c>
      <c r="I37" s="7" t="s">
        <v>138</v>
      </c>
    </row>
    <row r="38" customFormat="false" ht="15" hidden="false" customHeight="false" outlineLevel="0" collapsed="false">
      <c r="A38" s="7" t="s">
        <v>219</v>
      </c>
      <c r="B38" s="7" t="s">
        <v>220</v>
      </c>
      <c r="C38" s="7" t="n">
        <v>4</v>
      </c>
      <c r="D38" s="7" t="s">
        <v>221</v>
      </c>
      <c r="E38" s="15" t="n">
        <v>57.95</v>
      </c>
      <c r="F38" s="16" t="n">
        <f aca="false">IF(E38="","",E38/C38)</f>
        <v>14.4875</v>
      </c>
      <c r="G38" s="17" t="n">
        <f aca="false">IF(D38="","",IFERROR(INDEX(Accesorios!$S$2:$S$129,MATCH(D38,Accesorios!$A$2:$A$129,0)),""))</f>
        <v>0.275071127651047</v>
      </c>
      <c r="H38" s="18" t="s">
        <v>222</v>
      </c>
      <c r="I38" s="7"/>
    </row>
    <row r="39" customFormat="false" ht="15" hidden="false" customHeight="false" outlineLevel="0" collapsed="false">
      <c r="A39" s="7" t="s">
        <v>223</v>
      </c>
      <c r="B39" s="7" t="s">
        <v>224</v>
      </c>
      <c r="C39" s="7" t="n">
        <v>4</v>
      </c>
      <c r="D39" s="7" t="s">
        <v>225</v>
      </c>
      <c r="E39" s="15" t="n">
        <v>81.95</v>
      </c>
      <c r="F39" s="16" t="n">
        <f aca="false">IF(E39="","",E39/C39)</f>
        <v>20.4875</v>
      </c>
      <c r="G39" s="17" t="n">
        <f aca="false">IF(D39="","",IFERROR(INDEX(Accesorios!$S$2:$S$129,MATCH(D39,Accesorios!$A$2:$A$129,0)),""))</f>
        <v>0.210765781531822</v>
      </c>
      <c r="H39" s="18" t="s">
        <v>226</v>
      </c>
      <c r="I39" s="7"/>
    </row>
    <row r="40" customFormat="false" ht="15" hidden="false" customHeight="false" outlineLevel="0" collapsed="false">
      <c r="A40" s="7" t="s">
        <v>227</v>
      </c>
      <c r="B40" s="7" t="s">
        <v>228</v>
      </c>
      <c r="C40" s="7" t="n">
        <v>4</v>
      </c>
      <c r="D40" s="7" t="s">
        <v>229</v>
      </c>
      <c r="E40" s="15" t="n">
        <v>10.95</v>
      </c>
      <c r="F40" s="16" t="n">
        <f aca="false">IF(E40="","",E40/C40)</f>
        <v>2.7375</v>
      </c>
      <c r="G40" s="17" t="n">
        <f aca="false">IF(D40="","",IFERROR(INDEX(Accesorios!$S$2:$S$129,MATCH(D40,Accesorios!$A$2:$A$129,0)),""))</f>
        <v>1.89399670879871</v>
      </c>
      <c r="H40" s="18" t="s">
        <v>230</v>
      </c>
      <c r="I40" s="7"/>
    </row>
    <row r="41" customFormat="false" ht="15" hidden="false" customHeight="false" outlineLevel="0" collapsed="false">
      <c r="A41" s="7" t="s">
        <v>231</v>
      </c>
      <c r="B41" s="7" t="s">
        <v>232</v>
      </c>
      <c r="C41" s="7" t="n">
        <v>4</v>
      </c>
      <c r="D41" s="7" t="s">
        <v>233</v>
      </c>
      <c r="E41" s="15" t="n">
        <v>14.95</v>
      </c>
      <c r="F41" s="16" t="n">
        <f aca="false">IF(E41="","",E41/C41)</f>
        <v>3.7375</v>
      </c>
      <c r="G41" s="17" t="n">
        <f aca="false">IF(D41="","",IFERROR(INDEX(Accesorios!$S$2:$S$129,MATCH(D41,Accesorios!$A$2:$A$129,0)),""))</f>
        <v>1.5472</v>
      </c>
      <c r="H41" s="18" t="s">
        <v>234</v>
      </c>
      <c r="I41" s="7"/>
    </row>
    <row r="42" customFormat="false" ht="15" hidden="false" customHeight="false" outlineLevel="0" collapsed="false">
      <c r="A42" s="7" t="s">
        <v>235</v>
      </c>
      <c r="B42" s="7" t="s">
        <v>236</v>
      </c>
      <c r="C42" s="7" t="n">
        <v>4</v>
      </c>
      <c r="D42" s="7" t="s">
        <v>237</v>
      </c>
      <c r="E42" s="15" t="n">
        <v>17.95</v>
      </c>
      <c r="F42" s="16" t="n">
        <f aca="false">IF(E42="","",E42/C42)</f>
        <v>4.4875</v>
      </c>
      <c r="G42" s="17" t="n">
        <f aca="false">IF(D42="","",IFERROR(INDEX(Accesorios!$S$2:$S$129,MATCH(D42,Accesorios!$A$2:$A$129,0)),""))</f>
        <v>1.39682805245543</v>
      </c>
      <c r="H42" s="18" t="s">
        <v>238</v>
      </c>
      <c r="I42" s="7"/>
    </row>
    <row r="43" customFormat="false" ht="15" hidden="false" customHeight="false" outlineLevel="0" collapsed="false">
      <c r="A43" s="7" t="s">
        <v>239</v>
      </c>
      <c r="B43" s="7" t="s">
        <v>240</v>
      </c>
      <c r="C43" s="7" t="n">
        <v>4</v>
      </c>
      <c r="D43" s="7" t="s">
        <v>241</v>
      </c>
      <c r="E43" s="15" t="n">
        <v>29.95</v>
      </c>
      <c r="F43" s="16" t="n">
        <f aca="false">IF(E43="","",E43/C43)</f>
        <v>7.4875</v>
      </c>
      <c r="G43" s="17" t="n">
        <f aca="false">IF(D43="","",IFERROR(INDEX(Accesorios!$S$2:$S$129,MATCH(D43,Accesorios!$A$2:$A$129,0)),""))</f>
        <v>1.17593663145564</v>
      </c>
      <c r="H43" s="18" t="s">
        <v>242</v>
      </c>
      <c r="I43" s="7"/>
    </row>
    <row r="44" customFormat="false" ht="15" hidden="false" customHeight="false" outlineLevel="0" collapsed="false">
      <c r="A44" s="7" t="s">
        <v>243</v>
      </c>
      <c r="B44" s="7" t="s">
        <v>244</v>
      </c>
      <c r="C44" s="7" t="n">
        <v>4</v>
      </c>
      <c r="D44" s="7" t="s">
        <v>245</v>
      </c>
      <c r="E44" s="15" t="n">
        <v>38.95</v>
      </c>
      <c r="F44" s="16" t="n">
        <f aca="false">IF(E44="","",E44/C44)</f>
        <v>9.7375</v>
      </c>
      <c r="G44" s="17" t="n">
        <f aca="false">IF(D44="","",IFERROR(INDEX(Accesorios!$S$2:$S$129,MATCH(D44,Accesorios!$A$2:$A$129,0)),""))</f>
        <v>1.14821194691012</v>
      </c>
      <c r="H44" s="18" t="s">
        <v>246</v>
      </c>
      <c r="I44" s="7"/>
    </row>
    <row r="45" customFormat="false" ht="15" hidden="false" customHeight="false" outlineLevel="0" collapsed="false">
      <c r="A45" s="7" t="s">
        <v>247</v>
      </c>
      <c r="B45" s="7" t="s">
        <v>248</v>
      </c>
      <c r="C45" s="7" t="n">
        <v>4</v>
      </c>
      <c r="D45" s="7" t="s">
        <v>249</v>
      </c>
      <c r="E45" s="15" t="n">
        <v>45.95</v>
      </c>
      <c r="F45" s="16" t="n">
        <f aca="false">IF(E45="","",E45/C45)</f>
        <v>11.4875</v>
      </c>
      <c r="G45" s="17" t="n">
        <f aca="false">IF(D45="","",IFERROR(INDEX(Accesorios!$S$2:$S$129,MATCH(D45,Accesorios!$A$2:$A$129,0)),""))</f>
        <v>0.938396821510867</v>
      </c>
      <c r="H45" s="18" t="s">
        <v>250</v>
      </c>
      <c r="I45" s="7"/>
    </row>
    <row r="46" customFormat="false" ht="15" hidden="false" customHeight="false" outlineLevel="0" collapsed="false">
      <c r="A46" s="7" t="s">
        <v>251</v>
      </c>
      <c r="B46" s="7" t="s">
        <v>252</v>
      </c>
      <c r="C46" s="7" t="n">
        <v>4</v>
      </c>
      <c r="D46" s="7" t="s">
        <v>253</v>
      </c>
      <c r="E46" s="15" t="n">
        <v>100.95</v>
      </c>
      <c r="F46" s="16" t="n">
        <f aca="false">IF(E46="","",E46/C46)</f>
        <v>25.2375</v>
      </c>
      <c r="G46" s="17" t="n">
        <f aca="false">IF(D46="","",IFERROR(INDEX(Accesorios!$S$2:$S$129,MATCH(D46,Accesorios!$A$2:$A$129,0)),""))</f>
        <v>0.876800132443677</v>
      </c>
      <c r="H46" s="18" t="s">
        <v>254</v>
      </c>
      <c r="I46" s="7"/>
    </row>
    <row r="47" customFormat="false" ht="15" hidden="false" customHeight="false" outlineLevel="0" collapsed="false">
      <c r="A47" s="7" t="s">
        <v>255</v>
      </c>
      <c r="B47" s="7" t="s">
        <v>256</v>
      </c>
      <c r="C47" s="7" t="n">
        <v>4</v>
      </c>
      <c r="D47" s="7" t="s">
        <v>257</v>
      </c>
      <c r="E47" s="15" t="n">
        <v>148.95</v>
      </c>
      <c r="F47" s="16" t="n">
        <f aca="false">IF(E47="","",E47/C47)</f>
        <v>37.2375</v>
      </c>
      <c r="G47" s="17" t="n">
        <f aca="false">IF(D47="","",IFERROR(INDEX(Accesorios!$S$2:$S$129,MATCH(D47,Accesorios!$A$2:$A$129,0)),""))</f>
        <v>0.767487310146291</v>
      </c>
      <c r="H47" s="18" t="s">
        <v>258</v>
      </c>
      <c r="I47" s="7"/>
    </row>
    <row r="48" customFormat="false" ht="15" hidden="false" customHeight="false" outlineLevel="0" collapsed="false">
      <c r="A48" s="7" t="s">
        <v>259</v>
      </c>
      <c r="B48" s="7" t="s">
        <v>260</v>
      </c>
      <c r="C48" s="7" t="n">
        <v>4</v>
      </c>
      <c r="D48" s="7" t="s">
        <v>261</v>
      </c>
      <c r="E48" s="15" t="n">
        <v>10.95</v>
      </c>
      <c r="F48" s="16" t="n">
        <f aca="false">IF(E48="","",E48/C48)</f>
        <v>2.7375</v>
      </c>
      <c r="G48" s="17" t="n">
        <f aca="false">IF(D48="","",IFERROR(INDEX(Accesorios!$S$2:$S$129,MATCH(D48,Accesorios!$A$2:$A$129,0)),""))</f>
        <v>1.89399670879871</v>
      </c>
      <c r="H48" s="18" t="s">
        <v>262</v>
      </c>
      <c r="I48" s="7"/>
    </row>
    <row r="49" customFormat="false" ht="15" hidden="false" customHeight="false" outlineLevel="0" collapsed="false">
      <c r="A49" s="7" t="s">
        <v>263</v>
      </c>
      <c r="B49" s="7" t="s">
        <v>264</v>
      </c>
      <c r="C49" s="7" t="n">
        <v>4</v>
      </c>
      <c r="D49" s="7" t="s">
        <v>265</v>
      </c>
      <c r="E49" s="15" t="n">
        <v>13.95</v>
      </c>
      <c r="F49" s="16" t="n">
        <f aca="false">IF(E49="","",E49/C49)</f>
        <v>3.4875</v>
      </c>
      <c r="G49" s="17" t="n">
        <f aca="false">IF(D49="","",IFERROR(INDEX(Accesorios!$S$2:$S$129,MATCH(D49,Accesorios!$A$2:$A$129,0)),""))</f>
        <v>1.5472</v>
      </c>
      <c r="H49" s="18" t="s">
        <v>266</v>
      </c>
      <c r="I49" s="7"/>
    </row>
    <row r="50" customFormat="false" ht="15" hidden="false" customHeight="false" outlineLevel="0" collapsed="false">
      <c r="A50" s="7" t="s">
        <v>267</v>
      </c>
      <c r="B50" s="7" t="s">
        <v>268</v>
      </c>
      <c r="C50" s="7" t="n">
        <v>4</v>
      </c>
      <c r="D50" s="7" t="s">
        <v>269</v>
      </c>
      <c r="E50" s="15" t="n">
        <v>16.95</v>
      </c>
      <c r="F50" s="16" t="n">
        <f aca="false">IF(E50="","",E50/C50)</f>
        <v>4.2375</v>
      </c>
      <c r="G50" s="17" t="n">
        <f aca="false">IF(D50="","",IFERROR(INDEX(Accesorios!$S$2:$S$129,MATCH(D50,Accesorios!$A$2:$A$129,0)),""))</f>
        <v>1.39682805245543</v>
      </c>
      <c r="H50" s="18" t="s">
        <v>270</v>
      </c>
      <c r="I50" s="7"/>
    </row>
    <row r="51" customFormat="false" ht="15" hidden="false" customHeight="false" outlineLevel="0" collapsed="false">
      <c r="A51" s="7" t="s">
        <v>271</v>
      </c>
      <c r="B51" s="7" t="s">
        <v>272</v>
      </c>
      <c r="C51" s="7" t="n">
        <v>4</v>
      </c>
      <c r="D51" s="7" t="s">
        <v>273</v>
      </c>
      <c r="E51" s="15" t="n">
        <v>24.95</v>
      </c>
      <c r="F51" s="16" t="n">
        <f aca="false">IF(E51="","",E51/C51)</f>
        <v>6.2375</v>
      </c>
      <c r="G51" s="17" t="n">
        <f aca="false">IF(D51="","",IFERROR(INDEX(Accesorios!$S$2:$S$129,MATCH(D51,Accesorios!$A$2:$A$129,0)),""))</f>
        <v>1.17593663145564</v>
      </c>
      <c r="H51" s="18" t="s">
        <v>274</v>
      </c>
      <c r="I51" s="7"/>
    </row>
    <row r="52" customFormat="false" ht="15" hidden="false" customHeight="false" outlineLevel="0" collapsed="false">
      <c r="A52" s="7" t="s">
        <v>275</v>
      </c>
      <c r="B52" s="7" t="s">
        <v>276</v>
      </c>
      <c r="C52" s="7" t="n">
        <v>4</v>
      </c>
      <c r="D52" s="7" t="s">
        <v>277</v>
      </c>
      <c r="E52" s="15" t="n">
        <v>30.95</v>
      </c>
      <c r="F52" s="16" t="n">
        <f aca="false">IF(E52="","",E52/C52)</f>
        <v>7.7375</v>
      </c>
      <c r="G52" s="17" t="n">
        <f aca="false">IF(D52="","",IFERROR(INDEX(Accesorios!$S$2:$S$129,MATCH(D52,Accesorios!$A$2:$A$129,0)),""))</f>
        <v>1.14821194691012</v>
      </c>
      <c r="H52" s="18" t="s">
        <v>278</v>
      </c>
      <c r="I52" s="7"/>
    </row>
    <row r="53" customFormat="false" ht="15" hidden="false" customHeight="false" outlineLevel="0" collapsed="false">
      <c r="A53" s="7" t="s">
        <v>279</v>
      </c>
      <c r="B53" s="7" t="s">
        <v>280</v>
      </c>
      <c r="C53" s="7" t="n">
        <v>4</v>
      </c>
      <c r="D53" s="7" t="s">
        <v>281</v>
      </c>
      <c r="E53" s="15" t="n">
        <v>43.95</v>
      </c>
      <c r="F53" s="16" t="n">
        <f aca="false">IF(E53="","",E53/C53)</f>
        <v>10.9875</v>
      </c>
      <c r="G53" s="17" t="n">
        <f aca="false">IF(D53="","",IFERROR(INDEX(Accesorios!$S$2:$S$129,MATCH(D53,Accesorios!$A$2:$A$129,0)),""))</f>
        <v>0.938396821510867</v>
      </c>
      <c r="H53" s="18" t="s">
        <v>282</v>
      </c>
      <c r="I53" s="7"/>
    </row>
    <row r="54" customFormat="false" ht="15" hidden="false" customHeight="false" outlineLevel="0" collapsed="false">
      <c r="A54" s="7" t="s">
        <v>283</v>
      </c>
      <c r="B54" s="7" t="s">
        <v>284</v>
      </c>
      <c r="C54" s="7" t="n">
        <v>4</v>
      </c>
      <c r="D54" s="7" t="s">
        <v>285</v>
      </c>
      <c r="E54" s="15" t="n">
        <v>151.95</v>
      </c>
      <c r="F54" s="16" t="n">
        <f aca="false">IF(E54="","",E54/C54)</f>
        <v>37.9875</v>
      </c>
      <c r="G54" s="17" t="n">
        <f aca="false">IF(D54="","",IFERROR(INDEX(Accesorios!$S$2:$S$129,MATCH(D54,Accesorios!$A$2:$A$129,0)),""))</f>
        <v>0.876800132443677</v>
      </c>
      <c r="H54" s="18" t="s">
        <v>286</v>
      </c>
      <c r="I54" s="7" t="s">
        <v>287</v>
      </c>
    </row>
    <row r="55" customFormat="false" ht="15" hidden="false" customHeight="false" outlineLevel="0" collapsed="false">
      <c r="A55" s="7" t="s">
        <v>288</v>
      </c>
      <c r="B55" s="7" t="s">
        <v>289</v>
      </c>
      <c r="C55" s="7" t="n">
        <v>4</v>
      </c>
      <c r="D55" s="7" t="s">
        <v>290</v>
      </c>
      <c r="E55" s="15" t="n">
        <v>135.95</v>
      </c>
      <c r="F55" s="16" t="n">
        <f aca="false">IF(E55="","",E55/C55)</f>
        <v>33.9875</v>
      </c>
      <c r="G55" s="17" t="n">
        <f aca="false">IF(D55="","",IFERROR(INDEX(Accesorios!$S$2:$S$129,MATCH(D55,Accesorios!$A$2:$A$129,0)),""))</f>
        <v>0.767487310146291</v>
      </c>
      <c r="H55" s="18" t="s">
        <v>291</v>
      </c>
      <c r="I55" s="7"/>
    </row>
    <row r="56" customFormat="false" ht="15" hidden="false" customHeight="false" outlineLevel="0" collapsed="false">
      <c r="A56" s="7" t="s">
        <v>292</v>
      </c>
      <c r="B56" s="7" t="s">
        <v>293</v>
      </c>
      <c r="C56" s="7" t="n">
        <v>4</v>
      </c>
      <c r="D56" s="7" t="s">
        <v>294</v>
      </c>
      <c r="E56" s="15" t="n">
        <v>8.95</v>
      </c>
      <c r="F56" s="16" t="n">
        <f aca="false">IF(E56="","",E56/C56)</f>
        <v>2.2375</v>
      </c>
      <c r="G56" s="17" t="n">
        <f aca="false">IF(D56="","",IFERROR(INDEX(Accesorios!$S$2:$S$129,MATCH(D56,Accesorios!$A$2:$A$129,0)),""))</f>
        <v>2.51353804138511</v>
      </c>
      <c r="H56" s="18" t="s">
        <v>295</v>
      </c>
      <c r="I56" s="7"/>
    </row>
    <row r="57" customFormat="false" ht="15" hidden="false" customHeight="false" outlineLevel="0" collapsed="false">
      <c r="A57" s="7" t="s">
        <v>296</v>
      </c>
      <c r="B57" s="7" t="s">
        <v>297</v>
      </c>
      <c r="C57" s="7" t="n">
        <v>4</v>
      </c>
      <c r="D57" s="7" t="s">
        <v>298</v>
      </c>
      <c r="E57" s="15" t="n">
        <v>10.95</v>
      </c>
      <c r="F57" s="16" t="n">
        <f aca="false">IF(E57="","",E57/C57)</f>
        <v>2.7375</v>
      </c>
      <c r="G57" s="17" t="n">
        <f aca="false">IF(D57="","",IFERROR(INDEX(Accesorios!$S$2:$S$129,MATCH(D57,Accesorios!$A$2:$A$129,0)),""))</f>
        <v>2.0656</v>
      </c>
      <c r="H57" s="18" t="s">
        <v>299</v>
      </c>
      <c r="I57" s="7"/>
    </row>
    <row r="58" customFormat="false" ht="15" hidden="false" customHeight="false" outlineLevel="0" collapsed="false">
      <c r="A58" s="7" t="s">
        <v>300</v>
      </c>
      <c r="B58" s="7" t="s">
        <v>301</v>
      </c>
      <c r="C58" s="7" t="n">
        <v>4</v>
      </c>
      <c r="D58" s="7" t="s">
        <v>302</v>
      </c>
      <c r="E58" s="15" t="n">
        <v>13.95</v>
      </c>
      <c r="F58" s="16" t="n">
        <f aca="false">IF(E58="","",E58/C58)</f>
        <v>3.4875</v>
      </c>
      <c r="G58" s="17" t="n">
        <f aca="false">IF(D58="","",IFERROR(INDEX(Accesorios!$S$2:$S$129,MATCH(D58,Accesorios!$A$2:$A$129,0)),""))</f>
        <v>1.85946709234342</v>
      </c>
      <c r="H58" s="18" t="s">
        <v>303</v>
      </c>
      <c r="I58" s="7"/>
    </row>
    <row r="59" customFormat="false" ht="15" hidden="false" customHeight="false" outlineLevel="0" collapsed="false">
      <c r="A59" s="7" t="s">
        <v>304</v>
      </c>
      <c r="B59" s="7" t="s">
        <v>305</v>
      </c>
      <c r="C59" s="7" t="n">
        <v>5</v>
      </c>
      <c r="D59" s="7" t="s">
        <v>306</v>
      </c>
      <c r="E59" s="15" t="n">
        <v>2.95</v>
      </c>
      <c r="F59" s="16" t="n">
        <f aca="false">IF(E59="","",E59/C59)</f>
        <v>0.59</v>
      </c>
      <c r="G59" s="17" t="n">
        <f aca="false">IF(D59="","",IFERROR(INDEX(Accesorios!$S$2:$S$129,MATCH(D59,Accesorios!$A$2:$A$129,0)),""))</f>
        <v>0.254246468716375</v>
      </c>
      <c r="H59" s="18" t="s">
        <v>307</v>
      </c>
      <c r="I59" s="7"/>
    </row>
    <row r="60" customFormat="false" ht="15" hidden="false" customHeight="false" outlineLevel="0" collapsed="false">
      <c r="A60" s="7" t="s">
        <v>308</v>
      </c>
      <c r="B60" s="7" t="s">
        <v>309</v>
      </c>
      <c r="C60" s="7" t="n">
        <v>5</v>
      </c>
      <c r="D60" s="7" t="s">
        <v>310</v>
      </c>
      <c r="E60" s="15" t="n">
        <v>4.95</v>
      </c>
      <c r="F60" s="16" t="n">
        <f aca="false">IF(E60="","",E60/C60)</f>
        <v>0.99</v>
      </c>
      <c r="G60" s="17" t="n">
        <f aca="false">IF(D60="","",IFERROR(INDEX(Accesorios!$S$2:$S$129,MATCH(D60,Accesorios!$A$2:$A$129,0)),""))</f>
        <v>0.363590932217762</v>
      </c>
      <c r="H60" s="18" t="s">
        <v>311</v>
      </c>
      <c r="I60" s="7"/>
    </row>
    <row r="61" customFormat="false" ht="15" hidden="false" customHeight="false" outlineLevel="0" collapsed="false">
      <c r="A61" s="7" t="s">
        <v>312</v>
      </c>
      <c r="B61" s="7" t="s">
        <v>313</v>
      </c>
      <c r="C61" s="7" t="n">
        <v>5</v>
      </c>
      <c r="D61" s="7" t="s">
        <v>314</v>
      </c>
      <c r="E61" s="15" t="n">
        <v>4.95</v>
      </c>
      <c r="F61" s="16" t="n">
        <f aca="false">IF(E61="","",E61/C61)</f>
        <v>0.99</v>
      </c>
      <c r="G61" s="17" t="n">
        <f aca="false">IF(D61="","",IFERROR(INDEX(Accesorios!$S$2:$S$129,MATCH(D61,Accesorios!$A$2:$A$129,0)),""))</f>
        <v>0.231326530612245</v>
      </c>
      <c r="H61" s="18" t="s">
        <v>315</v>
      </c>
      <c r="I61" s="7"/>
    </row>
    <row r="62" customFormat="false" ht="15" hidden="false" customHeight="false" outlineLevel="0" collapsed="false">
      <c r="A62" s="7" t="s">
        <v>316</v>
      </c>
      <c r="B62" s="7" t="s">
        <v>317</v>
      </c>
      <c r="C62" s="7" t="n">
        <v>5</v>
      </c>
      <c r="D62" s="7" t="s">
        <v>318</v>
      </c>
      <c r="E62" s="15" t="n">
        <v>13.95</v>
      </c>
      <c r="F62" s="16" t="n">
        <f aca="false">IF(E62="","",E62/C62)</f>
        <v>2.79</v>
      </c>
      <c r="G62" s="17" t="n">
        <f aca="false">IF(D62="","",IFERROR(INDEX(Accesorios!$S$2:$S$129,MATCH(D62,Accesorios!$A$2:$A$129,0)),""))</f>
        <v>0.236542403628118</v>
      </c>
      <c r="H62" s="18" t="s">
        <v>319</v>
      </c>
      <c r="I62" s="7"/>
    </row>
    <row r="63" customFormat="false" ht="15" hidden="false" customHeight="false" outlineLevel="0" collapsed="false">
      <c r="A63" s="7" t="s">
        <v>320</v>
      </c>
      <c r="B63" s="7" t="s">
        <v>321</v>
      </c>
      <c r="C63" s="7" t="n">
        <v>5</v>
      </c>
      <c r="D63" s="7" t="s">
        <v>322</v>
      </c>
      <c r="E63" s="19"/>
      <c r="F63" s="16" t="str">
        <f aca="false">IF(E63="","",E63/C63)</f>
        <v/>
      </c>
      <c r="G63" s="17" t="n">
        <f aca="false">IF(D63="","",IFERROR(INDEX(Accesorios!$S$2:$S$129,MATCH(D63,Accesorios!$A$2:$A$129,0)),""))</f>
        <v>0.04</v>
      </c>
      <c r="H63" s="18" t="s">
        <v>323</v>
      </c>
      <c r="I63" s="7" t="s">
        <v>324</v>
      </c>
    </row>
    <row r="64" customFormat="false" ht="15" hidden="false" customHeight="false" outlineLevel="0" collapsed="false">
      <c r="A64" s="7" t="s">
        <v>325</v>
      </c>
      <c r="B64" s="7" t="s">
        <v>326</v>
      </c>
      <c r="C64" s="7" t="n">
        <v>5</v>
      </c>
      <c r="D64" s="7" t="s">
        <v>327</v>
      </c>
      <c r="E64" s="15" t="n">
        <v>4.95</v>
      </c>
      <c r="F64" s="16" t="n">
        <f aca="false">IF(E64="","",E64/C64)</f>
        <v>0.99</v>
      </c>
      <c r="G64" s="17" t="n">
        <f aca="false">IF(D64="","",IFERROR(INDEX(Accesorios!$S$2:$S$129,MATCH(D64,Accesorios!$A$2:$A$129,0)),""))</f>
        <v>0.04</v>
      </c>
      <c r="H64" s="18" t="s">
        <v>323</v>
      </c>
      <c r="I64" s="7"/>
    </row>
    <row r="65" customFormat="false" ht="15" hidden="false" customHeight="false" outlineLevel="0" collapsed="false">
      <c r="A65" s="7" t="s">
        <v>328</v>
      </c>
      <c r="B65" s="7" t="s">
        <v>329</v>
      </c>
      <c r="C65" s="7" t="n">
        <v>5</v>
      </c>
      <c r="D65" s="7" t="s">
        <v>330</v>
      </c>
      <c r="E65" s="15" t="n">
        <v>6.95</v>
      </c>
      <c r="F65" s="16" t="n">
        <f aca="false">IF(E65="","",E65/C65)</f>
        <v>1.39</v>
      </c>
      <c r="G65" s="17" t="n">
        <f aca="false">IF(D65="","",IFERROR(INDEX(Accesorios!$S$2:$S$129,MATCH(D65,Accesorios!$A$2:$A$129,0)),""))</f>
        <v>0.04</v>
      </c>
      <c r="H65" s="18" t="s">
        <v>331</v>
      </c>
      <c r="I65" s="7"/>
    </row>
    <row r="66" customFormat="false" ht="15" hidden="false" customHeight="false" outlineLevel="0" collapsed="false">
      <c r="A66" s="7" t="s">
        <v>332</v>
      </c>
      <c r="B66" s="7" t="s">
        <v>333</v>
      </c>
      <c r="C66" s="7" t="n">
        <v>5</v>
      </c>
      <c r="D66" s="7" t="s">
        <v>334</v>
      </c>
      <c r="E66" s="15" t="n">
        <v>6.95</v>
      </c>
      <c r="F66" s="16" t="n">
        <f aca="false">IF(E66="","",E66/C66)</f>
        <v>1.39</v>
      </c>
      <c r="G66" s="17" t="n">
        <f aca="false">IF(D66="","",IFERROR(INDEX(Accesorios!$S$2:$S$129,MATCH(D66,Accesorios!$A$2:$A$129,0)),""))</f>
        <v>0.04</v>
      </c>
      <c r="H66" s="18" t="s">
        <v>323</v>
      </c>
      <c r="I66" s="7"/>
    </row>
    <row r="67" customFormat="false" ht="15" hidden="false" customHeight="false" outlineLevel="0" collapsed="false">
      <c r="A67" s="7" t="s">
        <v>335</v>
      </c>
      <c r="B67" s="7" t="s">
        <v>336</v>
      </c>
      <c r="C67" s="7" t="n">
        <v>5</v>
      </c>
      <c r="D67" s="7" t="s">
        <v>337</v>
      </c>
      <c r="E67" s="15" t="n">
        <v>13.95</v>
      </c>
      <c r="F67" s="16" t="n">
        <f aca="false">IF(E67="","",E67/C67)</f>
        <v>2.79</v>
      </c>
      <c r="G67" s="17" t="n">
        <f aca="false">IF(D67="","",IFERROR(INDEX(Accesorios!$S$2:$S$129,MATCH(D67,Accesorios!$A$2:$A$129,0)),""))</f>
        <v>0.04</v>
      </c>
      <c r="H67" s="18" t="s">
        <v>338</v>
      </c>
      <c r="I67" s="7"/>
    </row>
    <row r="68" customFormat="false" ht="15" hidden="false" customHeight="false" outlineLevel="0" collapsed="false">
      <c r="A68" s="7" t="s">
        <v>339</v>
      </c>
      <c r="B68" s="7" t="s">
        <v>340</v>
      </c>
      <c r="C68" s="7" t="n">
        <v>17</v>
      </c>
      <c r="D68" s="7"/>
      <c r="E68" s="15" t="n">
        <v>34.95</v>
      </c>
      <c r="F68" s="16" t="n">
        <f aca="false">IF(E68="","",E68/C68)</f>
        <v>2.05588235294118</v>
      </c>
      <c r="G68" s="17" t="str">
        <f aca="false">IF(D68="","",IFERROR(INDEX(Accesorios!$S$2:$S$129,MATCH(D68,Accesorios!$A$2:$A$129,0)),""))</f>
        <v/>
      </c>
      <c r="H68" s="18" t="s">
        <v>341</v>
      </c>
      <c r="I68" s="7" t="s">
        <v>342</v>
      </c>
    </row>
    <row r="69" customFormat="false" ht="15" hidden="false" customHeight="false" outlineLevel="0" collapsed="false">
      <c r="A69" s="7" t="s">
        <v>343</v>
      </c>
      <c r="B69" s="7" t="s">
        <v>344</v>
      </c>
      <c r="C69" s="7" t="n">
        <v>17</v>
      </c>
      <c r="D69" s="7"/>
      <c r="E69" s="15" t="n">
        <v>38.95</v>
      </c>
      <c r="F69" s="16" t="n">
        <f aca="false">IF(E69="","",E69/C69)</f>
        <v>2.29117647058824</v>
      </c>
      <c r="G69" s="17" t="str">
        <f aca="false">IF(D69="","",IFERROR(INDEX(Accesorios!$S$2:$S$129,MATCH(D69,Accesorios!$A$2:$A$129,0)),""))</f>
        <v/>
      </c>
      <c r="H69" s="18" t="s">
        <v>345</v>
      </c>
      <c r="I69" s="7" t="s">
        <v>346</v>
      </c>
    </row>
    <row r="70" customFormat="false" ht="15" hidden="false" customHeight="false" outlineLevel="0" collapsed="false">
      <c r="A70" s="7" t="s">
        <v>347</v>
      </c>
      <c r="B70" s="7" t="s">
        <v>348</v>
      </c>
      <c r="C70" s="7" t="n">
        <v>17</v>
      </c>
      <c r="D70" s="7"/>
      <c r="E70" s="15" t="n">
        <v>17.95</v>
      </c>
      <c r="F70" s="16" t="n">
        <f aca="false">IF(E70="","",E70/C70)</f>
        <v>1.05588235294118</v>
      </c>
      <c r="G70" s="17" t="str">
        <f aca="false">IF(D70="","",IFERROR(INDEX(Accesorios!$S$2:$S$129,MATCH(D70,Accesorios!$A$2:$A$129,0)),""))</f>
        <v/>
      </c>
      <c r="H70" s="18" t="s">
        <v>349</v>
      </c>
      <c r="I70" s="7" t="s">
        <v>350</v>
      </c>
    </row>
  </sheetData>
  <autoFilter ref="A1:I70"/>
  <hyperlinks>
    <hyperlink ref="H2" r:id="rId1" display="https://latiendadeljardin.com/es/piezas-de-polietileno/3193-enlace-manguito-polietileno-20mm-pack4.html"/>
    <hyperlink ref="H3" r:id="rId2" display="https://latiendadeljardin.com/es/piezas-de-polietileno/3195-enlace-manguito-polietileno-25mm-pack4.html"/>
    <hyperlink ref="H4" r:id="rId3" display="https://latiendadeljardin.com/es/piezas-de-polietileno/3196-enlace-manguito-polietileno-32mm-pack4-8420082100900.html"/>
    <hyperlink ref="H5" r:id="rId4" display="https://latiendadeljardin.com/es/piezas-de-polietileno/3197-enlace-manguito-polietileno-40mm-pack4.html"/>
    <hyperlink ref="H6" r:id="rId5" display="https://latiendadeljardin.com/es/piezas-de-polietileno/3198-enlace-manguito-polietileno-50mm-pack4-8420082100924.html"/>
    <hyperlink ref="H7" r:id="rId6" display="https://latiendadeljardin.com/es/piezas-de-polietileno/3199-enlace-manguito-polietileno-63mm-pack4.html"/>
    <hyperlink ref="H8" r:id="rId7" display="https://latiendadeljardin.com/es/piezas-de-polietileno/3200-enlace-manguito-polietileno-75mm-pack5.html"/>
    <hyperlink ref="H9" r:id="rId8" display="https://latiendadeljardin.com/es/piezas-de-polietileno/3201-enlace-manguito-polietileno-90mm-pack5.html"/>
    <hyperlink ref="H10" r:id="rId9" display="https://latiendadeljardin.com/es/piezas-de-polietileno/3256-enlace-manguito-reducido-25-20mm-pack4.html"/>
    <hyperlink ref="H11" r:id="rId10" display="https://latiendadeljardin.com/es/piezas-de-polietileno/3257-enlace-manguito-reducido-32-25mm-pack4.html"/>
    <hyperlink ref="H12" r:id="rId11" display="https://latiendadeljardin.com/es/piezas-de-polietileno/3258-enlace-manguito-reducido-40-32mm-pack4.html"/>
    <hyperlink ref="H13" r:id="rId12" display="https://latiendadeljardin.com/es/piezas-de-polietileno/3259-enlace-manguito-reducido-50-40mm-pack4.html"/>
    <hyperlink ref="H14" r:id="rId13" display="https://latiendadeljardin.com/es/piezas-de-polietileno/3260-enlace-manguito-reducido-63-50mm-pack4.html"/>
    <hyperlink ref="H15" r:id="rId14" display="https://latiendadeljardin.com/es/piezas-de-polietileno/3261-enlace-manguito-reducido-75-63mm-pack4.html"/>
    <hyperlink ref="H16" r:id="rId15" display="https://latiendadeljardin.com/es/piezas-de-polietileno/3262-enlace-manguito-reducido-90-75mm-pack4.html"/>
    <hyperlink ref="H17" r:id="rId16" display="https://latiendadeljardin.com/es/piezas-de-polietileno/3153-tapon-final-polietileno-20mm-pack4.html"/>
    <hyperlink ref="H18" r:id="rId17" display="https://latiendadeljardin.com/es/piezas-de-polietileno/3154-tapon-final-polietileno-25mm-pack4.html"/>
    <hyperlink ref="H19" r:id="rId18" display="https://latiendadeljardin.com/es/piezas-de-polietileno/3155-tapon-final-polietileno-32mm-pack4.html"/>
    <hyperlink ref="H20" r:id="rId19" display="https://latiendadeljardin.com/es/piezas-de-polietileno/3156-tapon-final-polietileno-40mm-pack4.html"/>
    <hyperlink ref="H21" r:id="rId20" display="https://latiendadeljardin.com/es/piezas-de-polietileno/3157-tapon-final-polietileno-50mm-pack4.html"/>
    <hyperlink ref="H22" r:id="rId21" display="https://latiendadeljardin.com/es/piezas-de-polietileno/3158-tapon-final-polietileno-63mm-pack4.html"/>
    <hyperlink ref="H23" r:id="rId22" display="https://latiendadeljardin.com/es/piezas-de-polietileno/3159-tapon-final-polietileno-75mm-pack4.html"/>
    <hyperlink ref="H24" r:id="rId23" display="https://latiendadeljardin.com/es/piezas-de-polietileno/3347-enlace-hembra-pe-20mm-pack4.html"/>
    <hyperlink ref="H25" r:id="rId24" display="https://latiendadeljardin.com/es/piezas-de-polietileno/3348-enlace-hembra-pe-25mm-pack4.html"/>
    <hyperlink ref="H26" r:id="rId25" display="https://latiendadeljardin.com/es/piezas-de-polietileno/3349-enlace-hembra-pe-32mm-pack4.html"/>
    <hyperlink ref="H27" r:id="rId26" display="https://latiendadeljardin.com/es/piezas-de-polietileno/3350-enlace-hembra-pe-40mm-pack4.html"/>
    <hyperlink ref="H28" r:id="rId27" display="https://latiendadeljardin.com/es/piezas-de-polietileno/3351-enlace-hembra-pe-50mm-pack4.html"/>
    <hyperlink ref="H29" r:id="rId28" display="https://latiendadeljardin.com/es/piezas-de-polietileno/3352-enlace-hembra-pe-63mm-pack4.html"/>
    <hyperlink ref="H30" r:id="rId29" display="https://latiendadeljardin.com/es/piezas-de-polietileno/3353-enlace-hembra-pe-75mm-pack4.html"/>
    <hyperlink ref="H31" r:id="rId30" display="https://latiendadeljardin.com/es/piezas-de-polietileno/3354-enlace-hembra-pe-90mm-pack4.html"/>
    <hyperlink ref="H32" r:id="rId31" display="https://latiendadeljardin.com/es/piezas-de-polietileno/16513-4-enlace-macho-polietileno-20mm.html"/>
    <hyperlink ref="H33" r:id="rId32" display="https://latiendadeljardin.com/es/piezas-de-polietileno/16514-4-enlace-macho-polietileno-25mm.html"/>
    <hyperlink ref="H34" r:id="rId33" display="https://latiendadeljardin.com/es/piezas-de-polietileno/16515-4-enlace-macho-polietileno-32mm.html"/>
    <hyperlink ref="H35" r:id="rId34" display="https://latiendadeljardin.com/es/piezas-de-polietileno/16516-4-enlace-macho-polietileno-40mm.html"/>
    <hyperlink ref="H36" r:id="rId35" display="https://latiendadeljardin.com/es/piezas-de-polietileno/16517-4-enlace-macho-polietileno-50mm.html"/>
    <hyperlink ref="H37" r:id="rId36" display="https://latiendadeljardin.com/es/piezas-de-polietileno/16518-4-enlace-macho-polietileno-63mm.html"/>
    <hyperlink ref="H38" r:id="rId37" display="https://latiendadeljardin.com/es/piezas-de-polietileno/16519-4-enlace-macho-polietileno-75mm.html"/>
    <hyperlink ref="H39" r:id="rId38" display="https://latiendadeljardin.com/es/piezas-de-polietileno/16520-4-enlace-macho-polietileno-90mm.html"/>
    <hyperlink ref="H40" r:id="rId39" display="https://latiendadeljardin.com/es/piezas-de-polietileno/16521-4-te-polietileno-20mm.html"/>
    <hyperlink ref="H41" r:id="rId40" display="https://latiendadeljardin.com/es/piezas-de-polietileno/16522-4-te-polietileno-25mm.html"/>
    <hyperlink ref="H42" r:id="rId41" display="https://latiendadeljardin.com/es/piezas-de-polietileno/16523-4-te-polietileno-32mm.html"/>
    <hyperlink ref="H43" r:id="rId42" display="https://latiendadeljardin.com/es/piezas-de-polietileno/16524-4-te-polietileno-40mm.html"/>
    <hyperlink ref="H44" r:id="rId43" display="https://latiendadeljardin.com/es/piezas-de-polietileno/16525-4-te-polietileno-50mm.html"/>
    <hyperlink ref="H45" r:id="rId44" display="https://latiendadeljardin.com/es/piezas-de-polietileno/16526-4-te-polietileno-63mm.html"/>
    <hyperlink ref="H46" r:id="rId45" display="https://latiendadeljardin.com/es/piezas-de-polietileno/16527-4-te-polietileno-75mm.html"/>
    <hyperlink ref="H47" r:id="rId46" display="https://latiendadeljardin.com/es/piezas-de-polietileno/16528-4-te-polietileno-90mm.html"/>
    <hyperlink ref="H48" r:id="rId47" display="https://latiendadeljardin.com/es/piezas-de-polietileno/18269-4-te-polietileno-hembra-20mm.html"/>
    <hyperlink ref="H49" r:id="rId48" display="https://latiendadeljardin.com/es/piezas-de-polietileno/18270-4-te-polietileno-hembra-25mm.html"/>
    <hyperlink ref="H50" r:id="rId49" display="https://latiendadeljardin.com/es/piezas-de-polietileno/16562-4-te-polietileno-hembra-32mm.html"/>
    <hyperlink ref="H51" r:id="rId50" display="https://latiendadeljardin.com/es/piezas-de-polietileno/16563-4-te-polietileno-hembra-40mm.html"/>
    <hyperlink ref="H52" r:id="rId51" display="https://latiendadeljardin.com/es/piezas-de-polietileno/16564-4-te-polietileno-hembra-50mm.html"/>
    <hyperlink ref="H53" r:id="rId52" display="https://latiendadeljardin.com/es/piezas-de-polietileno/16565-4-te-polietileno-hembra-63mm.html"/>
    <hyperlink ref="H54" r:id="rId53" display="https://latiendadeljardin.com/es/piezas-de-polietileno/16566-4-te-polietileno-hembra-75mm.html"/>
    <hyperlink ref="H55" r:id="rId54" display="https://latiendadeljardin.com/es/piezas-de-polietileno/16567-4-te-polietileno-hembra-90mm.html"/>
    <hyperlink ref="H56" r:id="rId55" display="https://latiendadeljardin.com/es/piezas-de-polietileno/17568-pack-4-codo-polietileno-20mm.html"/>
    <hyperlink ref="H57" r:id="rId56" display="https://latiendadeljardin.com/es/piezas-de-polietileno/17569-pack-4-codo-polietileno-25mm.html"/>
    <hyperlink ref="H58" r:id="rId57" display="https://latiendadeljardin.com/es/piezas-de-polietileno/17570-pack-4-codo-polietileno-32mm.html"/>
    <hyperlink ref="H59" r:id="rId58" display="https://latiendadeljardin.com/es/piezas-de-polietileno/8439-pack5-machon-roscado-plastico.html"/>
    <hyperlink ref="H60" r:id="rId59" display="https://latiendadeljardin.com/es/piezas-de-polietileno/8440-pack5-machon-roscado-plastico.html"/>
    <hyperlink ref="H61" r:id="rId60" display="https://latiendadeljardin.com/es/piezas-de-polietileno/8441-pack5-machon-roscado-plastico.html"/>
    <hyperlink ref="H62" r:id="rId61" display="https://latiendadeljardin.com/es/piezas-de-polietileno/8443-pack5-machon-roscado-plastico.html"/>
    <hyperlink ref="H63" r:id="rId62" display="https://latiendadeljardin.com/es/piezas-de-polietileno/83-piezas-de-polietileno"/>
    <hyperlink ref="H64" r:id="rId63" display="https://latiendadeljardin.com/es/piezas-de-polietileno/83-piezas-de-polietileno"/>
    <hyperlink ref="H65" r:id="rId64" display="https://latiendadeljardin.com/es/piezas-de-polietileno/8436-pack5-machon-roscado-plastico.html"/>
    <hyperlink ref="H66" r:id="rId65" display="https://latiendadeljardin.com/es/piezas-de-polietileno/83-piezas-de-polietileno"/>
    <hyperlink ref="H67" r:id="rId66" display="https://latiendadeljardin.com/es/piezas-de-polietileno/8438-pack5-machon-roscado-plastico.html"/>
    <hyperlink ref="H68" r:id="rId67" display="https://latiendadeljardin.com/es/piezas-de-polietileno/3888-pack-riego-tuberia-20mm.html"/>
    <hyperlink ref="H69" r:id="rId68" display="https://latiendadeljardin.com/es/piezas-de-polietileno/3889-pack-riego-tuberia-25mm.html"/>
    <hyperlink ref="H70" r:id="rId69" display="https://latiendadeljardin.com/es/piezas-de-polietileno/3890-pack-riego-tuberia-32mm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34"/>
    <col collapsed="false" customWidth="true" hidden="false" outlineLevel="0" max="14" min="12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8" min="17" style="0" width="9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52"/>
    <col collapsed="false" customWidth="true" hidden="false" outlineLevel="0" max="23" min="23" style="0" width="12"/>
    <col collapsed="false" customWidth="true" hidden="false" outlineLevel="0" max="24" min="24" style="0" width="40"/>
    <col collapsed="false" customWidth="true" hidden="false" outlineLevel="0" max="25" min="25" style="0" width="4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8" min="28" style="0" width="14"/>
    <col collapsed="false" customWidth="true" hidden="false" outlineLevel="0" max="29" min="29" style="0" width="9"/>
  </cols>
  <sheetData>
    <row r="1" customFormat="false" ht="42" hidden="false" customHeight="true" outlineLevel="0" collapsed="false">
      <c r="A1" s="14" t="s">
        <v>351</v>
      </c>
      <c r="B1" s="14" t="s">
        <v>66</v>
      </c>
      <c r="C1" s="14" t="s">
        <v>352</v>
      </c>
      <c r="D1" s="14" t="s">
        <v>353</v>
      </c>
      <c r="E1" s="14" t="s">
        <v>354</v>
      </c>
      <c r="F1" s="14" t="s">
        <v>355</v>
      </c>
      <c r="G1" s="14" t="s">
        <v>356</v>
      </c>
      <c r="H1" s="14" t="s">
        <v>357</v>
      </c>
      <c r="I1" s="14" t="s">
        <v>358</v>
      </c>
      <c r="J1" s="14" t="s">
        <v>359</v>
      </c>
      <c r="K1" s="14" t="s">
        <v>360</v>
      </c>
      <c r="L1" s="14" t="s">
        <v>361</v>
      </c>
      <c r="M1" s="14" t="s">
        <v>362</v>
      </c>
      <c r="N1" s="14" t="s">
        <v>42</v>
      </c>
      <c r="O1" s="14" t="s">
        <v>363</v>
      </c>
      <c r="P1" s="14" t="s">
        <v>364</v>
      </c>
      <c r="Q1" s="14" t="s">
        <v>365</v>
      </c>
      <c r="R1" s="14" t="s">
        <v>366</v>
      </c>
      <c r="S1" s="14" t="s">
        <v>367</v>
      </c>
      <c r="T1" s="14" t="s">
        <v>368</v>
      </c>
      <c r="U1" s="14" t="s">
        <v>369</v>
      </c>
      <c r="V1" s="14" t="s">
        <v>370</v>
      </c>
      <c r="W1" s="14" t="s">
        <v>371</v>
      </c>
      <c r="X1" s="14" t="s">
        <v>72</v>
      </c>
      <c r="Y1" s="14" t="s">
        <v>73</v>
      </c>
      <c r="Z1" s="14" t="s">
        <v>372</v>
      </c>
      <c r="AA1" s="14" t="s">
        <v>373</v>
      </c>
      <c r="AB1" s="14" t="s">
        <v>374</v>
      </c>
      <c r="AC1" s="14" t="s">
        <v>375</v>
      </c>
    </row>
    <row r="2" customFormat="false" ht="15" hidden="false" customHeight="false" outlineLevel="0" collapsed="false">
      <c r="A2" s="7" t="s">
        <v>76</v>
      </c>
      <c r="B2" s="7" t="s">
        <v>376</v>
      </c>
      <c r="C2" s="7" t="s">
        <v>377</v>
      </c>
      <c r="D2" s="7" t="s">
        <v>378</v>
      </c>
      <c r="E2" s="7" t="s">
        <v>379</v>
      </c>
      <c r="F2" s="7" t="s">
        <v>380</v>
      </c>
      <c r="G2" s="7" t="n">
        <v>20</v>
      </c>
      <c r="H2" s="7"/>
      <c r="I2" s="7"/>
      <c r="J2" s="7" t="n">
        <v>16</v>
      </c>
      <c r="K2" s="7" t="s">
        <v>381</v>
      </c>
      <c r="L2" s="9" t="n">
        <f aca="false">INDEX(Parámetros!$D$5:$D$12,MATCH(G2,Parámetros!$A$5:$A$12,0))</f>
        <v>16</v>
      </c>
      <c r="M2" s="9" t="n">
        <f aca="false">INDEX(Parámetros!$D$5:$D$12,MATCH(IF(H2="",G2,H2),Parámetros!$A$5:$A$12,0))</f>
        <v>16</v>
      </c>
      <c r="N2" s="9" t="n">
        <f aca="false">INDEX(Parámetros!$E$5:$E$12,MATCH(G2,Parámetros!$A$5:$A$12,0))</f>
        <v>13</v>
      </c>
      <c r="O2" s="8"/>
      <c r="P2" s="17" t="n">
        <f aca="false">INDEX(Parámetros!$G$5:$G$12,MATCH(G2,Parámetros!$A$5:$A$12,0))</f>
        <v>0.027</v>
      </c>
      <c r="Q2" s="17" t="n">
        <f aca="false">IF(Z2="","",INDEX(Parámetros!$C$27:$C$31,MATCH(Z2,Parámetros!$A$27:$A$31,0))*P2)</f>
        <v>0</v>
      </c>
      <c r="R2" s="11"/>
      <c r="S2" s="17" t="n">
        <f aca="false">(Q2+0.5*(1-(N2/L2)^2)+(1-(N2/M2)^2)^2)*(M2/N2)^4+IF(Z2="",0,INDEX(Parámetros!$E$27:$E$31,MATCH(Z2,Parámetros!$A$27:$A$31,0)))</f>
        <v>0.654914043625924</v>
      </c>
      <c r="T2" s="11"/>
      <c r="U2" s="17" t="str">
        <f aca="false">IF(H2="","",(Q2+0.5*(1-(N2/M2)^2)+(1-(N2/L2)^2)^2)*(M2/N2)^4+IF(Z2="",0,INDEX(Parámetros!$E$27:$E$31,MATCH(Z2,Parámetros!$A$27:$A$31,0))))</f>
        <v/>
      </c>
      <c r="V2" s="13" t="s">
        <v>382</v>
      </c>
      <c r="W2" s="19" t="n">
        <v>1.95</v>
      </c>
      <c r="X2" s="18" t="s">
        <v>383</v>
      </c>
      <c r="Y2" s="7"/>
      <c r="Z2" s="7" t="s">
        <v>50</v>
      </c>
      <c r="AA2" s="7" t="s">
        <v>384</v>
      </c>
      <c r="AB2" s="16" t="n">
        <f aca="false">IF(COUNTIFS(Packs!$D$2:$D$70,A2,Packs!$F$2:$F$70,"&gt;0")=0,"",_xlfn.MINIFS(Packs!$F$2:$F$70,Packs!$D$2:$D$70,A2,Packs!$F$2:$F$70,"&gt;0"))</f>
        <v>3.2375</v>
      </c>
      <c r="AC2" s="13" t="n">
        <f aca="false">COUNTIF(Packs!$D$2:$D$70,A2)</f>
        <v>1</v>
      </c>
    </row>
    <row r="3" customFormat="false" ht="15" hidden="false" customHeight="false" outlineLevel="0" collapsed="false">
      <c r="A3" s="7" t="s">
        <v>80</v>
      </c>
      <c r="B3" s="7" t="s">
        <v>376</v>
      </c>
      <c r="C3" s="7" t="s">
        <v>377</v>
      </c>
      <c r="D3" s="7" t="s">
        <v>378</v>
      </c>
      <c r="E3" s="7" t="s">
        <v>379</v>
      </c>
      <c r="F3" s="7" t="s">
        <v>380</v>
      </c>
      <c r="G3" s="7" t="n">
        <v>25</v>
      </c>
      <c r="H3" s="7"/>
      <c r="I3" s="7"/>
      <c r="J3" s="7" t="n">
        <v>16</v>
      </c>
      <c r="K3" s="7" t="s">
        <v>381</v>
      </c>
      <c r="L3" s="9" t="n">
        <f aca="false">INDEX(Parámetros!$D$5:$D$12,MATCH(G3,Parámetros!$A$5:$A$12,0))</f>
        <v>20.4</v>
      </c>
      <c r="M3" s="9" t="n">
        <f aca="false">INDEX(Parámetros!$D$5:$D$12,MATCH(IF(H3="",G3,H3),Parámetros!$A$5:$A$12,0))</f>
        <v>20.4</v>
      </c>
      <c r="N3" s="9" t="n">
        <f aca="false">INDEX(Parámetros!$E$5:$E$12,MATCH(G3,Parámetros!$A$5:$A$12,0))</f>
        <v>17</v>
      </c>
      <c r="O3" s="8"/>
      <c r="P3" s="17" t="n">
        <f aca="false">INDEX(Parámetros!$G$5:$G$12,MATCH(G3,Parámetros!$A$5:$A$12,0))</f>
        <v>0.025</v>
      </c>
      <c r="Q3" s="17" t="n">
        <f aca="false">IF(Z3="","",INDEX(Parámetros!$C$27:$C$31,MATCH(Z3,Parámetros!$A$27:$A$31,0))*P3)</f>
        <v>0</v>
      </c>
      <c r="R3" s="11"/>
      <c r="S3" s="17" t="n">
        <f aca="false">(Q3+0.5*(1-(N3/L3)^2)+(1-(N3/M3)^2)^2)*(M3/N3)^4+IF(Z3="",0,INDEX(Parámetros!$E$27:$E$31,MATCH(Z3,Parámetros!$A$27:$A$31,0)))</f>
        <v>0.5104</v>
      </c>
      <c r="T3" s="11"/>
      <c r="U3" s="17" t="str">
        <f aca="false">IF(H3="","",(Q3+0.5*(1-(N3/M3)^2)+(1-(N3/L3)^2)^2)*(M3/N3)^4+IF(Z3="",0,INDEX(Parámetros!$E$27:$E$31,MATCH(Z3,Parámetros!$A$27:$A$31,0))))</f>
        <v/>
      </c>
      <c r="V3" s="13" t="s">
        <v>382</v>
      </c>
      <c r="W3" s="19" t="n">
        <v>1.95</v>
      </c>
      <c r="X3" s="18" t="s">
        <v>383</v>
      </c>
      <c r="Y3" s="7"/>
      <c r="Z3" s="7" t="s">
        <v>50</v>
      </c>
      <c r="AA3" s="7" t="s">
        <v>384</v>
      </c>
      <c r="AB3" s="16" t="n">
        <f aca="false">IF(COUNTIFS(Packs!$D$2:$D$70,A3,Packs!$F$2:$F$70,"&gt;0")=0,"",_xlfn.MINIFS(Packs!$F$2:$F$70,Packs!$D$2:$D$70,A3,Packs!$F$2:$F$70,"&gt;0"))</f>
        <v>2.9875</v>
      </c>
      <c r="AC3" s="13" t="n">
        <f aca="false">COUNTIF(Packs!$D$2:$D$70,A3)</f>
        <v>1</v>
      </c>
    </row>
    <row r="4" customFormat="false" ht="15" hidden="false" customHeight="false" outlineLevel="0" collapsed="false">
      <c r="A4" s="7" t="s">
        <v>84</v>
      </c>
      <c r="B4" s="7" t="s">
        <v>376</v>
      </c>
      <c r="C4" s="7" t="s">
        <v>377</v>
      </c>
      <c r="D4" s="7" t="s">
        <v>378</v>
      </c>
      <c r="E4" s="7" t="s">
        <v>379</v>
      </c>
      <c r="F4" s="7" t="s">
        <v>380</v>
      </c>
      <c r="G4" s="7" t="n">
        <v>32</v>
      </c>
      <c r="H4" s="7"/>
      <c r="I4" s="7"/>
      <c r="J4" s="7" t="n">
        <v>16</v>
      </c>
      <c r="K4" s="7" t="s">
        <v>381</v>
      </c>
      <c r="L4" s="9" t="n">
        <f aca="false">INDEX(Parámetros!$D$5:$D$12,MATCH(G4,Parámetros!$A$5:$A$12,0))</f>
        <v>26.2</v>
      </c>
      <c r="M4" s="9" t="n">
        <f aca="false">INDEX(Parámetros!$D$5:$D$12,MATCH(IF(H4="",G4,H4),Parámetros!$A$5:$A$12,0))</f>
        <v>26.2</v>
      </c>
      <c r="N4" s="9" t="n">
        <f aca="false">INDEX(Parámetros!$E$5:$E$12,MATCH(G4,Parámetros!$A$5:$A$12,0))</f>
        <v>22</v>
      </c>
      <c r="O4" s="8"/>
      <c r="P4" s="17" t="n">
        <f aca="false">INDEX(Parámetros!$G$5:$G$12,MATCH(G4,Parámetros!$A$5:$A$12,0))</f>
        <v>0.023</v>
      </c>
      <c r="Q4" s="17" t="n">
        <f aca="false">IF(Z4="","",INDEX(Parámetros!$C$27:$C$31,MATCH(Z4,Parámetros!$A$27:$A$31,0))*P4)</f>
        <v>0</v>
      </c>
      <c r="R4" s="11"/>
      <c r="S4" s="17" t="n">
        <f aca="false">(Q4+0.5*(1-(N4/L4)^2)+(1-(N4/M4)^2)^2)*(M4/N4)^4+IF(Z4="",0,INDEX(Parámetros!$E$27:$E$31,MATCH(Z4,Parámetros!$A$27:$A$31,0)))</f>
        <v>0.471549972679462</v>
      </c>
      <c r="T4" s="11"/>
      <c r="U4" s="17" t="str">
        <f aca="false">IF(H4="","",(Q4+0.5*(1-(N4/M4)^2)+(1-(N4/L4)^2)^2)*(M4/N4)^4+IF(Z4="",0,INDEX(Parámetros!$E$27:$E$31,MATCH(Z4,Parámetros!$A$27:$A$31,0))))</f>
        <v/>
      </c>
      <c r="V4" s="13" t="s">
        <v>382</v>
      </c>
      <c r="W4" s="19" t="n">
        <v>1.95</v>
      </c>
      <c r="X4" s="18" t="s">
        <v>383</v>
      </c>
      <c r="Y4" s="7"/>
      <c r="Z4" s="7" t="s">
        <v>50</v>
      </c>
      <c r="AA4" s="7" t="s">
        <v>384</v>
      </c>
      <c r="AB4" s="16" t="n">
        <f aca="false">IF(COUNTIFS(Packs!$D$2:$D$70,A4,Packs!$F$2:$F$70,"&gt;0")=0,"",_xlfn.MINIFS(Packs!$F$2:$F$70,Packs!$D$2:$D$70,A4,Packs!$F$2:$F$70,"&gt;0"))</f>
        <v>3.7375</v>
      </c>
      <c r="AC4" s="13" t="n">
        <f aca="false">COUNTIF(Packs!$D$2:$D$70,A4)</f>
        <v>1</v>
      </c>
    </row>
    <row r="5" customFormat="false" ht="15" hidden="false" customHeight="false" outlineLevel="0" collapsed="false">
      <c r="A5" s="7" t="s">
        <v>88</v>
      </c>
      <c r="B5" s="7" t="s">
        <v>376</v>
      </c>
      <c r="C5" s="7" t="s">
        <v>377</v>
      </c>
      <c r="D5" s="7" t="s">
        <v>378</v>
      </c>
      <c r="E5" s="7" t="s">
        <v>379</v>
      </c>
      <c r="F5" s="7" t="s">
        <v>380</v>
      </c>
      <c r="G5" s="7" t="n">
        <v>40</v>
      </c>
      <c r="H5" s="7"/>
      <c r="I5" s="7"/>
      <c r="J5" s="7" t="n">
        <v>16</v>
      </c>
      <c r="K5" s="7" t="s">
        <v>381</v>
      </c>
      <c r="L5" s="9" t="n">
        <f aca="false">INDEX(Parámetros!$D$5:$D$12,MATCH(G5,Parámetros!$A$5:$A$12,0))</f>
        <v>32.6</v>
      </c>
      <c r="M5" s="9" t="n">
        <f aca="false">INDEX(Parámetros!$D$5:$D$12,MATCH(IF(H5="",G5,H5),Parámetros!$A$5:$A$12,0))</f>
        <v>32.6</v>
      </c>
      <c r="N5" s="9" t="n">
        <f aca="false">INDEX(Parámetros!$E$5:$E$12,MATCH(G5,Parámetros!$A$5:$A$12,0))</f>
        <v>28</v>
      </c>
      <c r="O5" s="8"/>
      <c r="P5" s="17" t="n">
        <f aca="false">INDEX(Parámetros!$G$5:$G$12,MATCH(G5,Parámetros!$A$5:$A$12,0))</f>
        <v>0.022</v>
      </c>
      <c r="Q5" s="17" t="n">
        <f aca="false">IF(Z5="","",INDEX(Parámetros!$C$27:$C$31,MATCH(Z5,Parámetros!$A$27:$A$31,0))*P5)</f>
        <v>0</v>
      </c>
      <c r="R5" s="11"/>
      <c r="S5" s="17" t="n">
        <f aca="false">(Q5+0.5*(1-(N5/L5)^2)+(1-(N5/M5)^2)^2)*(M5/N5)^4+IF(Z5="",0,INDEX(Parámetros!$E$27:$E$31,MATCH(Z5,Parámetros!$A$27:$A$31,0)))</f>
        <v>0.367416288785923</v>
      </c>
      <c r="T5" s="11"/>
      <c r="U5" s="17" t="str">
        <f aca="false">IF(H5="","",(Q5+0.5*(1-(N5/M5)^2)+(1-(N5/L5)^2)^2)*(M5/N5)^4+IF(Z5="",0,INDEX(Parámetros!$E$27:$E$31,MATCH(Z5,Parámetros!$A$27:$A$31,0))))</f>
        <v/>
      </c>
      <c r="V5" s="13" t="s">
        <v>382</v>
      </c>
      <c r="W5" s="19" t="n">
        <v>1.95</v>
      </c>
      <c r="X5" s="18" t="s">
        <v>383</v>
      </c>
      <c r="Y5" s="7"/>
      <c r="Z5" s="7" t="s">
        <v>50</v>
      </c>
      <c r="AA5" s="7" t="s">
        <v>384</v>
      </c>
      <c r="AB5" s="16" t="n">
        <f aca="false">IF(COUNTIFS(Packs!$D$2:$D$70,A5,Packs!$F$2:$F$70,"&gt;0")=0,"",_xlfn.MINIFS(Packs!$F$2:$F$70,Packs!$D$2:$D$70,A5,Packs!$F$2:$F$70,"&gt;0"))</f>
        <v>6.2375</v>
      </c>
      <c r="AC5" s="13" t="n">
        <f aca="false">COUNTIF(Packs!$D$2:$D$70,A5)</f>
        <v>1</v>
      </c>
    </row>
    <row r="6" customFormat="false" ht="15" hidden="false" customHeight="false" outlineLevel="0" collapsed="false">
      <c r="A6" s="7" t="s">
        <v>92</v>
      </c>
      <c r="B6" s="7" t="s">
        <v>376</v>
      </c>
      <c r="C6" s="7" t="s">
        <v>377</v>
      </c>
      <c r="D6" s="7" t="s">
        <v>378</v>
      </c>
      <c r="E6" s="7" t="s">
        <v>379</v>
      </c>
      <c r="F6" s="7" t="s">
        <v>380</v>
      </c>
      <c r="G6" s="7" t="n">
        <v>50</v>
      </c>
      <c r="H6" s="7"/>
      <c r="I6" s="7"/>
      <c r="J6" s="7" t="n">
        <v>16</v>
      </c>
      <c r="K6" s="7" t="s">
        <v>381</v>
      </c>
      <c r="L6" s="9" t="n">
        <f aca="false">INDEX(Parámetros!$D$5:$D$12,MATCH(G6,Parámetros!$A$5:$A$12,0))</f>
        <v>40.8</v>
      </c>
      <c r="M6" s="9" t="n">
        <f aca="false">INDEX(Parámetros!$D$5:$D$12,MATCH(IF(H6="",G6,H6),Parámetros!$A$5:$A$12,0))</f>
        <v>40.8</v>
      </c>
      <c r="N6" s="9" t="n">
        <f aca="false">INDEX(Parámetros!$E$5:$E$12,MATCH(G6,Parámetros!$A$5:$A$12,0))</f>
        <v>35</v>
      </c>
      <c r="O6" s="8"/>
      <c r="P6" s="17" t="n">
        <f aca="false">INDEX(Parámetros!$G$5:$G$12,MATCH(G6,Parámetros!$A$5:$A$12,0))</f>
        <v>0.021</v>
      </c>
      <c r="Q6" s="17" t="n">
        <f aca="false">IF(Z6="","",INDEX(Parámetros!$C$27:$C$31,MATCH(Z6,Parámetros!$A$27:$A$31,0))*P6)</f>
        <v>0</v>
      </c>
      <c r="R6" s="11"/>
      <c r="S6" s="17" t="n">
        <f aca="false">(Q6+0.5*(1-(N6/L6)^2)+(1-(N6/M6)^2)^2)*(M6/N6)^4+IF(Z6="",0,INDEX(Parámetros!$E$27:$E$31,MATCH(Z6,Parámetros!$A$27:$A$31,0)))</f>
        <v>0.372647726380675</v>
      </c>
      <c r="T6" s="11"/>
      <c r="U6" s="17" t="str">
        <f aca="false">IF(H6="","",(Q6+0.5*(1-(N6/M6)^2)+(1-(N6/L6)^2)^2)*(M6/N6)^4+IF(Z6="",0,INDEX(Parámetros!$E$27:$E$31,MATCH(Z6,Parámetros!$A$27:$A$31,0))))</f>
        <v/>
      </c>
      <c r="V6" s="13" t="s">
        <v>382</v>
      </c>
      <c r="W6" s="19" t="n">
        <v>1.95</v>
      </c>
      <c r="X6" s="18" t="s">
        <v>383</v>
      </c>
      <c r="Y6" s="7"/>
      <c r="Z6" s="7" t="s">
        <v>50</v>
      </c>
      <c r="AA6" s="7" t="s">
        <v>384</v>
      </c>
      <c r="AB6" s="16" t="n">
        <f aca="false">IF(COUNTIFS(Packs!$D$2:$D$70,A6,Packs!$F$2:$F$70,"&gt;0")=0,"",_xlfn.MINIFS(Packs!$F$2:$F$70,Packs!$D$2:$D$70,A6,Packs!$F$2:$F$70,"&gt;0"))</f>
        <v>9.4875</v>
      </c>
      <c r="AC6" s="13" t="n">
        <f aca="false">COUNTIF(Packs!$D$2:$D$70,A6)</f>
        <v>1</v>
      </c>
    </row>
    <row r="7" customFormat="false" ht="15" hidden="false" customHeight="false" outlineLevel="0" collapsed="false">
      <c r="A7" s="7" t="s">
        <v>96</v>
      </c>
      <c r="B7" s="7" t="s">
        <v>376</v>
      </c>
      <c r="C7" s="7" t="s">
        <v>377</v>
      </c>
      <c r="D7" s="7" t="s">
        <v>378</v>
      </c>
      <c r="E7" s="7" t="s">
        <v>379</v>
      </c>
      <c r="F7" s="7" t="s">
        <v>380</v>
      </c>
      <c r="G7" s="7" t="n">
        <v>63</v>
      </c>
      <c r="H7" s="7"/>
      <c r="I7" s="7"/>
      <c r="J7" s="7" t="n">
        <v>16</v>
      </c>
      <c r="K7" s="7" t="s">
        <v>381</v>
      </c>
      <c r="L7" s="9" t="n">
        <f aca="false">INDEX(Parámetros!$D$5:$D$12,MATCH(G7,Parámetros!$A$5:$A$12,0))</f>
        <v>51.4</v>
      </c>
      <c r="M7" s="9" t="n">
        <f aca="false">INDEX(Parámetros!$D$5:$D$12,MATCH(IF(H7="",G7,H7),Parámetros!$A$5:$A$12,0))</f>
        <v>51.4</v>
      </c>
      <c r="N7" s="9" t="n">
        <f aca="false">INDEX(Parámetros!$E$5:$E$12,MATCH(G7,Parámetros!$A$5:$A$12,0))</f>
        <v>45</v>
      </c>
      <c r="O7" s="8"/>
      <c r="P7" s="17" t="n">
        <f aca="false">INDEX(Parámetros!$G$5:$G$12,MATCH(G7,Parámetros!$A$5:$A$12,0))</f>
        <v>0.019</v>
      </c>
      <c r="Q7" s="17" t="n">
        <f aca="false">IF(Z7="","",INDEX(Parámetros!$C$27:$C$31,MATCH(Z7,Parámetros!$A$27:$A$31,0))*P7)</f>
        <v>0</v>
      </c>
      <c r="R7" s="11"/>
      <c r="S7" s="17" t="n">
        <f aca="false">(Q7+0.5*(1-(N7/L7)^2)+(1-(N7/M7)^2)^2)*(M7/N7)^4+IF(Z7="",0,INDEX(Parámetros!$E$27:$E$31,MATCH(Z7,Parámetros!$A$27:$A$31,0)))</f>
        <v>0.291572982752629</v>
      </c>
      <c r="T7" s="11"/>
      <c r="U7" s="17" t="str">
        <f aca="false">IF(H7="","",(Q7+0.5*(1-(N7/M7)^2)+(1-(N7/L7)^2)^2)*(M7/N7)^4+IF(Z7="",0,INDEX(Parámetros!$E$27:$E$31,MATCH(Z7,Parámetros!$A$27:$A$31,0))))</f>
        <v/>
      </c>
      <c r="V7" s="13" t="s">
        <v>382</v>
      </c>
      <c r="W7" s="19" t="n">
        <v>1.95</v>
      </c>
      <c r="X7" s="18" t="s">
        <v>383</v>
      </c>
      <c r="Y7" s="7"/>
      <c r="Z7" s="7" t="s">
        <v>50</v>
      </c>
      <c r="AA7" s="7" t="s">
        <v>384</v>
      </c>
      <c r="AB7" s="16" t="n">
        <f aca="false">IF(COUNTIFS(Packs!$D$2:$D$70,A7,Packs!$F$2:$F$70,"&gt;0")=0,"",_xlfn.MINIFS(Packs!$F$2:$F$70,Packs!$D$2:$D$70,A7,Packs!$F$2:$F$70,"&gt;0"))</f>
        <v>14.7375</v>
      </c>
      <c r="AC7" s="13" t="n">
        <f aca="false">COUNTIF(Packs!$D$2:$D$70,A7)</f>
        <v>1</v>
      </c>
    </row>
    <row r="8" customFormat="false" ht="15" hidden="false" customHeight="false" outlineLevel="0" collapsed="false">
      <c r="A8" s="7" t="s">
        <v>100</v>
      </c>
      <c r="B8" s="7" t="s">
        <v>376</v>
      </c>
      <c r="C8" s="7" t="s">
        <v>377</v>
      </c>
      <c r="D8" s="7" t="s">
        <v>378</v>
      </c>
      <c r="E8" s="7" t="s">
        <v>379</v>
      </c>
      <c r="F8" s="7" t="s">
        <v>380</v>
      </c>
      <c r="G8" s="7" t="n">
        <v>75</v>
      </c>
      <c r="H8" s="7"/>
      <c r="I8" s="7"/>
      <c r="J8" s="7" t="n">
        <v>16</v>
      </c>
      <c r="K8" s="7" t="s">
        <v>381</v>
      </c>
      <c r="L8" s="9" t="n">
        <f aca="false">INDEX(Parámetros!$D$5:$D$12,MATCH(G8,Parámetros!$A$5:$A$12,0))</f>
        <v>61.4</v>
      </c>
      <c r="M8" s="9" t="n">
        <f aca="false">INDEX(Parámetros!$D$5:$D$12,MATCH(IF(H8="",G8,H8),Parámetros!$A$5:$A$12,0))</f>
        <v>61.4</v>
      </c>
      <c r="N8" s="9" t="n">
        <f aca="false">INDEX(Parámetros!$E$5:$E$12,MATCH(G8,Parámetros!$A$5:$A$12,0))</f>
        <v>54</v>
      </c>
      <c r="O8" s="8"/>
      <c r="P8" s="17" t="n">
        <f aca="false">INDEX(Parámetros!$G$5:$G$12,MATCH(G8,Parámetros!$A$5:$A$12,0))</f>
        <v>0.018</v>
      </c>
      <c r="Q8" s="17" t="n">
        <f aca="false">IF(Z8="","",INDEX(Parámetros!$C$27:$C$31,MATCH(Z8,Parámetros!$A$27:$A$31,0))*P8)</f>
        <v>0</v>
      </c>
      <c r="R8" s="11"/>
      <c r="S8" s="17" t="n">
        <f aca="false">(Q8+0.5*(1-(N8/L8)^2)+(1-(N8/M8)^2)^2)*(M8/N8)^4+IF(Z8="",0,INDEX(Parámetros!$E$27:$E$31,MATCH(Z8,Parámetros!$A$27:$A$31,0)))</f>
        <v>0.275071127651047</v>
      </c>
      <c r="T8" s="11"/>
      <c r="U8" s="17" t="str">
        <f aca="false">IF(H8="","",(Q8+0.5*(1-(N8/M8)^2)+(1-(N8/L8)^2)^2)*(M8/N8)^4+IF(Z8="",0,INDEX(Parámetros!$E$27:$E$31,MATCH(Z8,Parámetros!$A$27:$A$31,0))))</f>
        <v/>
      </c>
      <c r="V8" s="13" t="s">
        <v>382</v>
      </c>
      <c r="W8" s="19" t="n">
        <v>1.95</v>
      </c>
      <c r="X8" s="18" t="s">
        <v>383</v>
      </c>
      <c r="Y8" s="7"/>
      <c r="Z8" s="7" t="s">
        <v>50</v>
      </c>
      <c r="AA8" s="7" t="s">
        <v>384</v>
      </c>
      <c r="AB8" s="16" t="n">
        <f aca="false">IF(COUNTIFS(Packs!$D$2:$D$70,A8,Packs!$F$2:$F$70,"&gt;0")=0,"",_xlfn.MINIFS(Packs!$F$2:$F$70,Packs!$D$2:$D$70,A8,Packs!$F$2:$F$70,"&gt;0"))</f>
        <v>17.79</v>
      </c>
      <c r="AC8" s="13" t="n">
        <f aca="false">COUNTIF(Packs!$D$2:$D$70,A8)</f>
        <v>1</v>
      </c>
    </row>
    <row r="9" customFormat="false" ht="15" hidden="false" customHeight="false" outlineLevel="0" collapsed="false">
      <c r="A9" s="7" t="s">
        <v>104</v>
      </c>
      <c r="B9" s="7" t="s">
        <v>376</v>
      </c>
      <c r="C9" s="7" t="s">
        <v>377</v>
      </c>
      <c r="D9" s="7" t="s">
        <v>378</v>
      </c>
      <c r="E9" s="7" t="s">
        <v>379</v>
      </c>
      <c r="F9" s="7" t="s">
        <v>380</v>
      </c>
      <c r="G9" s="7" t="n">
        <v>90</v>
      </c>
      <c r="H9" s="7"/>
      <c r="I9" s="7"/>
      <c r="J9" s="7" t="n">
        <v>16</v>
      </c>
      <c r="K9" s="7" t="s">
        <v>381</v>
      </c>
      <c r="L9" s="9" t="n">
        <f aca="false">INDEX(Parámetros!$D$5:$D$12,MATCH(G9,Parámetros!$A$5:$A$12,0))</f>
        <v>73.6</v>
      </c>
      <c r="M9" s="9" t="n">
        <f aca="false">INDEX(Parámetros!$D$5:$D$12,MATCH(IF(H9="",G9,H9),Parámetros!$A$5:$A$12,0))</f>
        <v>73.6</v>
      </c>
      <c r="N9" s="9" t="n">
        <f aca="false">INDEX(Parámetros!$E$5:$E$12,MATCH(G9,Parámetros!$A$5:$A$12,0))</f>
        <v>66</v>
      </c>
      <c r="O9" s="8"/>
      <c r="P9" s="17" t="n">
        <f aca="false">INDEX(Parámetros!$G$5:$G$12,MATCH(G9,Parámetros!$A$5:$A$12,0))</f>
        <v>0.018</v>
      </c>
      <c r="Q9" s="17" t="n">
        <f aca="false">IF(Z9="","",INDEX(Parámetros!$C$27:$C$31,MATCH(Z9,Parámetros!$A$27:$A$31,0))*P9)</f>
        <v>0</v>
      </c>
      <c r="R9" s="11"/>
      <c r="S9" s="17" t="n">
        <f aca="false">(Q9+0.5*(1-(N9/L9)^2)+(1-(N9/M9)^2)^2)*(M9/N9)^4+IF(Z9="",0,INDEX(Parámetros!$E$27:$E$31,MATCH(Z9,Parámetros!$A$27:$A$31,0)))</f>
        <v>0.210765781531822</v>
      </c>
      <c r="T9" s="11"/>
      <c r="U9" s="17" t="str">
        <f aca="false">IF(H9="","",(Q9+0.5*(1-(N9/M9)^2)+(1-(N9/L9)^2)^2)*(M9/N9)^4+IF(Z9="",0,INDEX(Parámetros!$E$27:$E$31,MATCH(Z9,Parámetros!$A$27:$A$31,0))))</f>
        <v/>
      </c>
      <c r="V9" s="13" t="s">
        <v>382</v>
      </c>
      <c r="W9" s="19" t="n">
        <v>1.95</v>
      </c>
      <c r="X9" s="18" t="s">
        <v>383</v>
      </c>
      <c r="Y9" s="7"/>
      <c r="Z9" s="7" t="s">
        <v>50</v>
      </c>
      <c r="AA9" s="7" t="s">
        <v>384</v>
      </c>
      <c r="AB9" s="16" t="n">
        <f aca="false">IF(COUNTIFS(Packs!$D$2:$D$70,A9,Packs!$F$2:$F$70,"&gt;0")=0,"",_xlfn.MINIFS(Packs!$F$2:$F$70,Packs!$D$2:$D$70,A9,Packs!$F$2:$F$70,"&gt;0"))</f>
        <v>26.19</v>
      </c>
      <c r="AC9" s="13" t="n">
        <f aca="false">COUNTIF(Packs!$D$2:$D$70,A9)</f>
        <v>1</v>
      </c>
    </row>
    <row r="10" customFormat="false" ht="15" hidden="false" customHeight="false" outlineLevel="0" collapsed="false">
      <c r="A10" s="7" t="s">
        <v>108</v>
      </c>
      <c r="B10" s="7" t="s">
        <v>385</v>
      </c>
      <c r="C10" s="7" t="s">
        <v>386</v>
      </c>
      <c r="D10" s="7" t="s">
        <v>387</v>
      </c>
      <c r="E10" s="7" t="s">
        <v>388</v>
      </c>
      <c r="F10" s="7" t="s">
        <v>380</v>
      </c>
      <c r="G10" s="7" t="n">
        <v>25</v>
      </c>
      <c r="H10" s="7" t="n">
        <v>20</v>
      </c>
      <c r="I10" s="7"/>
      <c r="J10" s="7" t="n">
        <v>16</v>
      </c>
      <c r="K10" s="7" t="s">
        <v>381</v>
      </c>
      <c r="L10" s="9" t="n">
        <f aca="false">INDEX(Parámetros!$D$5:$D$12,MATCH(G10,Parámetros!$A$5:$A$12,0))</f>
        <v>20.4</v>
      </c>
      <c r="M10" s="9" t="n">
        <f aca="false">INDEX(Parámetros!$D$5:$D$12,MATCH(IF(H10="",G10,H10),Parámetros!$A$5:$A$12,0))</f>
        <v>16</v>
      </c>
      <c r="N10" s="9" t="n">
        <f aca="false">INDEX(Parámetros!$E$5:$E$12,MATCH(IF(H10="",G10,H10),Parámetros!$A$5:$A$12,0))</f>
        <v>13</v>
      </c>
      <c r="O10" s="8"/>
      <c r="P10" s="17" t="n">
        <f aca="false">INDEX(Parámetros!$G$5:$G$12,MATCH(G10,Parámetros!$A$5:$A$12,0))</f>
        <v>0.025</v>
      </c>
      <c r="Q10" s="17" t="n">
        <f aca="false">IF(Z10="","",INDEX(Parámetros!$C$27:$C$31,MATCH(Z10,Parámetros!$A$27:$A$31,0))*P10)</f>
        <v>0</v>
      </c>
      <c r="R10" s="11"/>
      <c r="S10" s="17" t="n">
        <f aca="false">(Q10+0.5*(1-(N10/L10)^2)+(1-(N10/M10)^2)^2)*(M10/N10)^4+IF(Z10="",0,INDEX(Parámetros!$E$27:$E$31,MATCH(Z10,Parámetros!$A$27:$A$31,0)))</f>
        <v>0.946399566945357</v>
      </c>
      <c r="T10" s="11"/>
      <c r="U10" s="17" t="n">
        <f aca="false">IF(H10="","",(Q10+0.5*(1-(N10/M10)^2)+(1-(N10/L10)^2)^2)*(M10/N10)^4+IF(Z10="",0,INDEX(Parámetros!$E$27:$E$31,MATCH(Z10,Parámetros!$A$27:$A$31,0))))</f>
        <v>1.19926322340412</v>
      </c>
      <c r="V10" s="13" t="s">
        <v>389</v>
      </c>
      <c r="W10" s="19" t="n">
        <v>2.29</v>
      </c>
      <c r="X10" s="18" t="s">
        <v>390</v>
      </c>
      <c r="Y10" s="7"/>
      <c r="Z10" s="7" t="s">
        <v>50</v>
      </c>
      <c r="AA10" s="7" t="s">
        <v>384</v>
      </c>
      <c r="AB10" s="16" t="n">
        <f aca="false">IF(COUNTIFS(Packs!$D$2:$D$70,A10,Packs!$F$2:$F$70,"&gt;0")=0,"",_xlfn.MINIFS(Packs!$F$2:$F$70,Packs!$D$2:$D$70,A10,Packs!$F$2:$F$70,"&gt;0"))</f>
        <v>2.4875</v>
      </c>
      <c r="AC10" s="13" t="n">
        <f aca="false">COUNTIF(Packs!$D$2:$D$70,A10)</f>
        <v>1</v>
      </c>
    </row>
    <row r="11" customFormat="false" ht="15" hidden="false" customHeight="false" outlineLevel="0" collapsed="false">
      <c r="A11" s="7" t="s">
        <v>112</v>
      </c>
      <c r="B11" s="7" t="s">
        <v>385</v>
      </c>
      <c r="C11" s="7" t="s">
        <v>386</v>
      </c>
      <c r="D11" s="7" t="s">
        <v>387</v>
      </c>
      <c r="E11" s="7" t="s">
        <v>388</v>
      </c>
      <c r="F11" s="7" t="s">
        <v>380</v>
      </c>
      <c r="G11" s="7" t="n">
        <v>32</v>
      </c>
      <c r="H11" s="7" t="n">
        <v>25</v>
      </c>
      <c r="I11" s="7"/>
      <c r="J11" s="7" t="n">
        <v>16</v>
      </c>
      <c r="K11" s="7" t="s">
        <v>381</v>
      </c>
      <c r="L11" s="9" t="n">
        <f aca="false">INDEX(Parámetros!$D$5:$D$12,MATCH(G11,Parámetros!$A$5:$A$12,0))</f>
        <v>26.2</v>
      </c>
      <c r="M11" s="9" t="n">
        <f aca="false">INDEX(Parámetros!$D$5:$D$12,MATCH(IF(H11="",G11,H11),Parámetros!$A$5:$A$12,0))</f>
        <v>20.4</v>
      </c>
      <c r="N11" s="9" t="n">
        <f aca="false">INDEX(Parámetros!$E$5:$E$12,MATCH(IF(H11="",G11,H11),Parámetros!$A$5:$A$12,0))</f>
        <v>17</v>
      </c>
      <c r="O11" s="8"/>
      <c r="P11" s="17" t="n">
        <f aca="false">INDEX(Parámetros!$G$5:$G$12,MATCH(G11,Parámetros!$A$5:$A$12,0))</f>
        <v>0.023</v>
      </c>
      <c r="Q11" s="17" t="n">
        <f aca="false">IF(Z11="","",INDEX(Parámetros!$C$27:$C$31,MATCH(Z11,Parámetros!$A$27:$A$31,0))*P11)</f>
        <v>0</v>
      </c>
      <c r="R11" s="11"/>
      <c r="S11" s="17" t="n">
        <f aca="false">(Q11+0.5*(1-(N11/L11)^2)+(1-(N11/M11)^2)^2)*(M11/N11)^4+IF(Z11="",0,INDEX(Parámetros!$E$27:$E$31,MATCH(Z11,Parámetros!$A$27:$A$31,0)))</f>
        <v>0.793893968882932</v>
      </c>
      <c r="T11" s="11"/>
      <c r="U11" s="17" t="n">
        <f aca="false">IF(H11="","",(Q11+0.5*(1-(N11/M11)^2)+(1-(N11/L11)^2)^2)*(M11/N11)^4+IF(Z11="",0,INDEX(Parámetros!$E$27:$E$31,MATCH(Z11,Parámetros!$A$27:$A$31,0))))</f>
        <v>1.01192509467057</v>
      </c>
      <c r="V11" s="13" t="s">
        <v>389</v>
      </c>
      <c r="W11" s="19" t="n">
        <v>2.29</v>
      </c>
      <c r="X11" s="18" t="s">
        <v>390</v>
      </c>
      <c r="Y11" s="7"/>
      <c r="Z11" s="7" t="s">
        <v>50</v>
      </c>
      <c r="AA11" s="7" t="s">
        <v>384</v>
      </c>
      <c r="AB11" s="16" t="n">
        <f aca="false">IF(COUNTIFS(Packs!$D$2:$D$70,A11,Packs!$F$2:$F$70,"&gt;0")=0,"",_xlfn.MINIFS(Packs!$F$2:$F$70,Packs!$D$2:$D$70,A11,Packs!$F$2:$F$70,"&gt;0"))</f>
        <v>3.2375</v>
      </c>
      <c r="AC11" s="13" t="n">
        <f aca="false">COUNTIF(Packs!$D$2:$D$70,A11)</f>
        <v>1</v>
      </c>
    </row>
    <row r="12" customFormat="false" ht="15" hidden="false" customHeight="false" outlineLevel="0" collapsed="false">
      <c r="A12" s="7" t="s">
        <v>116</v>
      </c>
      <c r="B12" s="7" t="s">
        <v>385</v>
      </c>
      <c r="C12" s="7" t="s">
        <v>386</v>
      </c>
      <c r="D12" s="7" t="s">
        <v>387</v>
      </c>
      <c r="E12" s="7" t="s">
        <v>388</v>
      </c>
      <c r="F12" s="7" t="s">
        <v>380</v>
      </c>
      <c r="G12" s="7" t="n">
        <v>40</v>
      </c>
      <c r="H12" s="7" t="n">
        <v>32</v>
      </c>
      <c r="I12" s="7"/>
      <c r="J12" s="7" t="n">
        <v>16</v>
      </c>
      <c r="K12" s="7" t="s">
        <v>381</v>
      </c>
      <c r="L12" s="9" t="n">
        <f aca="false">INDEX(Parámetros!$D$5:$D$12,MATCH(G12,Parámetros!$A$5:$A$12,0))</f>
        <v>32.6</v>
      </c>
      <c r="M12" s="9" t="n">
        <f aca="false">INDEX(Parámetros!$D$5:$D$12,MATCH(IF(H12="",G12,H12),Parámetros!$A$5:$A$12,0))</f>
        <v>26.2</v>
      </c>
      <c r="N12" s="9" t="n">
        <f aca="false">INDEX(Parámetros!$E$5:$E$12,MATCH(IF(H12="",G12,H12),Parámetros!$A$5:$A$12,0))</f>
        <v>22</v>
      </c>
      <c r="O12" s="8"/>
      <c r="P12" s="17" t="n">
        <f aca="false">INDEX(Parámetros!$G$5:$G$12,MATCH(G12,Parámetros!$A$5:$A$12,0))</f>
        <v>0.022</v>
      </c>
      <c r="Q12" s="17" t="n">
        <f aca="false">IF(Z12="","",INDEX(Parámetros!$C$27:$C$31,MATCH(Z12,Parámetros!$A$27:$A$31,0))*P12)</f>
        <v>0</v>
      </c>
      <c r="R12" s="11"/>
      <c r="S12" s="17" t="n">
        <f aca="false">(Q12+0.5*(1-(N12/L12)^2)+(1-(N12/M12)^2)^2)*(M12/N12)^4+IF(Z12="",0,INDEX(Parámetros!$E$27:$E$31,MATCH(Z12,Parámetros!$A$27:$A$31,0)))</f>
        <v>0.722651483201418</v>
      </c>
      <c r="T12" s="11"/>
      <c r="U12" s="17" t="n">
        <f aca="false">IF(H12="","",(Q12+0.5*(1-(N12/M12)^2)+(1-(N12/L12)^2)^2)*(M12/N12)^4+IF(Z12="",0,INDEX(Parámetros!$E$27:$E$31,MATCH(Z12,Parámetros!$A$27:$A$31,0))))</f>
        <v>0.893146855422511</v>
      </c>
      <c r="V12" s="13" t="s">
        <v>389</v>
      </c>
      <c r="W12" s="19" t="n">
        <v>2.29</v>
      </c>
      <c r="X12" s="18" t="s">
        <v>390</v>
      </c>
      <c r="Y12" s="7"/>
      <c r="Z12" s="7" t="s">
        <v>50</v>
      </c>
      <c r="AA12" s="7" t="s">
        <v>384</v>
      </c>
      <c r="AB12" s="16" t="n">
        <f aca="false">IF(COUNTIFS(Packs!$D$2:$D$70,A12,Packs!$F$2:$F$70,"&gt;0")=0,"",_xlfn.MINIFS(Packs!$F$2:$F$70,Packs!$D$2:$D$70,A12,Packs!$F$2:$F$70,"&gt;0"))</f>
        <v>4.7375</v>
      </c>
      <c r="AC12" s="13" t="n">
        <f aca="false">COUNTIF(Packs!$D$2:$D$70,A12)</f>
        <v>1</v>
      </c>
    </row>
    <row r="13" customFormat="false" ht="15" hidden="false" customHeight="false" outlineLevel="0" collapsed="false">
      <c r="A13" s="7" t="s">
        <v>120</v>
      </c>
      <c r="B13" s="7" t="s">
        <v>385</v>
      </c>
      <c r="C13" s="7" t="s">
        <v>386</v>
      </c>
      <c r="D13" s="7" t="s">
        <v>387</v>
      </c>
      <c r="E13" s="7" t="s">
        <v>388</v>
      </c>
      <c r="F13" s="7" t="s">
        <v>380</v>
      </c>
      <c r="G13" s="7" t="n">
        <v>50</v>
      </c>
      <c r="H13" s="7" t="n">
        <v>40</v>
      </c>
      <c r="I13" s="7"/>
      <c r="J13" s="7" t="n">
        <v>16</v>
      </c>
      <c r="K13" s="7" t="s">
        <v>381</v>
      </c>
      <c r="L13" s="9" t="n">
        <f aca="false">INDEX(Parámetros!$D$5:$D$12,MATCH(G13,Parámetros!$A$5:$A$12,0))</f>
        <v>40.8</v>
      </c>
      <c r="M13" s="9" t="n">
        <f aca="false">INDEX(Parámetros!$D$5:$D$12,MATCH(IF(H13="",G13,H13),Parámetros!$A$5:$A$12,0))</f>
        <v>32.6</v>
      </c>
      <c r="N13" s="9" t="n">
        <f aca="false">INDEX(Parámetros!$E$5:$E$12,MATCH(IF(H13="",G13,H13),Parámetros!$A$5:$A$12,0))</f>
        <v>28</v>
      </c>
      <c r="O13" s="8"/>
      <c r="P13" s="17" t="n">
        <f aca="false">INDEX(Parámetros!$G$5:$G$12,MATCH(G13,Parámetros!$A$5:$A$12,0))</f>
        <v>0.021</v>
      </c>
      <c r="Q13" s="17" t="n">
        <f aca="false">IF(Z13="","",INDEX(Parámetros!$C$27:$C$31,MATCH(Z13,Parámetros!$A$27:$A$31,0))*P13)</f>
        <v>0</v>
      </c>
      <c r="R13" s="11"/>
      <c r="S13" s="17" t="n">
        <f aca="false">(Q13+0.5*(1-(N13/L13)^2)+(1-(N13/M13)^2)^2)*(M13/N13)^4+IF(Z13="",0,INDEX(Parámetros!$E$27:$E$31,MATCH(Z13,Parámetros!$A$27:$A$31,0)))</f>
        <v>0.612479843006631</v>
      </c>
      <c r="T13" s="11"/>
      <c r="U13" s="17" t="n">
        <f aca="false">IF(H13="","",(Q13+0.5*(1-(N13/M13)^2)+(1-(N13/L13)^2)^2)*(M13/N13)^4+IF(Z13="",0,INDEX(Parámetros!$E$27:$E$31,MATCH(Z13,Parámetros!$A$27:$A$31,0))))</f>
        <v>0.755266350405112</v>
      </c>
      <c r="V13" s="13" t="s">
        <v>389</v>
      </c>
      <c r="W13" s="19" t="n">
        <v>2.29</v>
      </c>
      <c r="X13" s="18" t="s">
        <v>390</v>
      </c>
      <c r="Y13" s="7"/>
      <c r="Z13" s="7" t="s">
        <v>50</v>
      </c>
      <c r="AA13" s="7" t="s">
        <v>384</v>
      </c>
      <c r="AB13" s="16" t="n">
        <f aca="false">IF(COUNTIFS(Packs!$D$2:$D$70,A13,Packs!$F$2:$F$70,"&gt;0")=0,"",_xlfn.MINIFS(Packs!$F$2:$F$70,Packs!$D$2:$D$70,A13,Packs!$F$2:$F$70,"&gt;0"))</f>
        <v>6.7375</v>
      </c>
      <c r="AC13" s="13" t="n">
        <f aca="false">COUNTIF(Packs!$D$2:$D$70,A13)</f>
        <v>1</v>
      </c>
    </row>
    <row r="14" customFormat="false" ht="15" hidden="false" customHeight="false" outlineLevel="0" collapsed="false">
      <c r="A14" s="7" t="s">
        <v>124</v>
      </c>
      <c r="B14" s="7" t="s">
        <v>385</v>
      </c>
      <c r="C14" s="7" t="s">
        <v>386</v>
      </c>
      <c r="D14" s="7" t="s">
        <v>387</v>
      </c>
      <c r="E14" s="7" t="s">
        <v>388</v>
      </c>
      <c r="F14" s="7" t="s">
        <v>380</v>
      </c>
      <c r="G14" s="7" t="n">
        <v>63</v>
      </c>
      <c r="H14" s="7" t="n">
        <v>50</v>
      </c>
      <c r="I14" s="7"/>
      <c r="J14" s="7" t="n">
        <v>16</v>
      </c>
      <c r="K14" s="7" t="s">
        <v>381</v>
      </c>
      <c r="L14" s="9" t="n">
        <f aca="false">INDEX(Parámetros!$D$5:$D$12,MATCH(G14,Parámetros!$A$5:$A$12,0))</f>
        <v>51.4</v>
      </c>
      <c r="M14" s="9" t="n">
        <f aca="false">INDEX(Parámetros!$D$5:$D$12,MATCH(IF(H14="",G14,H14),Parámetros!$A$5:$A$12,0))</f>
        <v>40.8</v>
      </c>
      <c r="N14" s="9" t="n">
        <f aca="false">INDEX(Parámetros!$E$5:$E$12,MATCH(IF(H14="",G14,H14),Parámetros!$A$5:$A$12,0))</f>
        <v>35</v>
      </c>
      <c r="O14" s="8"/>
      <c r="P14" s="17" t="n">
        <f aca="false">INDEX(Parámetros!$G$5:$G$12,MATCH(G14,Parámetros!$A$5:$A$12,0))</f>
        <v>0.019</v>
      </c>
      <c r="Q14" s="17" t="n">
        <f aca="false">IF(Z14="","",INDEX(Parámetros!$C$27:$C$31,MATCH(Z14,Parámetros!$A$27:$A$31,0))*P14)</f>
        <v>0</v>
      </c>
      <c r="R14" s="11"/>
      <c r="S14" s="17" t="n">
        <f aca="false">(Q14+0.5*(1-(N14/L14)^2)+(1-(N14/M14)^2)^2)*(M14/N14)^4+IF(Z14="",0,INDEX(Parámetros!$E$27:$E$31,MATCH(Z14,Parámetros!$A$27:$A$31,0)))</f>
        <v>0.623989566406061</v>
      </c>
      <c r="T14" s="11"/>
      <c r="U14" s="17" t="n">
        <f aca="false">IF(H14="","",(Q14+0.5*(1-(N14/M14)^2)+(1-(N14/L14)^2)^2)*(M14/N14)^4+IF(Z14="",0,INDEX(Parámetros!$E$27:$E$31,MATCH(Z14,Parámetros!$A$27:$A$31,0))))</f>
        <v>0.775012956222035</v>
      </c>
      <c r="V14" s="13" t="s">
        <v>389</v>
      </c>
      <c r="W14" s="19" t="n">
        <v>2.29</v>
      </c>
      <c r="X14" s="18" t="s">
        <v>390</v>
      </c>
      <c r="Y14" s="7"/>
      <c r="Z14" s="7" t="s">
        <v>50</v>
      </c>
      <c r="AA14" s="7" t="s">
        <v>384</v>
      </c>
      <c r="AB14" s="16" t="n">
        <f aca="false">IF(COUNTIFS(Packs!$D$2:$D$70,A14,Packs!$F$2:$F$70,"&gt;0")=0,"",_xlfn.MINIFS(Packs!$F$2:$F$70,Packs!$D$2:$D$70,A14,Packs!$F$2:$F$70,"&gt;0"))</f>
        <v>10.2375</v>
      </c>
      <c r="AC14" s="13" t="n">
        <f aca="false">COUNTIF(Packs!$D$2:$D$70,A14)</f>
        <v>1</v>
      </c>
    </row>
    <row r="15" customFormat="false" ht="15" hidden="false" customHeight="false" outlineLevel="0" collapsed="false">
      <c r="A15" s="7" t="s">
        <v>128</v>
      </c>
      <c r="B15" s="7" t="s">
        <v>385</v>
      </c>
      <c r="C15" s="7" t="s">
        <v>386</v>
      </c>
      <c r="D15" s="7" t="s">
        <v>387</v>
      </c>
      <c r="E15" s="7" t="s">
        <v>388</v>
      </c>
      <c r="F15" s="7" t="s">
        <v>380</v>
      </c>
      <c r="G15" s="7" t="n">
        <v>75</v>
      </c>
      <c r="H15" s="7" t="n">
        <v>63</v>
      </c>
      <c r="I15" s="7"/>
      <c r="J15" s="7" t="n">
        <v>16</v>
      </c>
      <c r="K15" s="7" t="s">
        <v>381</v>
      </c>
      <c r="L15" s="9" t="n">
        <f aca="false">INDEX(Parámetros!$D$5:$D$12,MATCH(G15,Parámetros!$A$5:$A$12,0))</f>
        <v>61.4</v>
      </c>
      <c r="M15" s="9" t="n">
        <f aca="false">INDEX(Parámetros!$D$5:$D$12,MATCH(IF(H15="",G15,H15),Parámetros!$A$5:$A$12,0))</f>
        <v>51.4</v>
      </c>
      <c r="N15" s="9" t="n">
        <f aca="false">INDEX(Parámetros!$E$5:$E$12,MATCH(IF(H15="",G15,H15),Parámetros!$A$5:$A$12,0))</f>
        <v>45</v>
      </c>
      <c r="O15" s="8"/>
      <c r="P15" s="17" t="n">
        <f aca="false">INDEX(Parámetros!$G$5:$G$12,MATCH(G15,Parámetros!$A$5:$A$12,0))</f>
        <v>0.018</v>
      </c>
      <c r="Q15" s="17" t="n">
        <f aca="false">IF(Z15="","",INDEX(Parámetros!$C$27:$C$31,MATCH(Z15,Parámetros!$A$27:$A$31,0))*P15)</f>
        <v>0</v>
      </c>
      <c r="R15" s="11"/>
      <c r="S15" s="17" t="n">
        <f aca="false">(Q15+0.5*(1-(N15/L15)^2)+(1-(N15/M15)^2)^2)*(M15/N15)^4+IF(Z15="",0,INDEX(Parámetros!$E$27:$E$31,MATCH(Z15,Parámetros!$A$27:$A$31,0)))</f>
        <v>0.486756694300016</v>
      </c>
      <c r="T15" s="11"/>
      <c r="U15" s="17" t="n">
        <f aca="false">IF(H15="","",(Q15+0.5*(1-(N15/M15)^2)+(1-(N15/L15)^2)^2)*(M15/N15)^4+IF(Z15="",0,INDEX(Parámetros!$E$27:$E$31,MATCH(Z15,Parámetros!$A$27:$A$31,0))))</f>
        <v>0.563418071022485</v>
      </c>
      <c r="V15" s="13" t="s">
        <v>389</v>
      </c>
      <c r="W15" s="19" t="n">
        <v>2.29</v>
      </c>
      <c r="X15" s="18" t="s">
        <v>390</v>
      </c>
      <c r="Y15" s="7"/>
      <c r="Z15" s="7" t="s">
        <v>50</v>
      </c>
      <c r="AA15" s="7" t="s">
        <v>384</v>
      </c>
      <c r="AB15" s="16" t="n">
        <f aca="false">IF(COUNTIFS(Packs!$D$2:$D$70,A15,Packs!$F$2:$F$70,"&gt;0")=0,"",_xlfn.MINIFS(Packs!$F$2:$F$70,Packs!$D$2:$D$70,A15,Packs!$F$2:$F$70,"&gt;0"))</f>
        <v>18.9875</v>
      </c>
      <c r="AC15" s="13" t="n">
        <f aca="false">COUNTIF(Packs!$D$2:$D$70,A15)</f>
        <v>1</v>
      </c>
    </row>
    <row r="16" customFormat="false" ht="15" hidden="false" customHeight="false" outlineLevel="0" collapsed="false">
      <c r="A16" s="7" t="s">
        <v>132</v>
      </c>
      <c r="B16" s="7" t="s">
        <v>385</v>
      </c>
      <c r="C16" s="7" t="s">
        <v>386</v>
      </c>
      <c r="D16" s="7" t="s">
        <v>387</v>
      </c>
      <c r="E16" s="7" t="s">
        <v>388</v>
      </c>
      <c r="F16" s="7" t="s">
        <v>380</v>
      </c>
      <c r="G16" s="7" t="n">
        <v>90</v>
      </c>
      <c r="H16" s="7" t="n">
        <v>75</v>
      </c>
      <c r="I16" s="7"/>
      <c r="J16" s="7" t="n">
        <v>16</v>
      </c>
      <c r="K16" s="7" t="s">
        <v>381</v>
      </c>
      <c r="L16" s="9" t="n">
        <f aca="false">INDEX(Parámetros!$D$5:$D$12,MATCH(G16,Parámetros!$A$5:$A$12,0))</f>
        <v>73.6</v>
      </c>
      <c r="M16" s="9" t="n">
        <f aca="false">INDEX(Parámetros!$D$5:$D$12,MATCH(IF(H16="",G16,H16),Parámetros!$A$5:$A$12,0))</f>
        <v>61.4</v>
      </c>
      <c r="N16" s="9" t="n">
        <f aca="false">INDEX(Parámetros!$E$5:$E$12,MATCH(IF(H16="",G16,H16),Parámetros!$A$5:$A$12,0))</f>
        <v>54</v>
      </c>
      <c r="O16" s="8"/>
      <c r="P16" s="17" t="n">
        <f aca="false">INDEX(Parámetros!$G$5:$G$12,MATCH(G16,Parámetros!$A$5:$A$12,0))</f>
        <v>0.018</v>
      </c>
      <c r="Q16" s="17" t="n">
        <f aca="false">IF(Z16="","",INDEX(Parámetros!$C$27:$C$31,MATCH(Z16,Parámetros!$A$27:$A$31,0))*P16)</f>
        <v>0</v>
      </c>
      <c r="R16" s="11"/>
      <c r="S16" s="17" t="n">
        <f aca="false">(Q16+0.5*(1-(N16/L16)^2)+(1-(N16/M16)^2)^2)*(M16/N16)^4+IF(Z16="",0,INDEX(Parámetros!$E$27:$E$31,MATCH(Z16,Parámetros!$A$27:$A$31,0)))</f>
        <v>0.471613954186526</v>
      </c>
      <c r="T16" s="11"/>
      <c r="U16" s="17" t="n">
        <f aca="false">IF(H16="","",(Q16+0.5*(1-(N16/M16)^2)+(1-(N16/L16)^2)^2)*(M16/N16)^4+IF(Z16="",0,INDEX(Parámetros!$E$27:$E$31,MATCH(Z16,Parámetros!$A$27:$A$31,0))))</f>
        <v>0.545595693858588</v>
      </c>
      <c r="V16" s="13" t="s">
        <v>389</v>
      </c>
      <c r="W16" s="19" t="n">
        <v>2.29</v>
      </c>
      <c r="X16" s="18" t="s">
        <v>390</v>
      </c>
      <c r="Y16" s="7"/>
      <c r="Z16" s="7" t="s">
        <v>50</v>
      </c>
      <c r="AA16" s="7" t="s">
        <v>384</v>
      </c>
      <c r="AB16" s="16" t="n">
        <f aca="false">IF(COUNTIFS(Packs!$D$2:$D$70,A16,Packs!$F$2:$F$70,"&gt;0")=0,"",_xlfn.MINIFS(Packs!$F$2:$F$70,Packs!$D$2:$D$70,A16,Packs!$F$2:$F$70,"&gt;0"))</f>
        <v>27.4875</v>
      </c>
      <c r="AC16" s="13" t="n">
        <f aca="false">COUNTIF(Packs!$D$2:$D$70,A16)</f>
        <v>1</v>
      </c>
    </row>
    <row r="17" customFormat="false" ht="15" hidden="false" customHeight="false" outlineLevel="0" collapsed="false">
      <c r="A17" s="7" t="s">
        <v>165</v>
      </c>
      <c r="B17" s="7" t="s">
        <v>391</v>
      </c>
      <c r="C17" s="7" t="s">
        <v>392</v>
      </c>
      <c r="D17" s="7" t="s">
        <v>393</v>
      </c>
      <c r="E17" s="7" t="s">
        <v>394</v>
      </c>
      <c r="F17" s="7" t="s">
        <v>395</v>
      </c>
      <c r="G17" s="7" t="n">
        <v>20</v>
      </c>
      <c r="H17" s="7"/>
      <c r="I17" s="20" t="s">
        <v>32</v>
      </c>
      <c r="J17" s="7" t="n">
        <v>16</v>
      </c>
      <c r="K17" s="7" t="s">
        <v>381</v>
      </c>
      <c r="L17" s="9" t="n">
        <f aca="false">INDEX(Parámetros!$D$5:$D$12,MATCH(G17,Parámetros!$A$5:$A$12,0))</f>
        <v>16</v>
      </c>
      <c r="M17" s="9" t="n">
        <f aca="false">INDEX(Parámetros!$D$5:$D$12,MATCH(IF(H17="",G17,H17),Parámetros!$A$5:$A$12,0))</f>
        <v>16</v>
      </c>
      <c r="N17" s="9" t="n">
        <f aca="false">INDEX(Parámetros!$E$5:$E$12,MATCH(G17,Parámetros!$A$5:$A$12,0))</f>
        <v>13</v>
      </c>
      <c r="O17" s="8"/>
      <c r="P17" s="17" t="n">
        <f aca="false">INDEX(Parámetros!$G$5:$G$12,MATCH(G17,Parámetros!$A$5:$A$12,0))</f>
        <v>0.027</v>
      </c>
      <c r="Q17" s="17" t="n">
        <f aca="false">IF(Z17="","",INDEX(Parámetros!$C$27:$C$31,MATCH(Z17,Parámetros!$A$27:$A$31,0))*P17)</f>
        <v>0</v>
      </c>
      <c r="R17" s="11"/>
      <c r="S17" s="17" t="n">
        <f aca="false">(Q17+0.5*(1-(N17/L17)^2)+(1-(N17/M17)^2)^2)*(M17/N17)^4+IF(Z17="",0,INDEX(Parámetros!$E$27:$E$31,MATCH(Z17,Parámetros!$A$27:$A$31,0)))</f>
        <v>0.654914043625924</v>
      </c>
      <c r="T17" s="11"/>
      <c r="U17" s="17" t="str">
        <f aca="false">IF(H17="","",(Q17+0.5*(1-(N17/M17)^2)+(1-(N17/L17)^2)^2)*(M17/N17)^4+IF(Z17="",0,INDEX(Parámetros!$E$27:$E$31,MATCH(Z17,Parámetros!$A$27:$A$31,0))))</f>
        <v/>
      </c>
      <c r="V17" s="13" t="s">
        <v>382</v>
      </c>
      <c r="W17" s="19" t="n">
        <v>1.55</v>
      </c>
      <c r="X17" s="18" t="s">
        <v>396</v>
      </c>
      <c r="Y17" s="7" t="s">
        <v>397</v>
      </c>
      <c r="Z17" s="7" t="s">
        <v>50</v>
      </c>
      <c r="AA17" s="7" t="s">
        <v>384</v>
      </c>
      <c r="AB17" s="16" t="n">
        <f aca="false">IF(COUNTIFS(Packs!$D$2:$D$70,A17,Packs!$F$2:$F$70,"&gt;0")=0,"",_xlfn.MINIFS(Packs!$F$2:$F$70,Packs!$D$2:$D$70,A17,Packs!$F$2:$F$70,"&gt;0"))</f>
        <v>1.4875</v>
      </c>
      <c r="AC17" s="13" t="n">
        <f aca="false">COUNTIF(Packs!$D$2:$D$70,A17)</f>
        <v>1</v>
      </c>
    </row>
    <row r="18" customFormat="false" ht="15" hidden="false" customHeight="false" outlineLevel="0" collapsed="false">
      <c r="A18" s="7" t="s">
        <v>169</v>
      </c>
      <c r="B18" s="7" t="s">
        <v>391</v>
      </c>
      <c r="C18" s="7" t="s">
        <v>392</v>
      </c>
      <c r="D18" s="7" t="s">
        <v>393</v>
      </c>
      <c r="E18" s="7" t="s">
        <v>394</v>
      </c>
      <c r="F18" s="7" t="s">
        <v>395</v>
      </c>
      <c r="G18" s="7" t="n">
        <v>25</v>
      </c>
      <c r="H18" s="7"/>
      <c r="I18" s="20" t="s">
        <v>33</v>
      </c>
      <c r="J18" s="7" t="n">
        <v>16</v>
      </c>
      <c r="K18" s="7" t="s">
        <v>381</v>
      </c>
      <c r="L18" s="9" t="n">
        <f aca="false">INDEX(Parámetros!$D$5:$D$12,MATCH(G18,Parámetros!$A$5:$A$12,0))</f>
        <v>20.4</v>
      </c>
      <c r="M18" s="9" t="n">
        <f aca="false">INDEX(Parámetros!$D$5:$D$12,MATCH(IF(H18="",G18,H18),Parámetros!$A$5:$A$12,0))</f>
        <v>20.4</v>
      </c>
      <c r="N18" s="9" t="n">
        <f aca="false">INDEX(Parámetros!$E$5:$E$12,MATCH(G18,Parámetros!$A$5:$A$12,0))</f>
        <v>17</v>
      </c>
      <c r="O18" s="8"/>
      <c r="P18" s="17" t="n">
        <f aca="false">INDEX(Parámetros!$G$5:$G$12,MATCH(G18,Parámetros!$A$5:$A$12,0))</f>
        <v>0.025</v>
      </c>
      <c r="Q18" s="17" t="n">
        <f aca="false">IF(Z18="","",INDEX(Parámetros!$C$27:$C$31,MATCH(Z18,Parámetros!$A$27:$A$31,0))*P18)</f>
        <v>0</v>
      </c>
      <c r="R18" s="11"/>
      <c r="S18" s="17" t="n">
        <f aca="false">(Q18+0.5*(1-(N18/L18)^2)+(1-(N18/M18)^2)^2)*(M18/N18)^4+IF(Z18="",0,INDEX(Parámetros!$E$27:$E$31,MATCH(Z18,Parámetros!$A$27:$A$31,0)))</f>
        <v>0.5104</v>
      </c>
      <c r="T18" s="11"/>
      <c r="U18" s="17" t="str">
        <f aca="false">IF(H18="","",(Q18+0.5*(1-(N18/M18)^2)+(1-(N18/L18)^2)^2)*(M18/N18)^4+IF(Z18="",0,INDEX(Parámetros!$E$27:$E$31,MATCH(Z18,Parámetros!$A$27:$A$31,0))))</f>
        <v/>
      </c>
      <c r="V18" s="13" t="s">
        <v>382</v>
      </c>
      <c r="W18" s="19" t="n">
        <v>1.55</v>
      </c>
      <c r="X18" s="18" t="s">
        <v>396</v>
      </c>
      <c r="Y18" s="7" t="s">
        <v>397</v>
      </c>
      <c r="Z18" s="7" t="s">
        <v>50</v>
      </c>
      <c r="AA18" s="7" t="s">
        <v>384</v>
      </c>
      <c r="AB18" s="16" t="n">
        <f aca="false">IF(COUNTIFS(Packs!$D$2:$D$70,A18,Packs!$F$2:$F$70,"&gt;0")=0,"",_xlfn.MINIFS(Packs!$F$2:$F$70,Packs!$D$2:$D$70,A18,Packs!$F$2:$F$70,"&gt;0"))</f>
        <v>1.9875</v>
      </c>
      <c r="AC18" s="13" t="n">
        <f aca="false">COUNTIF(Packs!$D$2:$D$70,A18)</f>
        <v>1</v>
      </c>
    </row>
    <row r="19" customFormat="false" ht="15" hidden="false" customHeight="false" outlineLevel="0" collapsed="false">
      <c r="A19" s="7" t="s">
        <v>173</v>
      </c>
      <c r="B19" s="7" t="s">
        <v>391</v>
      </c>
      <c r="C19" s="7" t="s">
        <v>392</v>
      </c>
      <c r="D19" s="7" t="s">
        <v>393</v>
      </c>
      <c r="E19" s="7" t="s">
        <v>394</v>
      </c>
      <c r="F19" s="7" t="s">
        <v>395</v>
      </c>
      <c r="G19" s="7" t="n">
        <v>32</v>
      </c>
      <c r="H19" s="7"/>
      <c r="I19" s="20" t="s">
        <v>34</v>
      </c>
      <c r="J19" s="7" t="n">
        <v>16</v>
      </c>
      <c r="K19" s="7" t="s">
        <v>381</v>
      </c>
      <c r="L19" s="9" t="n">
        <f aca="false">INDEX(Parámetros!$D$5:$D$12,MATCH(G19,Parámetros!$A$5:$A$12,0))</f>
        <v>26.2</v>
      </c>
      <c r="M19" s="9" t="n">
        <f aca="false">INDEX(Parámetros!$D$5:$D$12,MATCH(IF(H19="",G19,H19),Parámetros!$A$5:$A$12,0))</f>
        <v>26.2</v>
      </c>
      <c r="N19" s="9" t="n">
        <f aca="false">INDEX(Parámetros!$E$5:$E$12,MATCH(G19,Parámetros!$A$5:$A$12,0))</f>
        <v>22</v>
      </c>
      <c r="O19" s="8"/>
      <c r="P19" s="17" t="n">
        <f aca="false">INDEX(Parámetros!$G$5:$G$12,MATCH(G19,Parámetros!$A$5:$A$12,0))</f>
        <v>0.023</v>
      </c>
      <c r="Q19" s="17" t="n">
        <f aca="false">IF(Z19="","",INDEX(Parámetros!$C$27:$C$31,MATCH(Z19,Parámetros!$A$27:$A$31,0))*P19)</f>
        <v>0</v>
      </c>
      <c r="R19" s="11"/>
      <c r="S19" s="17" t="n">
        <f aca="false">(Q19+0.5*(1-(N19/L19)^2)+(1-(N19/M19)^2)^2)*(M19/N19)^4+IF(Z19="",0,INDEX(Parámetros!$E$27:$E$31,MATCH(Z19,Parámetros!$A$27:$A$31,0)))</f>
        <v>0.471549972679462</v>
      </c>
      <c r="T19" s="11"/>
      <c r="U19" s="17" t="str">
        <f aca="false">IF(H19="","",(Q19+0.5*(1-(N19/M19)^2)+(1-(N19/L19)^2)^2)*(M19/N19)^4+IF(Z19="",0,INDEX(Parámetros!$E$27:$E$31,MATCH(Z19,Parámetros!$A$27:$A$31,0))))</f>
        <v/>
      </c>
      <c r="V19" s="13" t="s">
        <v>382</v>
      </c>
      <c r="W19" s="19" t="n">
        <v>1.55</v>
      </c>
      <c r="X19" s="18" t="s">
        <v>396</v>
      </c>
      <c r="Y19" s="7" t="s">
        <v>397</v>
      </c>
      <c r="Z19" s="7" t="s">
        <v>50</v>
      </c>
      <c r="AA19" s="7" t="s">
        <v>384</v>
      </c>
      <c r="AB19" s="16" t="n">
        <f aca="false">IF(COUNTIFS(Packs!$D$2:$D$70,A19,Packs!$F$2:$F$70,"&gt;0")=0,"",_xlfn.MINIFS(Packs!$F$2:$F$70,Packs!$D$2:$D$70,A19,Packs!$F$2:$F$70,"&gt;0"))</f>
        <v>2.7375</v>
      </c>
      <c r="AC19" s="13" t="n">
        <f aca="false">COUNTIF(Packs!$D$2:$D$70,A19)</f>
        <v>1</v>
      </c>
    </row>
    <row r="20" customFormat="false" ht="15" hidden="false" customHeight="false" outlineLevel="0" collapsed="false">
      <c r="A20" s="7" t="s">
        <v>177</v>
      </c>
      <c r="B20" s="7" t="s">
        <v>391</v>
      </c>
      <c r="C20" s="7" t="s">
        <v>392</v>
      </c>
      <c r="D20" s="7" t="s">
        <v>393</v>
      </c>
      <c r="E20" s="7" t="s">
        <v>394</v>
      </c>
      <c r="F20" s="7" t="s">
        <v>395</v>
      </c>
      <c r="G20" s="7" t="n">
        <v>40</v>
      </c>
      <c r="H20" s="7"/>
      <c r="I20" s="20" t="s">
        <v>35</v>
      </c>
      <c r="J20" s="7" t="n">
        <v>16</v>
      </c>
      <c r="K20" s="7" t="s">
        <v>381</v>
      </c>
      <c r="L20" s="9" t="n">
        <f aca="false">INDEX(Parámetros!$D$5:$D$12,MATCH(G20,Parámetros!$A$5:$A$12,0))</f>
        <v>32.6</v>
      </c>
      <c r="M20" s="9" t="n">
        <f aca="false">INDEX(Parámetros!$D$5:$D$12,MATCH(IF(H20="",G20,H20),Parámetros!$A$5:$A$12,0))</f>
        <v>32.6</v>
      </c>
      <c r="N20" s="9" t="n">
        <f aca="false">INDEX(Parámetros!$E$5:$E$12,MATCH(G20,Parámetros!$A$5:$A$12,0))</f>
        <v>28</v>
      </c>
      <c r="O20" s="8"/>
      <c r="P20" s="17" t="n">
        <f aca="false">INDEX(Parámetros!$G$5:$G$12,MATCH(G20,Parámetros!$A$5:$A$12,0))</f>
        <v>0.022</v>
      </c>
      <c r="Q20" s="17" t="n">
        <f aca="false">IF(Z20="","",INDEX(Parámetros!$C$27:$C$31,MATCH(Z20,Parámetros!$A$27:$A$31,0))*P20)</f>
        <v>0</v>
      </c>
      <c r="R20" s="11"/>
      <c r="S20" s="17" t="n">
        <f aca="false">(Q20+0.5*(1-(N20/L20)^2)+(1-(N20/M20)^2)^2)*(M20/N20)^4+IF(Z20="",0,INDEX(Parámetros!$E$27:$E$31,MATCH(Z20,Parámetros!$A$27:$A$31,0)))</f>
        <v>0.367416288785923</v>
      </c>
      <c r="T20" s="11"/>
      <c r="U20" s="17" t="str">
        <f aca="false">IF(H20="","",(Q20+0.5*(1-(N20/M20)^2)+(1-(N20/L20)^2)^2)*(M20/N20)^4+IF(Z20="",0,INDEX(Parámetros!$E$27:$E$31,MATCH(Z20,Parámetros!$A$27:$A$31,0))))</f>
        <v/>
      </c>
      <c r="V20" s="13" t="s">
        <v>382</v>
      </c>
      <c r="W20" s="19" t="n">
        <v>1.55</v>
      </c>
      <c r="X20" s="18" t="s">
        <v>396</v>
      </c>
      <c r="Y20" s="7" t="s">
        <v>397</v>
      </c>
      <c r="Z20" s="7" t="s">
        <v>50</v>
      </c>
      <c r="AA20" s="7" t="s">
        <v>384</v>
      </c>
      <c r="AB20" s="16" t="n">
        <f aca="false">IF(COUNTIFS(Packs!$D$2:$D$70,A20,Packs!$F$2:$F$70,"&gt;0")=0,"",_xlfn.MINIFS(Packs!$F$2:$F$70,Packs!$D$2:$D$70,A20,Packs!$F$2:$F$70,"&gt;0"))</f>
        <v>3.9875</v>
      </c>
      <c r="AC20" s="13" t="n">
        <f aca="false">COUNTIF(Packs!$D$2:$D$70,A20)</f>
        <v>1</v>
      </c>
    </row>
    <row r="21" customFormat="false" ht="15" hidden="false" customHeight="false" outlineLevel="0" collapsed="false">
      <c r="A21" s="7" t="s">
        <v>181</v>
      </c>
      <c r="B21" s="7" t="s">
        <v>391</v>
      </c>
      <c r="C21" s="7" t="s">
        <v>392</v>
      </c>
      <c r="D21" s="7" t="s">
        <v>393</v>
      </c>
      <c r="E21" s="7" t="s">
        <v>394</v>
      </c>
      <c r="F21" s="7" t="s">
        <v>395</v>
      </c>
      <c r="G21" s="7" t="n">
        <v>50</v>
      </c>
      <c r="H21" s="7"/>
      <c r="I21" s="20" t="s">
        <v>36</v>
      </c>
      <c r="J21" s="7" t="n">
        <v>16</v>
      </c>
      <c r="K21" s="7" t="s">
        <v>381</v>
      </c>
      <c r="L21" s="9" t="n">
        <f aca="false">INDEX(Parámetros!$D$5:$D$12,MATCH(G21,Parámetros!$A$5:$A$12,0))</f>
        <v>40.8</v>
      </c>
      <c r="M21" s="9" t="n">
        <f aca="false">INDEX(Parámetros!$D$5:$D$12,MATCH(IF(H21="",G21,H21),Parámetros!$A$5:$A$12,0))</f>
        <v>40.8</v>
      </c>
      <c r="N21" s="9" t="n">
        <f aca="false">INDEX(Parámetros!$E$5:$E$12,MATCH(G21,Parámetros!$A$5:$A$12,0))</f>
        <v>35</v>
      </c>
      <c r="O21" s="8"/>
      <c r="P21" s="17" t="n">
        <f aca="false">INDEX(Parámetros!$G$5:$G$12,MATCH(G21,Parámetros!$A$5:$A$12,0))</f>
        <v>0.021</v>
      </c>
      <c r="Q21" s="17" t="n">
        <f aca="false">IF(Z21="","",INDEX(Parámetros!$C$27:$C$31,MATCH(Z21,Parámetros!$A$27:$A$31,0))*P21)</f>
        <v>0</v>
      </c>
      <c r="R21" s="11"/>
      <c r="S21" s="17" t="n">
        <f aca="false">(Q21+0.5*(1-(N21/L21)^2)+(1-(N21/M21)^2)^2)*(M21/N21)^4+IF(Z21="",0,INDEX(Parámetros!$E$27:$E$31,MATCH(Z21,Parámetros!$A$27:$A$31,0)))</f>
        <v>0.372647726380675</v>
      </c>
      <c r="T21" s="11"/>
      <c r="U21" s="17" t="str">
        <f aca="false">IF(H21="","",(Q21+0.5*(1-(N21/M21)^2)+(1-(N21/L21)^2)^2)*(M21/N21)^4+IF(Z21="",0,INDEX(Parámetros!$E$27:$E$31,MATCH(Z21,Parámetros!$A$27:$A$31,0))))</f>
        <v/>
      </c>
      <c r="V21" s="13" t="s">
        <v>382</v>
      </c>
      <c r="W21" s="19" t="n">
        <v>1.55</v>
      </c>
      <c r="X21" s="18" t="s">
        <v>396</v>
      </c>
      <c r="Y21" s="7" t="s">
        <v>397</v>
      </c>
      <c r="Z21" s="7" t="s">
        <v>50</v>
      </c>
      <c r="AA21" s="7" t="s">
        <v>384</v>
      </c>
      <c r="AB21" s="16" t="n">
        <f aca="false">IF(COUNTIFS(Packs!$D$2:$D$70,A21,Packs!$F$2:$F$70,"&gt;0")=0,"",_xlfn.MINIFS(Packs!$F$2:$F$70,Packs!$D$2:$D$70,A21,Packs!$F$2:$F$70,"&gt;0"))</f>
        <v>5.2375</v>
      </c>
      <c r="AC21" s="13" t="n">
        <f aca="false">COUNTIF(Packs!$D$2:$D$70,A21)</f>
        <v>1</v>
      </c>
    </row>
    <row r="22" customFormat="false" ht="15" hidden="false" customHeight="false" outlineLevel="0" collapsed="false">
      <c r="A22" s="7" t="s">
        <v>185</v>
      </c>
      <c r="B22" s="7" t="s">
        <v>391</v>
      </c>
      <c r="C22" s="7" t="s">
        <v>392</v>
      </c>
      <c r="D22" s="7" t="s">
        <v>393</v>
      </c>
      <c r="E22" s="7" t="s">
        <v>394</v>
      </c>
      <c r="F22" s="7" t="s">
        <v>395</v>
      </c>
      <c r="G22" s="7" t="n">
        <v>63</v>
      </c>
      <c r="H22" s="7"/>
      <c r="I22" s="20" t="s">
        <v>37</v>
      </c>
      <c r="J22" s="7" t="n">
        <v>16</v>
      </c>
      <c r="K22" s="7" t="s">
        <v>381</v>
      </c>
      <c r="L22" s="9" t="n">
        <f aca="false">INDEX(Parámetros!$D$5:$D$12,MATCH(G22,Parámetros!$A$5:$A$12,0))</f>
        <v>51.4</v>
      </c>
      <c r="M22" s="9" t="n">
        <f aca="false">INDEX(Parámetros!$D$5:$D$12,MATCH(IF(H22="",G22,H22),Parámetros!$A$5:$A$12,0))</f>
        <v>51.4</v>
      </c>
      <c r="N22" s="9" t="n">
        <f aca="false">INDEX(Parámetros!$E$5:$E$12,MATCH(G22,Parámetros!$A$5:$A$12,0))</f>
        <v>45</v>
      </c>
      <c r="O22" s="8"/>
      <c r="P22" s="17" t="n">
        <f aca="false">INDEX(Parámetros!$G$5:$G$12,MATCH(G22,Parámetros!$A$5:$A$12,0))</f>
        <v>0.019</v>
      </c>
      <c r="Q22" s="17" t="n">
        <f aca="false">IF(Z22="","",INDEX(Parámetros!$C$27:$C$31,MATCH(Z22,Parámetros!$A$27:$A$31,0))*P22)</f>
        <v>0</v>
      </c>
      <c r="R22" s="11"/>
      <c r="S22" s="17" t="n">
        <f aca="false">(Q22+0.5*(1-(N22/L22)^2)+(1-(N22/M22)^2)^2)*(M22/N22)^4+IF(Z22="",0,INDEX(Parámetros!$E$27:$E$31,MATCH(Z22,Parámetros!$A$27:$A$31,0)))</f>
        <v>0.291572982752629</v>
      </c>
      <c r="T22" s="11"/>
      <c r="U22" s="17" t="str">
        <f aca="false">IF(H22="","",(Q22+0.5*(1-(N22/M22)^2)+(1-(N22/L22)^2)^2)*(M22/N22)^4+IF(Z22="",0,INDEX(Parámetros!$E$27:$E$31,MATCH(Z22,Parámetros!$A$27:$A$31,0))))</f>
        <v/>
      </c>
      <c r="V22" s="13" t="s">
        <v>382</v>
      </c>
      <c r="W22" s="19" t="n">
        <v>1.55</v>
      </c>
      <c r="X22" s="18" t="s">
        <v>396</v>
      </c>
      <c r="Y22" s="7" t="s">
        <v>397</v>
      </c>
      <c r="Z22" s="7" t="s">
        <v>50</v>
      </c>
      <c r="AA22" s="7" t="s">
        <v>384</v>
      </c>
      <c r="AB22" s="16" t="n">
        <f aca="false">IF(COUNTIFS(Packs!$D$2:$D$70,A22,Packs!$F$2:$F$70,"&gt;0")=0,"",_xlfn.MINIFS(Packs!$F$2:$F$70,Packs!$D$2:$D$70,A22,Packs!$F$2:$F$70,"&gt;0"))</f>
        <v>7.9875</v>
      </c>
      <c r="AC22" s="13" t="n">
        <f aca="false">COUNTIF(Packs!$D$2:$D$70,A22)</f>
        <v>1</v>
      </c>
    </row>
    <row r="23" customFormat="false" ht="15" hidden="false" customHeight="false" outlineLevel="0" collapsed="false">
      <c r="A23" s="7" t="s">
        <v>189</v>
      </c>
      <c r="B23" s="7" t="s">
        <v>391</v>
      </c>
      <c r="C23" s="7" t="s">
        <v>392</v>
      </c>
      <c r="D23" s="7" t="s">
        <v>393</v>
      </c>
      <c r="E23" s="7" t="s">
        <v>394</v>
      </c>
      <c r="F23" s="7" t="s">
        <v>395</v>
      </c>
      <c r="G23" s="7" t="n">
        <v>75</v>
      </c>
      <c r="H23" s="7"/>
      <c r="I23" s="20" t="s">
        <v>38</v>
      </c>
      <c r="J23" s="7" t="n">
        <v>16</v>
      </c>
      <c r="K23" s="7" t="s">
        <v>381</v>
      </c>
      <c r="L23" s="9" t="n">
        <f aca="false">INDEX(Parámetros!$D$5:$D$12,MATCH(G23,Parámetros!$A$5:$A$12,0))</f>
        <v>61.4</v>
      </c>
      <c r="M23" s="9" t="n">
        <f aca="false">INDEX(Parámetros!$D$5:$D$12,MATCH(IF(H23="",G23,H23),Parámetros!$A$5:$A$12,0))</f>
        <v>61.4</v>
      </c>
      <c r="N23" s="9" t="n">
        <f aca="false">INDEX(Parámetros!$E$5:$E$12,MATCH(G23,Parámetros!$A$5:$A$12,0))</f>
        <v>54</v>
      </c>
      <c r="O23" s="8"/>
      <c r="P23" s="17" t="n">
        <f aca="false">INDEX(Parámetros!$G$5:$G$12,MATCH(G23,Parámetros!$A$5:$A$12,0))</f>
        <v>0.018</v>
      </c>
      <c r="Q23" s="17" t="n">
        <f aca="false">IF(Z23="","",INDEX(Parámetros!$C$27:$C$31,MATCH(Z23,Parámetros!$A$27:$A$31,0))*P23)</f>
        <v>0</v>
      </c>
      <c r="R23" s="11"/>
      <c r="S23" s="17" t="n">
        <f aca="false">(Q23+0.5*(1-(N23/L23)^2)+(1-(N23/M23)^2)^2)*(M23/N23)^4+IF(Z23="",0,INDEX(Parámetros!$E$27:$E$31,MATCH(Z23,Parámetros!$A$27:$A$31,0)))</f>
        <v>0.275071127651047</v>
      </c>
      <c r="T23" s="11"/>
      <c r="U23" s="17" t="str">
        <f aca="false">IF(H23="","",(Q23+0.5*(1-(N23/M23)^2)+(1-(N23/L23)^2)^2)*(M23/N23)^4+IF(Z23="",0,INDEX(Parámetros!$E$27:$E$31,MATCH(Z23,Parámetros!$A$27:$A$31,0))))</f>
        <v/>
      </c>
      <c r="V23" s="13" t="s">
        <v>382</v>
      </c>
      <c r="W23" s="19" t="n">
        <v>1.55</v>
      </c>
      <c r="X23" s="18" t="s">
        <v>396</v>
      </c>
      <c r="Y23" s="7" t="s">
        <v>397</v>
      </c>
      <c r="Z23" s="7" t="s">
        <v>50</v>
      </c>
      <c r="AA23" s="7" t="s">
        <v>384</v>
      </c>
      <c r="AB23" s="16" t="n">
        <f aca="false">IF(COUNTIFS(Packs!$D$2:$D$70,A23,Packs!$F$2:$F$70,"&gt;0")=0,"",_xlfn.MINIFS(Packs!$F$2:$F$70,Packs!$D$2:$D$70,A23,Packs!$F$2:$F$70,"&gt;0"))</f>
        <v>15.4875</v>
      </c>
      <c r="AC23" s="13" t="n">
        <f aca="false">COUNTIF(Packs!$D$2:$D$70,A23)</f>
        <v>1</v>
      </c>
    </row>
    <row r="24" customFormat="false" ht="15" hidden="false" customHeight="false" outlineLevel="0" collapsed="false">
      <c r="A24" s="7" t="s">
        <v>193</v>
      </c>
      <c r="B24" s="7" t="s">
        <v>391</v>
      </c>
      <c r="C24" s="7" t="s">
        <v>392</v>
      </c>
      <c r="D24" s="7" t="s">
        <v>393</v>
      </c>
      <c r="E24" s="7" t="s">
        <v>394</v>
      </c>
      <c r="F24" s="7" t="s">
        <v>395</v>
      </c>
      <c r="G24" s="7" t="n">
        <v>90</v>
      </c>
      <c r="H24" s="7"/>
      <c r="I24" s="20" t="s">
        <v>39</v>
      </c>
      <c r="J24" s="7" t="n">
        <v>16</v>
      </c>
      <c r="K24" s="7" t="s">
        <v>381</v>
      </c>
      <c r="L24" s="9" t="n">
        <f aca="false">INDEX(Parámetros!$D$5:$D$12,MATCH(G24,Parámetros!$A$5:$A$12,0))</f>
        <v>73.6</v>
      </c>
      <c r="M24" s="9" t="n">
        <f aca="false">INDEX(Parámetros!$D$5:$D$12,MATCH(IF(H24="",G24,H24),Parámetros!$A$5:$A$12,0))</f>
        <v>73.6</v>
      </c>
      <c r="N24" s="9" t="n">
        <f aca="false">INDEX(Parámetros!$E$5:$E$12,MATCH(G24,Parámetros!$A$5:$A$12,0))</f>
        <v>66</v>
      </c>
      <c r="O24" s="8"/>
      <c r="P24" s="17" t="n">
        <f aca="false">INDEX(Parámetros!$G$5:$G$12,MATCH(G24,Parámetros!$A$5:$A$12,0))</f>
        <v>0.018</v>
      </c>
      <c r="Q24" s="17" t="n">
        <f aca="false">IF(Z24="","",INDEX(Parámetros!$C$27:$C$31,MATCH(Z24,Parámetros!$A$27:$A$31,0))*P24)</f>
        <v>0</v>
      </c>
      <c r="R24" s="11"/>
      <c r="S24" s="17" t="n">
        <f aca="false">(Q24+0.5*(1-(N24/L24)^2)+(1-(N24/M24)^2)^2)*(M24/N24)^4+IF(Z24="",0,INDEX(Parámetros!$E$27:$E$31,MATCH(Z24,Parámetros!$A$27:$A$31,0)))</f>
        <v>0.210765781531822</v>
      </c>
      <c r="T24" s="11"/>
      <c r="U24" s="17" t="str">
        <f aca="false">IF(H24="","",(Q24+0.5*(1-(N24/M24)^2)+(1-(N24/L24)^2)^2)*(M24/N24)^4+IF(Z24="",0,INDEX(Parámetros!$E$27:$E$31,MATCH(Z24,Parámetros!$A$27:$A$31,0))))</f>
        <v/>
      </c>
      <c r="V24" s="13" t="s">
        <v>382</v>
      </c>
      <c r="W24" s="19" t="n">
        <v>1.55</v>
      </c>
      <c r="X24" s="18" t="s">
        <v>396</v>
      </c>
      <c r="Y24" s="7" t="s">
        <v>397</v>
      </c>
      <c r="Z24" s="7" t="s">
        <v>50</v>
      </c>
      <c r="AA24" s="7" t="s">
        <v>384</v>
      </c>
      <c r="AB24" s="16" t="n">
        <f aca="false">IF(COUNTIFS(Packs!$D$2:$D$70,A24,Packs!$F$2:$F$70,"&gt;0")=0,"",_xlfn.MINIFS(Packs!$F$2:$F$70,Packs!$D$2:$D$70,A24,Packs!$F$2:$F$70,"&gt;0"))</f>
        <v>18.9875</v>
      </c>
      <c r="AC24" s="13" t="n">
        <f aca="false">COUNTIF(Packs!$D$2:$D$70,A24)</f>
        <v>1</v>
      </c>
    </row>
    <row r="25" customFormat="false" ht="15" hidden="false" customHeight="false" outlineLevel="0" collapsed="false">
      <c r="A25" s="7" t="s">
        <v>197</v>
      </c>
      <c r="B25" s="7" t="s">
        <v>398</v>
      </c>
      <c r="C25" s="7" t="s">
        <v>399</v>
      </c>
      <c r="D25" s="7" t="s">
        <v>393</v>
      </c>
      <c r="E25" s="7" t="s">
        <v>400</v>
      </c>
      <c r="F25" s="7" t="s">
        <v>401</v>
      </c>
      <c r="G25" s="7" t="n">
        <v>20</v>
      </c>
      <c r="H25" s="7"/>
      <c r="I25" s="20" t="s">
        <v>32</v>
      </c>
      <c r="J25" s="7" t="n">
        <v>16</v>
      </c>
      <c r="K25" s="7" t="s">
        <v>381</v>
      </c>
      <c r="L25" s="9" t="n">
        <f aca="false">INDEX(Parámetros!$D$5:$D$12,MATCH(G25,Parámetros!$A$5:$A$12,0))</f>
        <v>16</v>
      </c>
      <c r="M25" s="9" t="n">
        <f aca="false">INDEX(Parámetros!$D$5:$D$12,MATCH(IF(H25="",G25,H25),Parámetros!$A$5:$A$12,0))</f>
        <v>16</v>
      </c>
      <c r="N25" s="9" t="n">
        <f aca="false">INDEX(Parámetros!$E$5:$E$12,MATCH(G25,Parámetros!$A$5:$A$12,0))</f>
        <v>13</v>
      </c>
      <c r="O25" s="8"/>
      <c r="P25" s="17" t="n">
        <f aca="false">INDEX(Parámetros!$G$5:$G$12,MATCH(G25,Parámetros!$A$5:$A$12,0))</f>
        <v>0.027</v>
      </c>
      <c r="Q25" s="17" t="n">
        <f aca="false">IF(Z25="","",INDEX(Parámetros!$C$27:$C$31,MATCH(Z25,Parámetros!$A$27:$A$31,0))*P25)</f>
        <v>0</v>
      </c>
      <c r="R25" s="11"/>
      <c r="S25" s="17" t="n">
        <f aca="false">(Q25+0.5*(1-(N25/L25)^2)+(1-(N25/M25)^2)^2)*(M25/N25)^4+IF(Z25="",0,INDEX(Parámetros!$E$27:$E$31,MATCH(Z25,Parámetros!$A$27:$A$31,0)))</f>
        <v>0.654914043625924</v>
      </c>
      <c r="T25" s="11"/>
      <c r="U25" s="17" t="str">
        <f aca="false">IF(H25="","",(Q25+0.5*(1-(N25/M25)^2)+(1-(N25/L25)^2)^2)*(M25/N25)^4+IF(Z25="",0,INDEX(Parámetros!$E$27:$E$31,MATCH(Z25,Parámetros!$A$27:$A$31,0))))</f>
        <v/>
      </c>
      <c r="V25" s="13" t="s">
        <v>382</v>
      </c>
      <c r="W25" s="19" t="n">
        <v>1.28</v>
      </c>
      <c r="X25" s="18" t="s">
        <v>402</v>
      </c>
      <c r="Y25" s="7" t="s">
        <v>397</v>
      </c>
      <c r="Z25" s="7" t="s">
        <v>50</v>
      </c>
      <c r="AA25" s="7" t="s">
        <v>384</v>
      </c>
      <c r="AB25" s="16" t="n">
        <f aca="false">IF(COUNTIFS(Packs!$D$2:$D$70,A25,Packs!$F$2:$F$70,"&gt;0")=0,"",_xlfn.MINIFS(Packs!$F$2:$F$70,Packs!$D$2:$D$70,A25,Packs!$F$2:$F$70,"&gt;0"))</f>
        <v>1.7375</v>
      </c>
      <c r="AC25" s="13" t="n">
        <f aca="false">COUNTIF(Packs!$D$2:$D$70,A25)</f>
        <v>1</v>
      </c>
    </row>
    <row r="26" customFormat="false" ht="15" hidden="false" customHeight="false" outlineLevel="0" collapsed="false">
      <c r="A26" s="7" t="s">
        <v>201</v>
      </c>
      <c r="B26" s="7" t="s">
        <v>398</v>
      </c>
      <c r="C26" s="7" t="s">
        <v>399</v>
      </c>
      <c r="D26" s="7" t="s">
        <v>393</v>
      </c>
      <c r="E26" s="7" t="s">
        <v>400</v>
      </c>
      <c r="F26" s="7" t="s">
        <v>401</v>
      </c>
      <c r="G26" s="7" t="n">
        <v>25</v>
      </c>
      <c r="H26" s="7"/>
      <c r="I26" s="20" t="s">
        <v>33</v>
      </c>
      <c r="J26" s="7" t="n">
        <v>16</v>
      </c>
      <c r="K26" s="7" t="s">
        <v>381</v>
      </c>
      <c r="L26" s="9" t="n">
        <f aca="false">INDEX(Parámetros!$D$5:$D$12,MATCH(G26,Parámetros!$A$5:$A$12,0))</f>
        <v>20.4</v>
      </c>
      <c r="M26" s="9" t="n">
        <f aca="false">INDEX(Parámetros!$D$5:$D$12,MATCH(IF(H26="",G26,H26),Parámetros!$A$5:$A$12,0))</f>
        <v>20.4</v>
      </c>
      <c r="N26" s="9" t="n">
        <f aca="false">INDEX(Parámetros!$E$5:$E$12,MATCH(G26,Parámetros!$A$5:$A$12,0))</f>
        <v>17</v>
      </c>
      <c r="O26" s="8"/>
      <c r="P26" s="17" t="n">
        <f aca="false">INDEX(Parámetros!$G$5:$G$12,MATCH(G26,Parámetros!$A$5:$A$12,0))</f>
        <v>0.025</v>
      </c>
      <c r="Q26" s="17" t="n">
        <f aca="false">IF(Z26="","",INDEX(Parámetros!$C$27:$C$31,MATCH(Z26,Parámetros!$A$27:$A$31,0))*P26)</f>
        <v>0</v>
      </c>
      <c r="R26" s="11"/>
      <c r="S26" s="17" t="n">
        <f aca="false">(Q26+0.5*(1-(N26/L26)^2)+(1-(N26/M26)^2)^2)*(M26/N26)^4+IF(Z26="",0,INDEX(Parámetros!$E$27:$E$31,MATCH(Z26,Parámetros!$A$27:$A$31,0)))</f>
        <v>0.5104</v>
      </c>
      <c r="T26" s="11"/>
      <c r="U26" s="17" t="str">
        <f aca="false">IF(H26="","",(Q26+0.5*(1-(N26/M26)^2)+(1-(N26/L26)^2)^2)*(M26/N26)^4+IF(Z26="",0,INDEX(Parámetros!$E$27:$E$31,MATCH(Z26,Parámetros!$A$27:$A$31,0))))</f>
        <v/>
      </c>
      <c r="V26" s="13" t="s">
        <v>382</v>
      </c>
      <c r="W26" s="19" t="n">
        <v>1.28</v>
      </c>
      <c r="X26" s="18" t="s">
        <v>402</v>
      </c>
      <c r="Y26" s="7" t="s">
        <v>397</v>
      </c>
      <c r="Z26" s="7" t="s">
        <v>50</v>
      </c>
      <c r="AA26" s="7" t="s">
        <v>384</v>
      </c>
      <c r="AB26" s="16" t="n">
        <f aca="false">IF(COUNTIFS(Packs!$D$2:$D$70,A26,Packs!$F$2:$F$70,"&gt;0")=0,"",_xlfn.MINIFS(Packs!$F$2:$F$70,Packs!$D$2:$D$70,A26,Packs!$F$2:$F$70,"&gt;0"))</f>
        <v>2.2375</v>
      </c>
      <c r="AC26" s="13" t="n">
        <f aca="false">COUNTIF(Packs!$D$2:$D$70,A26)</f>
        <v>1</v>
      </c>
    </row>
    <row r="27" customFormat="false" ht="15" hidden="false" customHeight="false" outlineLevel="0" collapsed="false">
      <c r="A27" s="7" t="s">
        <v>205</v>
      </c>
      <c r="B27" s="7" t="s">
        <v>398</v>
      </c>
      <c r="C27" s="7" t="s">
        <v>399</v>
      </c>
      <c r="D27" s="7" t="s">
        <v>393</v>
      </c>
      <c r="E27" s="7" t="s">
        <v>400</v>
      </c>
      <c r="F27" s="7" t="s">
        <v>401</v>
      </c>
      <c r="G27" s="7" t="n">
        <v>32</v>
      </c>
      <c r="H27" s="7"/>
      <c r="I27" s="20" t="s">
        <v>34</v>
      </c>
      <c r="J27" s="7" t="n">
        <v>16</v>
      </c>
      <c r="K27" s="7" t="s">
        <v>381</v>
      </c>
      <c r="L27" s="9" t="n">
        <f aca="false">INDEX(Parámetros!$D$5:$D$12,MATCH(G27,Parámetros!$A$5:$A$12,0))</f>
        <v>26.2</v>
      </c>
      <c r="M27" s="9" t="n">
        <f aca="false">INDEX(Parámetros!$D$5:$D$12,MATCH(IF(H27="",G27,H27),Parámetros!$A$5:$A$12,0))</f>
        <v>26.2</v>
      </c>
      <c r="N27" s="9" t="n">
        <f aca="false">INDEX(Parámetros!$E$5:$E$12,MATCH(G27,Parámetros!$A$5:$A$12,0))</f>
        <v>22</v>
      </c>
      <c r="O27" s="8"/>
      <c r="P27" s="17" t="n">
        <f aca="false">INDEX(Parámetros!$G$5:$G$12,MATCH(G27,Parámetros!$A$5:$A$12,0))</f>
        <v>0.023</v>
      </c>
      <c r="Q27" s="17" t="n">
        <f aca="false">IF(Z27="","",INDEX(Parámetros!$C$27:$C$31,MATCH(Z27,Parámetros!$A$27:$A$31,0))*P27)</f>
        <v>0</v>
      </c>
      <c r="R27" s="11"/>
      <c r="S27" s="17" t="n">
        <f aca="false">(Q27+0.5*(1-(N27/L27)^2)+(1-(N27/M27)^2)^2)*(M27/N27)^4+IF(Z27="",0,INDEX(Parámetros!$E$27:$E$31,MATCH(Z27,Parámetros!$A$27:$A$31,0)))</f>
        <v>0.471549972679462</v>
      </c>
      <c r="T27" s="11"/>
      <c r="U27" s="17" t="str">
        <f aca="false">IF(H27="","",(Q27+0.5*(1-(N27/M27)^2)+(1-(N27/L27)^2)^2)*(M27/N27)^4+IF(Z27="",0,INDEX(Parámetros!$E$27:$E$31,MATCH(Z27,Parámetros!$A$27:$A$31,0))))</f>
        <v/>
      </c>
      <c r="V27" s="13" t="s">
        <v>382</v>
      </c>
      <c r="W27" s="19" t="n">
        <v>1.28</v>
      </c>
      <c r="X27" s="18" t="s">
        <v>402</v>
      </c>
      <c r="Y27" s="7" t="s">
        <v>397</v>
      </c>
      <c r="Z27" s="7" t="s">
        <v>50</v>
      </c>
      <c r="AA27" s="7" t="s">
        <v>384</v>
      </c>
      <c r="AB27" s="16" t="n">
        <f aca="false">IF(COUNTIFS(Packs!$D$2:$D$70,A27,Packs!$F$2:$F$70,"&gt;0")=0,"",_xlfn.MINIFS(Packs!$F$2:$F$70,Packs!$D$2:$D$70,A27,Packs!$F$2:$F$70,"&gt;0"))</f>
        <v>3.4875</v>
      </c>
      <c r="AC27" s="13" t="n">
        <f aca="false">COUNTIF(Packs!$D$2:$D$70,A27)</f>
        <v>1</v>
      </c>
    </row>
    <row r="28" customFormat="false" ht="15" hidden="false" customHeight="false" outlineLevel="0" collapsed="false">
      <c r="A28" s="7" t="s">
        <v>209</v>
      </c>
      <c r="B28" s="7" t="s">
        <v>398</v>
      </c>
      <c r="C28" s="7" t="s">
        <v>399</v>
      </c>
      <c r="D28" s="7" t="s">
        <v>393</v>
      </c>
      <c r="E28" s="7" t="s">
        <v>400</v>
      </c>
      <c r="F28" s="7" t="s">
        <v>401</v>
      </c>
      <c r="G28" s="7" t="n">
        <v>40</v>
      </c>
      <c r="H28" s="7"/>
      <c r="I28" s="20" t="s">
        <v>35</v>
      </c>
      <c r="J28" s="7" t="n">
        <v>16</v>
      </c>
      <c r="K28" s="7" t="s">
        <v>381</v>
      </c>
      <c r="L28" s="9" t="n">
        <f aca="false">INDEX(Parámetros!$D$5:$D$12,MATCH(G28,Parámetros!$A$5:$A$12,0))</f>
        <v>32.6</v>
      </c>
      <c r="M28" s="9" t="n">
        <f aca="false">INDEX(Parámetros!$D$5:$D$12,MATCH(IF(H28="",G28,H28),Parámetros!$A$5:$A$12,0))</f>
        <v>32.6</v>
      </c>
      <c r="N28" s="9" t="n">
        <f aca="false">INDEX(Parámetros!$E$5:$E$12,MATCH(G28,Parámetros!$A$5:$A$12,0))</f>
        <v>28</v>
      </c>
      <c r="O28" s="8"/>
      <c r="P28" s="17" t="n">
        <f aca="false">INDEX(Parámetros!$G$5:$G$12,MATCH(G28,Parámetros!$A$5:$A$12,0))</f>
        <v>0.022</v>
      </c>
      <c r="Q28" s="17" t="n">
        <f aca="false">IF(Z28="","",INDEX(Parámetros!$C$27:$C$31,MATCH(Z28,Parámetros!$A$27:$A$31,0))*P28)</f>
        <v>0</v>
      </c>
      <c r="R28" s="11"/>
      <c r="S28" s="17" t="n">
        <f aca="false">(Q28+0.5*(1-(N28/L28)^2)+(1-(N28/M28)^2)^2)*(M28/N28)^4+IF(Z28="",0,INDEX(Parámetros!$E$27:$E$31,MATCH(Z28,Parámetros!$A$27:$A$31,0)))</f>
        <v>0.367416288785923</v>
      </c>
      <c r="T28" s="11"/>
      <c r="U28" s="17" t="str">
        <f aca="false">IF(H28="","",(Q28+0.5*(1-(N28/M28)^2)+(1-(N28/L28)^2)^2)*(M28/N28)^4+IF(Z28="",0,INDEX(Parámetros!$E$27:$E$31,MATCH(Z28,Parámetros!$A$27:$A$31,0))))</f>
        <v/>
      </c>
      <c r="V28" s="13" t="s">
        <v>382</v>
      </c>
      <c r="W28" s="19" t="n">
        <v>1.28</v>
      </c>
      <c r="X28" s="18" t="s">
        <v>402</v>
      </c>
      <c r="Y28" s="7" t="s">
        <v>397</v>
      </c>
      <c r="Z28" s="7" t="s">
        <v>50</v>
      </c>
      <c r="AA28" s="7" t="s">
        <v>384</v>
      </c>
      <c r="AB28" s="16" t="n">
        <f aca="false">IF(COUNTIFS(Packs!$D$2:$D$70,A28,Packs!$F$2:$F$70,"&gt;0")=0,"",_xlfn.MINIFS(Packs!$F$2:$F$70,Packs!$D$2:$D$70,A28,Packs!$F$2:$F$70,"&gt;0"))</f>
        <v>4.4875</v>
      </c>
      <c r="AC28" s="13" t="n">
        <f aca="false">COUNTIF(Packs!$D$2:$D$70,A28)</f>
        <v>1</v>
      </c>
    </row>
    <row r="29" customFormat="false" ht="15" hidden="false" customHeight="false" outlineLevel="0" collapsed="false">
      <c r="A29" s="7" t="s">
        <v>213</v>
      </c>
      <c r="B29" s="7" t="s">
        <v>398</v>
      </c>
      <c r="C29" s="7" t="s">
        <v>399</v>
      </c>
      <c r="D29" s="7" t="s">
        <v>393</v>
      </c>
      <c r="E29" s="7" t="s">
        <v>400</v>
      </c>
      <c r="F29" s="7" t="s">
        <v>401</v>
      </c>
      <c r="G29" s="7" t="n">
        <v>50</v>
      </c>
      <c r="H29" s="7"/>
      <c r="I29" s="20" t="s">
        <v>36</v>
      </c>
      <c r="J29" s="7" t="n">
        <v>16</v>
      </c>
      <c r="K29" s="7" t="s">
        <v>381</v>
      </c>
      <c r="L29" s="9" t="n">
        <f aca="false">INDEX(Parámetros!$D$5:$D$12,MATCH(G29,Parámetros!$A$5:$A$12,0))</f>
        <v>40.8</v>
      </c>
      <c r="M29" s="9" t="n">
        <f aca="false">INDEX(Parámetros!$D$5:$D$12,MATCH(IF(H29="",G29,H29),Parámetros!$A$5:$A$12,0))</f>
        <v>40.8</v>
      </c>
      <c r="N29" s="9" t="n">
        <f aca="false">INDEX(Parámetros!$E$5:$E$12,MATCH(G29,Parámetros!$A$5:$A$12,0))</f>
        <v>35</v>
      </c>
      <c r="O29" s="8"/>
      <c r="P29" s="17" t="n">
        <f aca="false">INDEX(Parámetros!$G$5:$G$12,MATCH(G29,Parámetros!$A$5:$A$12,0))</f>
        <v>0.021</v>
      </c>
      <c r="Q29" s="17" t="n">
        <f aca="false">IF(Z29="","",INDEX(Parámetros!$C$27:$C$31,MATCH(Z29,Parámetros!$A$27:$A$31,0))*P29)</f>
        <v>0</v>
      </c>
      <c r="R29" s="11"/>
      <c r="S29" s="17" t="n">
        <f aca="false">(Q29+0.5*(1-(N29/L29)^2)+(1-(N29/M29)^2)^2)*(M29/N29)^4+IF(Z29="",0,INDEX(Parámetros!$E$27:$E$31,MATCH(Z29,Parámetros!$A$27:$A$31,0)))</f>
        <v>0.372647726380675</v>
      </c>
      <c r="T29" s="11"/>
      <c r="U29" s="17" t="str">
        <f aca="false">IF(H29="","",(Q29+0.5*(1-(N29/M29)^2)+(1-(N29/L29)^2)^2)*(M29/N29)^4+IF(Z29="",0,INDEX(Parámetros!$E$27:$E$31,MATCH(Z29,Parámetros!$A$27:$A$31,0))))</f>
        <v/>
      </c>
      <c r="V29" s="13" t="s">
        <v>382</v>
      </c>
      <c r="W29" s="19" t="n">
        <v>1.28</v>
      </c>
      <c r="X29" s="18" t="s">
        <v>402</v>
      </c>
      <c r="Y29" s="7" t="s">
        <v>397</v>
      </c>
      <c r="Z29" s="7" t="s">
        <v>50</v>
      </c>
      <c r="AA29" s="7" t="s">
        <v>384</v>
      </c>
      <c r="AB29" s="16" t="n">
        <f aca="false">IF(COUNTIFS(Packs!$D$2:$D$70,A29,Packs!$F$2:$F$70,"&gt;0")=0,"",_xlfn.MINIFS(Packs!$F$2:$F$70,Packs!$D$2:$D$70,A29,Packs!$F$2:$F$70,"&gt;0"))</f>
        <v>5.7375</v>
      </c>
      <c r="AC29" s="13" t="n">
        <f aca="false">COUNTIF(Packs!$D$2:$D$70,A29)</f>
        <v>1</v>
      </c>
    </row>
    <row r="30" customFormat="false" ht="15" hidden="false" customHeight="false" outlineLevel="0" collapsed="false">
      <c r="A30" s="7" t="s">
        <v>217</v>
      </c>
      <c r="B30" s="7" t="s">
        <v>398</v>
      </c>
      <c r="C30" s="7" t="s">
        <v>399</v>
      </c>
      <c r="D30" s="7" t="s">
        <v>393</v>
      </c>
      <c r="E30" s="7" t="s">
        <v>400</v>
      </c>
      <c r="F30" s="7" t="s">
        <v>401</v>
      </c>
      <c r="G30" s="7" t="n">
        <v>63</v>
      </c>
      <c r="H30" s="7"/>
      <c r="I30" s="20" t="s">
        <v>37</v>
      </c>
      <c r="J30" s="7" t="n">
        <v>16</v>
      </c>
      <c r="K30" s="7" t="s">
        <v>381</v>
      </c>
      <c r="L30" s="9" t="n">
        <f aca="false">INDEX(Parámetros!$D$5:$D$12,MATCH(G30,Parámetros!$A$5:$A$12,0))</f>
        <v>51.4</v>
      </c>
      <c r="M30" s="9" t="n">
        <f aca="false">INDEX(Parámetros!$D$5:$D$12,MATCH(IF(H30="",G30,H30),Parámetros!$A$5:$A$12,0))</f>
        <v>51.4</v>
      </c>
      <c r="N30" s="9" t="n">
        <f aca="false">INDEX(Parámetros!$E$5:$E$12,MATCH(G30,Parámetros!$A$5:$A$12,0))</f>
        <v>45</v>
      </c>
      <c r="O30" s="8"/>
      <c r="P30" s="17" t="n">
        <f aca="false">INDEX(Parámetros!$G$5:$G$12,MATCH(G30,Parámetros!$A$5:$A$12,0))</f>
        <v>0.019</v>
      </c>
      <c r="Q30" s="17" t="n">
        <f aca="false">IF(Z30="","",INDEX(Parámetros!$C$27:$C$31,MATCH(Z30,Parámetros!$A$27:$A$31,0))*P30)</f>
        <v>0</v>
      </c>
      <c r="R30" s="11"/>
      <c r="S30" s="17" t="n">
        <f aca="false">(Q30+0.5*(1-(N30/L30)^2)+(1-(N30/M30)^2)^2)*(M30/N30)^4+IF(Z30="",0,INDEX(Parámetros!$E$27:$E$31,MATCH(Z30,Parámetros!$A$27:$A$31,0)))</f>
        <v>0.291572982752629</v>
      </c>
      <c r="T30" s="11"/>
      <c r="U30" s="17" t="str">
        <f aca="false">IF(H30="","",(Q30+0.5*(1-(N30/M30)^2)+(1-(N30/L30)^2)^2)*(M30/N30)^4+IF(Z30="",0,INDEX(Parámetros!$E$27:$E$31,MATCH(Z30,Parámetros!$A$27:$A$31,0))))</f>
        <v/>
      </c>
      <c r="V30" s="13" t="s">
        <v>382</v>
      </c>
      <c r="W30" s="19" t="n">
        <v>1.28</v>
      </c>
      <c r="X30" s="18" t="s">
        <v>402</v>
      </c>
      <c r="Y30" s="7" t="s">
        <v>397</v>
      </c>
      <c r="Z30" s="7" t="s">
        <v>50</v>
      </c>
      <c r="AA30" s="7" t="s">
        <v>384</v>
      </c>
      <c r="AB30" s="16" t="str">
        <f aca="false">IF(COUNTIFS(Packs!$D$2:$D$70,A30,Packs!$F$2:$F$70,"&gt;0")=0,"",_xlfn.MINIFS(Packs!$F$2:$F$70,Packs!$D$2:$D$70,A30,Packs!$F$2:$F$70,"&gt;0"))</f>
        <v/>
      </c>
      <c r="AC30" s="13" t="n">
        <f aca="false">COUNTIF(Packs!$D$2:$D$70,A30)</f>
        <v>1</v>
      </c>
    </row>
    <row r="31" customFormat="false" ht="15" hidden="false" customHeight="false" outlineLevel="0" collapsed="false">
      <c r="A31" s="7" t="s">
        <v>221</v>
      </c>
      <c r="B31" s="7" t="s">
        <v>398</v>
      </c>
      <c r="C31" s="7" t="s">
        <v>399</v>
      </c>
      <c r="D31" s="7" t="s">
        <v>393</v>
      </c>
      <c r="E31" s="7" t="s">
        <v>400</v>
      </c>
      <c r="F31" s="7" t="s">
        <v>401</v>
      </c>
      <c r="G31" s="7" t="n">
        <v>75</v>
      </c>
      <c r="H31" s="7"/>
      <c r="I31" s="20" t="s">
        <v>38</v>
      </c>
      <c r="J31" s="7" t="n">
        <v>16</v>
      </c>
      <c r="K31" s="7" t="s">
        <v>381</v>
      </c>
      <c r="L31" s="9" t="n">
        <f aca="false">INDEX(Parámetros!$D$5:$D$12,MATCH(G31,Parámetros!$A$5:$A$12,0))</f>
        <v>61.4</v>
      </c>
      <c r="M31" s="9" t="n">
        <f aca="false">INDEX(Parámetros!$D$5:$D$12,MATCH(IF(H31="",G31,H31),Parámetros!$A$5:$A$12,0))</f>
        <v>61.4</v>
      </c>
      <c r="N31" s="9" t="n">
        <f aca="false">INDEX(Parámetros!$E$5:$E$12,MATCH(G31,Parámetros!$A$5:$A$12,0))</f>
        <v>54</v>
      </c>
      <c r="O31" s="8"/>
      <c r="P31" s="17" t="n">
        <f aca="false">INDEX(Parámetros!$G$5:$G$12,MATCH(G31,Parámetros!$A$5:$A$12,0))</f>
        <v>0.018</v>
      </c>
      <c r="Q31" s="17" t="n">
        <f aca="false">IF(Z31="","",INDEX(Parámetros!$C$27:$C$31,MATCH(Z31,Parámetros!$A$27:$A$31,0))*P31)</f>
        <v>0</v>
      </c>
      <c r="R31" s="11"/>
      <c r="S31" s="17" t="n">
        <f aca="false">(Q31+0.5*(1-(N31/L31)^2)+(1-(N31/M31)^2)^2)*(M31/N31)^4+IF(Z31="",0,INDEX(Parámetros!$E$27:$E$31,MATCH(Z31,Parámetros!$A$27:$A$31,0)))</f>
        <v>0.275071127651047</v>
      </c>
      <c r="T31" s="11"/>
      <c r="U31" s="17" t="str">
        <f aca="false">IF(H31="","",(Q31+0.5*(1-(N31/M31)^2)+(1-(N31/L31)^2)^2)*(M31/N31)^4+IF(Z31="",0,INDEX(Parámetros!$E$27:$E$31,MATCH(Z31,Parámetros!$A$27:$A$31,0))))</f>
        <v/>
      </c>
      <c r="V31" s="13" t="s">
        <v>382</v>
      </c>
      <c r="W31" s="19" t="n">
        <v>1.28</v>
      </c>
      <c r="X31" s="18" t="s">
        <v>402</v>
      </c>
      <c r="Y31" s="7" t="s">
        <v>397</v>
      </c>
      <c r="Z31" s="7" t="s">
        <v>50</v>
      </c>
      <c r="AA31" s="7" t="s">
        <v>384</v>
      </c>
      <c r="AB31" s="16" t="n">
        <f aca="false">IF(COUNTIFS(Packs!$D$2:$D$70,A31,Packs!$F$2:$F$70,"&gt;0")=0,"",_xlfn.MINIFS(Packs!$F$2:$F$70,Packs!$D$2:$D$70,A31,Packs!$F$2:$F$70,"&gt;0"))</f>
        <v>14.4875</v>
      </c>
      <c r="AC31" s="13" t="n">
        <f aca="false">COUNTIF(Packs!$D$2:$D$70,A31)</f>
        <v>1</v>
      </c>
    </row>
    <row r="32" customFormat="false" ht="15" hidden="false" customHeight="false" outlineLevel="0" collapsed="false">
      <c r="A32" s="7" t="s">
        <v>225</v>
      </c>
      <c r="B32" s="7" t="s">
        <v>398</v>
      </c>
      <c r="C32" s="7" t="s">
        <v>399</v>
      </c>
      <c r="D32" s="7" t="s">
        <v>393</v>
      </c>
      <c r="E32" s="7" t="s">
        <v>400</v>
      </c>
      <c r="F32" s="7" t="s">
        <v>401</v>
      </c>
      <c r="G32" s="7" t="n">
        <v>90</v>
      </c>
      <c r="H32" s="7"/>
      <c r="I32" s="20" t="s">
        <v>39</v>
      </c>
      <c r="J32" s="7" t="n">
        <v>16</v>
      </c>
      <c r="K32" s="7" t="s">
        <v>381</v>
      </c>
      <c r="L32" s="9" t="n">
        <f aca="false">INDEX(Parámetros!$D$5:$D$12,MATCH(G32,Parámetros!$A$5:$A$12,0))</f>
        <v>73.6</v>
      </c>
      <c r="M32" s="9" t="n">
        <f aca="false">INDEX(Parámetros!$D$5:$D$12,MATCH(IF(H32="",G32,H32),Parámetros!$A$5:$A$12,0))</f>
        <v>73.6</v>
      </c>
      <c r="N32" s="9" t="n">
        <f aca="false">INDEX(Parámetros!$E$5:$E$12,MATCH(G32,Parámetros!$A$5:$A$12,0))</f>
        <v>66</v>
      </c>
      <c r="O32" s="8"/>
      <c r="P32" s="17" t="n">
        <f aca="false">INDEX(Parámetros!$G$5:$G$12,MATCH(G32,Parámetros!$A$5:$A$12,0))</f>
        <v>0.018</v>
      </c>
      <c r="Q32" s="17" t="n">
        <f aca="false">IF(Z32="","",INDEX(Parámetros!$C$27:$C$31,MATCH(Z32,Parámetros!$A$27:$A$31,0))*P32)</f>
        <v>0</v>
      </c>
      <c r="R32" s="11"/>
      <c r="S32" s="17" t="n">
        <f aca="false">(Q32+0.5*(1-(N32/L32)^2)+(1-(N32/M32)^2)^2)*(M32/N32)^4+IF(Z32="",0,INDEX(Parámetros!$E$27:$E$31,MATCH(Z32,Parámetros!$A$27:$A$31,0)))</f>
        <v>0.210765781531822</v>
      </c>
      <c r="T32" s="11"/>
      <c r="U32" s="17" t="str">
        <f aca="false">IF(H32="","",(Q32+0.5*(1-(N32/M32)^2)+(1-(N32/L32)^2)^2)*(M32/N32)^4+IF(Z32="",0,INDEX(Parámetros!$E$27:$E$31,MATCH(Z32,Parámetros!$A$27:$A$31,0))))</f>
        <v/>
      </c>
      <c r="V32" s="13" t="s">
        <v>382</v>
      </c>
      <c r="W32" s="19" t="n">
        <v>1.28</v>
      </c>
      <c r="X32" s="18" t="s">
        <v>402</v>
      </c>
      <c r="Y32" s="7" t="s">
        <v>397</v>
      </c>
      <c r="Z32" s="7" t="s">
        <v>50</v>
      </c>
      <c r="AA32" s="7" t="s">
        <v>384</v>
      </c>
      <c r="AB32" s="16" t="n">
        <f aca="false">IF(COUNTIFS(Packs!$D$2:$D$70,A32,Packs!$F$2:$F$70,"&gt;0")=0,"",_xlfn.MINIFS(Packs!$F$2:$F$70,Packs!$D$2:$D$70,A32,Packs!$F$2:$F$70,"&gt;0"))</f>
        <v>20.4875</v>
      </c>
      <c r="AC32" s="13" t="n">
        <f aca="false">COUNTIF(Packs!$D$2:$D$70,A32)</f>
        <v>1</v>
      </c>
    </row>
    <row r="33" customFormat="false" ht="15" hidden="false" customHeight="false" outlineLevel="0" collapsed="false">
      <c r="A33" s="7" t="s">
        <v>294</v>
      </c>
      <c r="B33" s="7" t="s">
        <v>403</v>
      </c>
      <c r="C33" s="7" t="s">
        <v>404</v>
      </c>
      <c r="D33" s="7" t="s">
        <v>405</v>
      </c>
      <c r="E33" s="7" t="s">
        <v>406</v>
      </c>
      <c r="F33" s="7" t="s">
        <v>380</v>
      </c>
      <c r="G33" s="7" t="n">
        <v>20</v>
      </c>
      <c r="H33" s="7"/>
      <c r="I33" s="7"/>
      <c r="J33" s="7" t="n">
        <v>16</v>
      </c>
      <c r="K33" s="7" t="s">
        <v>381</v>
      </c>
      <c r="L33" s="9" t="n">
        <f aca="false">INDEX(Parámetros!$D$5:$D$12,MATCH(G33,Parámetros!$A$5:$A$12,0))</f>
        <v>16</v>
      </c>
      <c r="M33" s="9" t="n">
        <f aca="false">INDEX(Parámetros!$D$5:$D$12,MATCH(IF(H33="",G33,H33),Parámetros!$A$5:$A$12,0))</f>
        <v>16</v>
      </c>
      <c r="N33" s="9" t="n">
        <f aca="false">INDEX(Parámetros!$E$5:$E$12,MATCH(G33,Parámetros!$A$5:$A$12,0))</f>
        <v>13</v>
      </c>
      <c r="O33" s="8"/>
      <c r="P33" s="17" t="n">
        <f aca="false">INDEX(Parámetros!$G$5:$G$12,MATCH(G33,Parámetros!$A$5:$A$12,0))</f>
        <v>0.027</v>
      </c>
      <c r="Q33" s="17" t="n">
        <f aca="false">IF(Z33="","",INDEX(Parámetros!$C$27:$C$31,MATCH(Z33,Parámetros!$A$27:$A$31,0))*P33)</f>
        <v>0.81</v>
      </c>
      <c r="R33" s="11"/>
      <c r="S33" s="17" t="n">
        <f aca="false">(Q33+0.5*(1-(N33/L33)^2)+(1-(N33/M33)^2)^2)*(M33/N33)^4+IF(Z33="",0,INDEX(Parámetros!$E$27:$E$31,MATCH(Z33,Parámetros!$A$27:$A$31,0)))</f>
        <v>2.51353804138511</v>
      </c>
      <c r="T33" s="11"/>
      <c r="U33" s="17" t="str">
        <f aca="false">IF(H33="","",(Q33+0.5*(1-(N33/M33)^2)+(1-(N33/L33)^2)^2)*(M33/N33)^4+IF(Z33="",0,INDEX(Parámetros!$E$27:$E$31,MATCH(Z33,Parámetros!$A$27:$A$31,0))))</f>
        <v/>
      </c>
      <c r="V33" s="13" t="s">
        <v>407</v>
      </c>
      <c r="W33" s="19" t="n">
        <v>2.02</v>
      </c>
      <c r="X33" s="18" t="s">
        <v>408</v>
      </c>
      <c r="Y33" s="7"/>
      <c r="Z33" s="7" t="s">
        <v>53</v>
      </c>
      <c r="AA33" s="7" t="s">
        <v>384</v>
      </c>
      <c r="AB33" s="16" t="n">
        <f aca="false">IF(COUNTIFS(Packs!$D$2:$D$70,A33,Packs!$F$2:$F$70,"&gt;0")=0,"",_xlfn.MINIFS(Packs!$F$2:$F$70,Packs!$D$2:$D$70,A33,Packs!$F$2:$F$70,"&gt;0"))</f>
        <v>2.2375</v>
      </c>
      <c r="AC33" s="13" t="n">
        <f aca="false">COUNTIF(Packs!$D$2:$D$70,A33)</f>
        <v>1</v>
      </c>
    </row>
    <row r="34" customFormat="false" ht="15" hidden="false" customHeight="false" outlineLevel="0" collapsed="false">
      <c r="A34" s="7" t="s">
        <v>298</v>
      </c>
      <c r="B34" s="7" t="s">
        <v>403</v>
      </c>
      <c r="C34" s="7" t="s">
        <v>404</v>
      </c>
      <c r="D34" s="7" t="s">
        <v>405</v>
      </c>
      <c r="E34" s="7" t="s">
        <v>406</v>
      </c>
      <c r="F34" s="7" t="s">
        <v>380</v>
      </c>
      <c r="G34" s="7" t="n">
        <v>25</v>
      </c>
      <c r="H34" s="7"/>
      <c r="I34" s="7"/>
      <c r="J34" s="7" t="n">
        <v>16</v>
      </c>
      <c r="K34" s="7" t="s">
        <v>381</v>
      </c>
      <c r="L34" s="9" t="n">
        <f aca="false">INDEX(Parámetros!$D$5:$D$12,MATCH(G34,Parámetros!$A$5:$A$12,0))</f>
        <v>20.4</v>
      </c>
      <c r="M34" s="9" t="n">
        <f aca="false">INDEX(Parámetros!$D$5:$D$12,MATCH(IF(H34="",G34,H34),Parámetros!$A$5:$A$12,0))</f>
        <v>20.4</v>
      </c>
      <c r="N34" s="9" t="n">
        <f aca="false">INDEX(Parámetros!$E$5:$E$12,MATCH(G34,Parámetros!$A$5:$A$12,0))</f>
        <v>17</v>
      </c>
      <c r="O34" s="8"/>
      <c r="P34" s="17" t="n">
        <f aca="false">INDEX(Parámetros!$G$5:$G$12,MATCH(G34,Parámetros!$A$5:$A$12,0))</f>
        <v>0.025</v>
      </c>
      <c r="Q34" s="17" t="n">
        <f aca="false">IF(Z34="","",INDEX(Parámetros!$C$27:$C$31,MATCH(Z34,Parámetros!$A$27:$A$31,0))*P34)</f>
        <v>0.75</v>
      </c>
      <c r="R34" s="11"/>
      <c r="S34" s="17" t="n">
        <f aca="false">(Q34+0.5*(1-(N34/L34)^2)+(1-(N34/M34)^2)^2)*(M34/N34)^4+IF(Z34="",0,INDEX(Parámetros!$E$27:$E$31,MATCH(Z34,Parámetros!$A$27:$A$31,0)))</f>
        <v>2.0656</v>
      </c>
      <c r="T34" s="11"/>
      <c r="U34" s="17" t="str">
        <f aca="false">IF(H34="","",(Q34+0.5*(1-(N34/M34)^2)+(1-(N34/L34)^2)^2)*(M34/N34)^4+IF(Z34="",0,INDEX(Parámetros!$E$27:$E$31,MATCH(Z34,Parámetros!$A$27:$A$31,0))))</f>
        <v/>
      </c>
      <c r="V34" s="13" t="s">
        <v>407</v>
      </c>
      <c r="W34" s="19" t="n">
        <v>2.02</v>
      </c>
      <c r="X34" s="18" t="s">
        <v>408</v>
      </c>
      <c r="Y34" s="7"/>
      <c r="Z34" s="7" t="s">
        <v>53</v>
      </c>
      <c r="AA34" s="7" t="s">
        <v>384</v>
      </c>
      <c r="AB34" s="16" t="n">
        <f aca="false">IF(COUNTIFS(Packs!$D$2:$D$70,A34,Packs!$F$2:$F$70,"&gt;0")=0,"",_xlfn.MINIFS(Packs!$F$2:$F$70,Packs!$D$2:$D$70,A34,Packs!$F$2:$F$70,"&gt;0"))</f>
        <v>2.7375</v>
      </c>
      <c r="AC34" s="13" t="n">
        <f aca="false">COUNTIF(Packs!$D$2:$D$70,A34)</f>
        <v>1</v>
      </c>
    </row>
    <row r="35" customFormat="false" ht="15" hidden="false" customHeight="false" outlineLevel="0" collapsed="false">
      <c r="A35" s="7" t="s">
        <v>302</v>
      </c>
      <c r="B35" s="7" t="s">
        <v>403</v>
      </c>
      <c r="C35" s="7" t="s">
        <v>404</v>
      </c>
      <c r="D35" s="7" t="s">
        <v>405</v>
      </c>
      <c r="E35" s="7" t="s">
        <v>406</v>
      </c>
      <c r="F35" s="7" t="s">
        <v>380</v>
      </c>
      <c r="G35" s="7" t="n">
        <v>32</v>
      </c>
      <c r="H35" s="7"/>
      <c r="I35" s="7"/>
      <c r="J35" s="7" t="n">
        <v>16</v>
      </c>
      <c r="K35" s="7" t="s">
        <v>381</v>
      </c>
      <c r="L35" s="9" t="n">
        <f aca="false">INDEX(Parámetros!$D$5:$D$12,MATCH(G35,Parámetros!$A$5:$A$12,0))</f>
        <v>26.2</v>
      </c>
      <c r="M35" s="9" t="n">
        <f aca="false">INDEX(Parámetros!$D$5:$D$12,MATCH(IF(H35="",G35,H35),Parámetros!$A$5:$A$12,0))</f>
        <v>26.2</v>
      </c>
      <c r="N35" s="9" t="n">
        <f aca="false">INDEX(Parámetros!$E$5:$E$12,MATCH(G35,Parámetros!$A$5:$A$12,0))</f>
        <v>22</v>
      </c>
      <c r="O35" s="8"/>
      <c r="P35" s="17" t="n">
        <f aca="false">INDEX(Parámetros!$G$5:$G$12,MATCH(G35,Parámetros!$A$5:$A$12,0))</f>
        <v>0.023</v>
      </c>
      <c r="Q35" s="17" t="n">
        <f aca="false">IF(Z35="","",INDEX(Parámetros!$C$27:$C$31,MATCH(Z35,Parámetros!$A$27:$A$31,0))*P35)</f>
        <v>0.69</v>
      </c>
      <c r="R35" s="11"/>
      <c r="S35" s="17" t="n">
        <f aca="false">(Q35+0.5*(1-(N35/L35)^2)+(1-(N35/M35)^2)^2)*(M35/N35)^4+IF(Z35="",0,INDEX(Parámetros!$E$27:$E$31,MATCH(Z35,Parámetros!$A$27:$A$31,0)))</f>
        <v>1.85946709234342</v>
      </c>
      <c r="T35" s="11"/>
      <c r="U35" s="17" t="str">
        <f aca="false">IF(H35="","",(Q35+0.5*(1-(N35/M35)^2)+(1-(N35/L35)^2)^2)*(M35/N35)^4+IF(Z35="",0,INDEX(Parámetros!$E$27:$E$31,MATCH(Z35,Parámetros!$A$27:$A$31,0))))</f>
        <v/>
      </c>
      <c r="V35" s="13" t="s">
        <v>407</v>
      </c>
      <c r="W35" s="19" t="n">
        <v>2.02</v>
      </c>
      <c r="X35" s="18" t="s">
        <v>408</v>
      </c>
      <c r="Y35" s="7"/>
      <c r="Z35" s="7" t="s">
        <v>53</v>
      </c>
      <c r="AA35" s="7" t="s">
        <v>384</v>
      </c>
      <c r="AB35" s="16" t="n">
        <f aca="false">IF(COUNTIFS(Packs!$D$2:$D$70,A35,Packs!$F$2:$F$70,"&gt;0")=0,"",_xlfn.MINIFS(Packs!$F$2:$F$70,Packs!$D$2:$D$70,A35,Packs!$F$2:$F$70,"&gt;0"))</f>
        <v>3.4875</v>
      </c>
      <c r="AC35" s="13" t="n">
        <f aca="false">COUNTIF(Packs!$D$2:$D$70,A35)</f>
        <v>1</v>
      </c>
    </row>
    <row r="36" customFormat="false" ht="15" hidden="false" customHeight="false" outlineLevel="0" collapsed="false">
      <c r="A36" s="7" t="s">
        <v>409</v>
      </c>
      <c r="B36" s="7" t="s">
        <v>403</v>
      </c>
      <c r="C36" s="7" t="s">
        <v>404</v>
      </c>
      <c r="D36" s="7" t="s">
        <v>405</v>
      </c>
      <c r="E36" s="7" t="s">
        <v>406</v>
      </c>
      <c r="F36" s="7" t="s">
        <v>380</v>
      </c>
      <c r="G36" s="7" t="n">
        <v>40</v>
      </c>
      <c r="H36" s="7"/>
      <c r="I36" s="7"/>
      <c r="J36" s="7" t="n">
        <v>16</v>
      </c>
      <c r="K36" s="7" t="s">
        <v>381</v>
      </c>
      <c r="L36" s="9" t="n">
        <f aca="false">INDEX(Parámetros!$D$5:$D$12,MATCH(G36,Parámetros!$A$5:$A$12,0))</f>
        <v>32.6</v>
      </c>
      <c r="M36" s="9" t="n">
        <f aca="false">INDEX(Parámetros!$D$5:$D$12,MATCH(IF(H36="",G36,H36),Parámetros!$A$5:$A$12,0))</f>
        <v>32.6</v>
      </c>
      <c r="N36" s="9" t="n">
        <f aca="false">INDEX(Parámetros!$E$5:$E$12,MATCH(G36,Parámetros!$A$5:$A$12,0))</f>
        <v>28</v>
      </c>
      <c r="O36" s="8"/>
      <c r="P36" s="17" t="n">
        <f aca="false">INDEX(Parámetros!$G$5:$G$12,MATCH(G36,Parámetros!$A$5:$A$12,0))</f>
        <v>0.022</v>
      </c>
      <c r="Q36" s="17" t="n">
        <f aca="false">IF(Z36="","",INDEX(Parámetros!$C$27:$C$31,MATCH(Z36,Parámetros!$A$27:$A$31,0))*P36)</f>
        <v>0.66</v>
      </c>
      <c r="R36" s="11"/>
      <c r="S36" s="17" t="n">
        <f aca="false">(Q36+0.5*(1-(N36/L36)^2)+(1-(N36/M36)^2)^2)*(M36/N36)^4+IF(Z36="",0,INDEX(Parámetros!$E$27:$E$31,MATCH(Z36,Parámetros!$A$27:$A$31,0)))</f>
        <v>1.5801968027905</v>
      </c>
      <c r="T36" s="11"/>
      <c r="U36" s="17" t="str">
        <f aca="false">IF(H36="","",(Q36+0.5*(1-(N36/M36)^2)+(1-(N36/L36)^2)^2)*(M36/N36)^4+IF(Z36="",0,INDEX(Parámetros!$E$27:$E$31,MATCH(Z36,Parámetros!$A$27:$A$31,0))))</f>
        <v/>
      </c>
      <c r="V36" s="13" t="s">
        <v>407</v>
      </c>
      <c r="W36" s="19" t="n">
        <v>2.02</v>
      </c>
      <c r="X36" s="18" t="s">
        <v>408</v>
      </c>
      <c r="Y36" s="7"/>
      <c r="Z36" s="7" t="s">
        <v>53</v>
      </c>
      <c r="AA36" s="7" t="s">
        <v>384</v>
      </c>
      <c r="AB36" s="16" t="str">
        <f aca="false">IF(COUNTIFS(Packs!$D$2:$D$70,A36,Packs!$F$2:$F$70,"&gt;0")=0,"",_xlfn.MINIFS(Packs!$F$2:$F$70,Packs!$D$2:$D$70,A36,Packs!$F$2:$F$70,"&gt;0"))</f>
        <v/>
      </c>
      <c r="AC36" s="13" t="n">
        <f aca="false">COUNTIF(Packs!$D$2:$D$70,A36)</f>
        <v>0</v>
      </c>
    </row>
    <row r="37" customFormat="false" ht="15" hidden="false" customHeight="false" outlineLevel="0" collapsed="false">
      <c r="A37" s="7" t="s">
        <v>410</v>
      </c>
      <c r="B37" s="7" t="s">
        <v>403</v>
      </c>
      <c r="C37" s="7" t="s">
        <v>404</v>
      </c>
      <c r="D37" s="7" t="s">
        <v>405</v>
      </c>
      <c r="E37" s="7" t="s">
        <v>406</v>
      </c>
      <c r="F37" s="7" t="s">
        <v>380</v>
      </c>
      <c r="G37" s="7" t="n">
        <v>50</v>
      </c>
      <c r="H37" s="7"/>
      <c r="I37" s="7"/>
      <c r="J37" s="7" t="n">
        <v>16</v>
      </c>
      <c r="K37" s="7" t="s">
        <v>381</v>
      </c>
      <c r="L37" s="9" t="n">
        <f aca="false">INDEX(Parámetros!$D$5:$D$12,MATCH(G37,Parámetros!$A$5:$A$12,0))</f>
        <v>40.8</v>
      </c>
      <c r="M37" s="9" t="n">
        <f aca="false">INDEX(Parámetros!$D$5:$D$12,MATCH(IF(H37="",G37,H37),Parámetros!$A$5:$A$12,0))</f>
        <v>40.8</v>
      </c>
      <c r="N37" s="9" t="n">
        <f aca="false">INDEX(Parámetros!$E$5:$E$12,MATCH(G37,Parámetros!$A$5:$A$12,0))</f>
        <v>35</v>
      </c>
      <c r="O37" s="8"/>
      <c r="P37" s="17" t="n">
        <f aca="false">INDEX(Parámetros!$G$5:$G$12,MATCH(G37,Parámetros!$A$5:$A$12,0))</f>
        <v>0.021</v>
      </c>
      <c r="Q37" s="17" t="n">
        <f aca="false">IF(Z37="","",INDEX(Parámetros!$C$27:$C$31,MATCH(Z37,Parámetros!$A$27:$A$31,0))*P37)</f>
        <v>0.63</v>
      </c>
      <c r="R37" s="11"/>
      <c r="S37" s="17" t="n">
        <f aca="false">(Q37+0.5*(1-(N37/L37)^2)+(1-(N37/M37)^2)^2)*(M37/N37)^4+IF(Z37="",0,INDEX(Parámetros!$E$27:$E$31,MATCH(Z37,Parámetros!$A$27:$A$31,0)))</f>
        <v>1.53599405717484</v>
      </c>
      <c r="T37" s="11"/>
      <c r="U37" s="17" t="str">
        <f aca="false">IF(H37="","",(Q37+0.5*(1-(N37/M37)^2)+(1-(N37/L37)^2)^2)*(M37/N37)^4+IF(Z37="",0,INDEX(Parámetros!$E$27:$E$31,MATCH(Z37,Parámetros!$A$27:$A$31,0))))</f>
        <v/>
      </c>
      <c r="V37" s="13" t="s">
        <v>407</v>
      </c>
      <c r="W37" s="19" t="n">
        <v>2.02</v>
      </c>
      <c r="X37" s="18" t="s">
        <v>408</v>
      </c>
      <c r="Y37" s="7"/>
      <c r="Z37" s="7" t="s">
        <v>53</v>
      </c>
      <c r="AA37" s="7" t="s">
        <v>384</v>
      </c>
      <c r="AB37" s="16" t="str">
        <f aca="false">IF(COUNTIFS(Packs!$D$2:$D$70,A37,Packs!$F$2:$F$70,"&gt;0")=0,"",_xlfn.MINIFS(Packs!$F$2:$F$70,Packs!$D$2:$D$70,A37,Packs!$F$2:$F$70,"&gt;0"))</f>
        <v/>
      </c>
      <c r="AC37" s="13" t="n">
        <f aca="false">COUNTIF(Packs!$D$2:$D$70,A37)</f>
        <v>0</v>
      </c>
    </row>
    <row r="38" customFormat="false" ht="15" hidden="false" customHeight="false" outlineLevel="0" collapsed="false">
      <c r="A38" s="7" t="s">
        <v>411</v>
      </c>
      <c r="B38" s="7" t="s">
        <v>403</v>
      </c>
      <c r="C38" s="7" t="s">
        <v>404</v>
      </c>
      <c r="D38" s="7" t="s">
        <v>405</v>
      </c>
      <c r="E38" s="7" t="s">
        <v>406</v>
      </c>
      <c r="F38" s="7" t="s">
        <v>380</v>
      </c>
      <c r="G38" s="7" t="n">
        <v>63</v>
      </c>
      <c r="H38" s="7"/>
      <c r="I38" s="7"/>
      <c r="J38" s="7" t="n">
        <v>16</v>
      </c>
      <c r="K38" s="7" t="s">
        <v>381</v>
      </c>
      <c r="L38" s="9" t="n">
        <f aca="false">INDEX(Parámetros!$D$5:$D$12,MATCH(G38,Parámetros!$A$5:$A$12,0))</f>
        <v>51.4</v>
      </c>
      <c r="M38" s="9" t="n">
        <f aca="false">INDEX(Parámetros!$D$5:$D$12,MATCH(IF(H38="",G38,H38),Parámetros!$A$5:$A$12,0))</f>
        <v>51.4</v>
      </c>
      <c r="N38" s="9" t="n">
        <f aca="false">INDEX(Parámetros!$E$5:$E$12,MATCH(G38,Parámetros!$A$5:$A$12,0))</f>
        <v>45</v>
      </c>
      <c r="O38" s="8"/>
      <c r="P38" s="17" t="n">
        <f aca="false">INDEX(Parámetros!$G$5:$G$12,MATCH(G38,Parámetros!$A$5:$A$12,0))</f>
        <v>0.019</v>
      </c>
      <c r="Q38" s="17" t="n">
        <f aca="false">IF(Z38="","",INDEX(Parámetros!$C$27:$C$31,MATCH(Z38,Parámetros!$A$27:$A$31,0))*P38)</f>
        <v>0.57</v>
      </c>
      <c r="R38" s="11"/>
      <c r="S38" s="17" t="n">
        <f aca="false">(Q38+0.5*(1-(N38/L38)^2)+(1-(N38/M38)^2)^2)*(M38/N38)^4+IF(Z38="",0,INDEX(Parámetros!$E$27:$E$31,MATCH(Z38,Parámetros!$A$27:$A$31,0)))</f>
        <v>1.26180874088999</v>
      </c>
      <c r="T38" s="11"/>
      <c r="U38" s="17" t="str">
        <f aca="false">IF(H38="","",(Q38+0.5*(1-(N38/M38)^2)+(1-(N38/L38)^2)^2)*(M38/N38)^4+IF(Z38="",0,INDEX(Parámetros!$E$27:$E$31,MATCH(Z38,Parámetros!$A$27:$A$31,0))))</f>
        <v/>
      </c>
      <c r="V38" s="13" t="s">
        <v>407</v>
      </c>
      <c r="W38" s="19" t="n">
        <v>2.02</v>
      </c>
      <c r="X38" s="18" t="s">
        <v>408</v>
      </c>
      <c r="Y38" s="7"/>
      <c r="Z38" s="7" t="s">
        <v>53</v>
      </c>
      <c r="AA38" s="7" t="s">
        <v>384</v>
      </c>
      <c r="AB38" s="16" t="str">
        <f aca="false">IF(COUNTIFS(Packs!$D$2:$D$70,A38,Packs!$F$2:$F$70,"&gt;0")=0,"",_xlfn.MINIFS(Packs!$F$2:$F$70,Packs!$D$2:$D$70,A38,Packs!$F$2:$F$70,"&gt;0"))</f>
        <v/>
      </c>
      <c r="AC38" s="13" t="n">
        <f aca="false">COUNTIF(Packs!$D$2:$D$70,A38)</f>
        <v>0</v>
      </c>
    </row>
    <row r="39" customFormat="false" ht="15" hidden="false" customHeight="false" outlineLevel="0" collapsed="false">
      <c r="A39" s="7" t="s">
        <v>412</v>
      </c>
      <c r="B39" s="7" t="s">
        <v>403</v>
      </c>
      <c r="C39" s="7" t="s">
        <v>404</v>
      </c>
      <c r="D39" s="7" t="s">
        <v>405</v>
      </c>
      <c r="E39" s="7" t="s">
        <v>406</v>
      </c>
      <c r="F39" s="7" t="s">
        <v>380</v>
      </c>
      <c r="G39" s="7" t="n">
        <v>75</v>
      </c>
      <c r="H39" s="7"/>
      <c r="I39" s="7"/>
      <c r="J39" s="7" t="n">
        <v>16</v>
      </c>
      <c r="K39" s="7" t="s">
        <v>381</v>
      </c>
      <c r="L39" s="9" t="n">
        <f aca="false">INDEX(Parámetros!$D$5:$D$12,MATCH(G39,Parámetros!$A$5:$A$12,0))</f>
        <v>61.4</v>
      </c>
      <c r="M39" s="9" t="n">
        <f aca="false">INDEX(Parámetros!$D$5:$D$12,MATCH(IF(H39="",G39,H39),Parámetros!$A$5:$A$12,0))</f>
        <v>61.4</v>
      </c>
      <c r="N39" s="9" t="n">
        <f aca="false">INDEX(Parámetros!$E$5:$E$12,MATCH(G39,Parámetros!$A$5:$A$12,0))</f>
        <v>54</v>
      </c>
      <c r="O39" s="8"/>
      <c r="P39" s="17" t="n">
        <f aca="false">INDEX(Parámetros!$G$5:$G$12,MATCH(G39,Parámetros!$A$5:$A$12,0))</f>
        <v>0.018</v>
      </c>
      <c r="Q39" s="17" t="n">
        <f aca="false">IF(Z39="","",INDEX(Parámetros!$C$27:$C$31,MATCH(Z39,Parámetros!$A$27:$A$31,0))*P39)</f>
        <v>0.54</v>
      </c>
      <c r="R39" s="11"/>
      <c r="S39" s="17" t="n">
        <f aca="false">(Q39+0.5*(1-(N39/L39)^2)+(1-(N39/M39)^2)^2)*(M39/N39)^4+IF(Z39="",0,INDEX(Parámetros!$E$27:$E$31,MATCH(Z39,Parámetros!$A$27:$A$31,0)))</f>
        <v>1.17766463483999</v>
      </c>
      <c r="T39" s="11"/>
      <c r="U39" s="17" t="str">
        <f aca="false">IF(H39="","",(Q39+0.5*(1-(N39/M39)^2)+(1-(N39/L39)^2)^2)*(M39/N39)^4+IF(Z39="",0,INDEX(Parámetros!$E$27:$E$31,MATCH(Z39,Parámetros!$A$27:$A$31,0))))</f>
        <v/>
      </c>
      <c r="V39" s="13" t="s">
        <v>407</v>
      </c>
      <c r="W39" s="19" t="n">
        <v>2.02</v>
      </c>
      <c r="X39" s="18" t="s">
        <v>408</v>
      </c>
      <c r="Y39" s="7"/>
      <c r="Z39" s="7" t="s">
        <v>53</v>
      </c>
      <c r="AA39" s="7" t="s">
        <v>384</v>
      </c>
      <c r="AB39" s="16" t="str">
        <f aca="false">IF(COUNTIFS(Packs!$D$2:$D$70,A39,Packs!$F$2:$F$70,"&gt;0")=0,"",_xlfn.MINIFS(Packs!$F$2:$F$70,Packs!$D$2:$D$70,A39,Packs!$F$2:$F$70,"&gt;0"))</f>
        <v/>
      </c>
      <c r="AC39" s="13" t="n">
        <f aca="false">COUNTIF(Packs!$D$2:$D$70,A39)</f>
        <v>0</v>
      </c>
    </row>
    <row r="40" customFormat="false" ht="15" hidden="false" customHeight="false" outlineLevel="0" collapsed="false">
      <c r="A40" s="7" t="s">
        <v>413</v>
      </c>
      <c r="B40" s="7" t="s">
        <v>403</v>
      </c>
      <c r="C40" s="7" t="s">
        <v>404</v>
      </c>
      <c r="D40" s="7" t="s">
        <v>405</v>
      </c>
      <c r="E40" s="7" t="s">
        <v>406</v>
      </c>
      <c r="F40" s="7" t="s">
        <v>380</v>
      </c>
      <c r="G40" s="7" t="n">
        <v>90</v>
      </c>
      <c r="H40" s="7"/>
      <c r="I40" s="7"/>
      <c r="J40" s="7" t="n">
        <v>16</v>
      </c>
      <c r="K40" s="7" t="s">
        <v>381</v>
      </c>
      <c r="L40" s="9" t="n">
        <f aca="false">INDEX(Parámetros!$D$5:$D$12,MATCH(G40,Parámetros!$A$5:$A$12,0))</f>
        <v>73.6</v>
      </c>
      <c r="M40" s="9" t="n">
        <f aca="false">INDEX(Parámetros!$D$5:$D$12,MATCH(IF(H40="",G40,H40),Parámetros!$A$5:$A$12,0))</f>
        <v>73.6</v>
      </c>
      <c r="N40" s="9" t="n">
        <f aca="false">INDEX(Parámetros!$E$5:$E$12,MATCH(G40,Parámetros!$A$5:$A$12,0))</f>
        <v>66</v>
      </c>
      <c r="O40" s="8"/>
      <c r="P40" s="17" t="n">
        <f aca="false">INDEX(Parámetros!$G$5:$G$12,MATCH(G40,Parámetros!$A$5:$A$12,0))</f>
        <v>0.018</v>
      </c>
      <c r="Q40" s="17" t="n">
        <f aca="false">IF(Z40="","",INDEX(Parámetros!$C$27:$C$31,MATCH(Z40,Parámetros!$A$27:$A$31,0))*P40)</f>
        <v>0.54</v>
      </c>
      <c r="R40" s="11"/>
      <c r="S40" s="17" t="n">
        <f aca="false">(Q40+0.5*(1-(N40/L40)^2)+(1-(N40/M40)^2)^2)*(M40/N40)^4+IF(Z40="",0,INDEX(Parámetros!$E$27:$E$31,MATCH(Z40,Parámetros!$A$27:$A$31,0)))</f>
        <v>1.04584807445353</v>
      </c>
      <c r="T40" s="11"/>
      <c r="U40" s="17" t="str">
        <f aca="false">IF(H40="","",(Q40+0.5*(1-(N40/M40)^2)+(1-(N40/L40)^2)^2)*(M40/N40)^4+IF(Z40="",0,INDEX(Parámetros!$E$27:$E$31,MATCH(Z40,Parámetros!$A$27:$A$31,0))))</f>
        <v/>
      </c>
      <c r="V40" s="13" t="s">
        <v>407</v>
      </c>
      <c r="W40" s="19" t="n">
        <v>2.02</v>
      </c>
      <c r="X40" s="18" t="s">
        <v>408</v>
      </c>
      <c r="Y40" s="7"/>
      <c r="Z40" s="7" t="s">
        <v>53</v>
      </c>
      <c r="AA40" s="7" t="s">
        <v>384</v>
      </c>
      <c r="AB40" s="16" t="str">
        <f aca="false">IF(COUNTIFS(Packs!$D$2:$D$70,A40,Packs!$F$2:$F$70,"&gt;0")=0,"",_xlfn.MINIFS(Packs!$F$2:$F$70,Packs!$D$2:$D$70,A40,Packs!$F$2:$F$70,"&gt;0"))</f>
        <v/>
      </c>
      <c r="AC40" s="13" t="n">
        <f aca="false">COUNTIF(Packs!$D$2:$D$70,A40)</f>
        <v>0</v>
      </c>
    </row>
    <row r="41" customFormat="false" ht="15" hidden="false" customHeight="false" outlineLevel="0" collapsed="false">
      <c r="A41" s="7" t="s">
        <v>414</v>
      </c>
      <c r="B41" s="7" t="s">
        <v>415</v>
      </c>
      <c r="C41" s="7" t="s">
        <v>416</v>
      </c>
      <c r="D41" s="7" t="s">
        <v>405</v>
      </c>
      <c r="E41" s="7" t="s">
        <v>417</v>
      </c>
      <c r="F41" s="7" t="s">
        <v>395</v>
      </c>
      <c r="G41" s="7" t="n">
        <v>20</v>
      </c>
      <c r="H41" s="7"/>
      <c r="I41" s="20" t="s">
        <v>32</v>
      </c>
      <c r="J41" s="7" t="n">
        <v>16</v>
      </c>
      <c r="K41" s="7" t="s">
        <v>381</v>
      </c>
      <c r="L41" s="9" t="n">
        <f aca="false">INDEX(Parámetros!$D$5:$D$12,MATCH(G41,Parámetros!$A$5:$A$12,0))</f>
        <v>16</v>
      </c>
      <c r="M41" s="9" t="n">
        <f aca="false">INDEX(Parámetros!$D$5:$D$12,MATCH(IF(H41="",G41,H41),Parámetros!$A$5:$A$12,0))</f>
        <v>16</v>
      </c>
      <c r="N41" s="9" t="n">
        <f aca="false">INDEX(Parámetros!$E$5:$E$12,MATCH(G41,Parámetros!$A$5:$A$12,0))</f>
        <v>13</v>
      </c>
      <c r="O41" s="8"/>
      <c r="P41" s="17" t="n">
        <f aca="false">INDEX(Parámetros!$G$5:$G$12,MATCH(G41,Parámetros!$A$5:$A$12,0))</f>
        <v>0.027</v>
      </c>
      <c r="Q41" s="17" t="n">
        <f aca="false">IF(Z41="","",INDEX(Parámetros!$C$27:$C$31,MATCH(Z41,Parámetros!$A$27:$A$31,0))*P41)</f>
        <v>0.81</v>
      </c>
      <c r="R41" s="11"/>
      <c r="S41" s="17" t="n">
        <f aca="false">(Q41+0.5*(1-(N41/L41)^2)+(1-(N41/M41)^2)^2)*(M41/N41)^4+IF(Z41="",0,INDEX(Parámetros!$E$27:$E$31,MATCH(Z41,Parámetros!$A$27:$A$31,0)))</f>
        <v>2.51353804138511</v>
      </c>
      <c r="T41" s="11"/>
      <c r="U41" s="17" t="str">
        <f aca="false">IF(H41="","",(Q41+0.5*(1-(N41/M41)^2)+(1-(N41/L41)^2)^2)*(M41/N41)^4+IF(Z41="",0,INDEX(Parámetros!$E$27:$E$31,MATCH(Z41,Parámetros!$A$27:$A$31,0))))</f>
        <v/>
      </c>
      <c r="V41" s="13" t="s">
        <v>407</v>
      </c>
      <c r="W41" s="19" t="n">
        <v>2</v>
      </c>
      <c r="X41" s="18" t="s">
        <v>418</v>
      </c>
      <c r="Y41" s="7" t="s">
        <v>419</v>
      </c>
      <c r="Z41" s="7" t="s">
        <v>53</v>
      </c>
      <c r="AA41" s="7" t="s">
        <v>384</v>
      </c>
      <c r="AB41" s="16" t="str">
        <f aca="false">IF(COUNTIFS(Packs!$D$2:$D$70,A41,Packs!$F$2:$F$70,"&gt;0")=0,"",_xlfn.MINIFS(Packs!$F$2:$F$70,Packs!$D$2:$D$70,A41,Packs!$F$2:$F$70,"&gt;0"))</f>
        <v/>
      </c>
      <c r="AC41" s="13" t="n">
        <f aca="false">COUNTIF(Packs!$D$2:$D$70,A41)</f>
        <v>0</v>
      </c>
    </row>
    <row r="42" customFormat="false" ht="15" hidden="false" customHeight="false" outlineLevel="0" collapsed="false">
      <c r="A42" s="7" t="s">
        <v>420</v>
      </c>
      <c r="B42" s="7" t="s">
        <v>415</v>
      </c>
      <c r="C42" s="7" t="s">
        <v>416</v>
      </c>
      <c r="D42" s="7" t="s">
        <v>405</v>
      </c>
      <c r="E42" s="7" t="s">
        <v>417</v>
      </c>
      <c r="F42" s="7" t="s">
        <v>395</v>
      </c>
      <c r="G42" s="7" t="n">
        <v>25</v>
      </c>
      <c r="H42" s="7"/>
      <c r="I42" s="20" t="s">
        <v>33</v>
      </c>
      <c r="J42" s="7" t="n">
        <v>16</v>
      </c>
      <c r="K42" s="7" t="s">
        <v>381</v>
      </c>
      <c r="L42" s="9" t="n">
        <f aca="false">INDEX(Parámetros!$D$5:$D$12,MATCH(G42,Parámetros!$A$5:$A$12,0))</f>
        <v>20.4</v>
      </c>
      <c r="M42" s="9" t="n">
        <f aca="false">INDEX(Parámetros!$D$5:$D$12,MATCH(IF(H42="",G42,H42),Parámetros!$A$5:$A$12,0))</f>
        <v>20.4</v>
      </c>
      <c r="N42" s="9" t="n">
        <f aca="false">INDEX(Parámetros!$E$5:$E$12,MATCH(G42,Parámetros!$A$5:$A$12,0))</f>
        <v>17</v>
      </c>
      <c r="O42" s="8"/>
      <c r="P42" s="17" t="n">
        <f aca="false">INDEX(Parámetros!$G$5:$G$12,MATCH(G42,Parámetros!$A$5:$A$12,0))</f>
        <v>0.025</v>
      </c>
      <c r="Q42" s="17" t="n">
        <f aca="false">IF(Z42="","",INDEX(Parámetros!$C$27:$C$31,MATCH(Z42,Parámetros!$A$27:$A$31,0))*P42)</f>
        <v>0.75</v>
      </c>
      <c r="R42" s="11"/>
      <c r="S42" s="17" t="n">
        <f aca="false">(Q42+0.5*(1-(N42/L42)^2)+(1-(N42/M42)^2)^2)*(M42/N42)^4+IF(Z42="",0,INDEX(Parámetros!$E$27:$E$31,MATCH(Z42,Parámetros!$A$27:$A$31,0)))</f>
        <v>2.0656</v>
      </c>
      <c r="T42" s="11"/>
      <c r="U42" s="17" t="str">
        <f aca="false">IF(H42="","",(Q42+0.5*(1-(N42/M42)^2)+(1-(N42/L42)^2)^2)*(M42/N42)^4+IF(Z42="",0,INDEX(Parámetros!$E$27:$E$31,MATCH(Z42,Parámetros!$A$27:$A$31,0))))</f>
        <v/>
      </c>
      <c r="V42" s="13" t="s">
        <v>407</v>
      </c>
      <c r="W42" s="19" t="n">
        <v>2</v>
      </c>
      <c r="X42" s="18" t="s">
        <v>418</v>
      </c>
      <c r="Y42" s="7" t="s">
        <v>419</v>
      </c>
      <c r="Z42" s="7" t="s">
        <v>53</v>
      </c>
      <c r="AA42" s="7" t="s">
        <v>384</v>
      </c>
      <c r="AB42" s="16" t="str">
        <f aca="false">IF(COUNTIFS(Packs!$D$2:$D$70,A42,Packs!$F$2:$F$70,"&gt;0")=0,"",_xlfn.MINIFS(Packs!$F$2:$F$70,Packs!$D$2:$D$70,A42,Packs!$F$2:$F$70,"&gt;0"))</f>
        <v/>
      </c>
      <c r="AC42" s="13" t="n">
        <f aca="false">COUNTIF(Packs!$D$2:$D$70,A42)</f>
        <v>0</v>
      </c>
    </row>
    <row r="43" customFormat="false" ht="15" hidden="false" customHeight="false" outlineLevel="0" collapsed="false">
      <c r="A43" s="7" t="s">
        <v>421</v>
      </c>
      <c r="B43" s="7" t="s">
        <v>415</v>
      </c>
      <c r="C43" s="7" t="s">
        <v>416</v>
      </c>
      <c r="D43" s="7" t="s">
        <v>405</v>
      </c>
      <c r="E43" s="7" t="s">
        <v>417</v>
      </c>
      <c r="F43" s="7" t="s">
        <v>395</v>
      </c>
      <c r="G43" s="7" t="n">
        <v>32</v>
      </c>
      <c r="H43" s="7"/>
      <c r="I43" s="20" t="s">
        <v>34</v>
      </c>
      <c r="J43" s="7" t="n">
        <v>16</v>
      </c>
      <c r="K43" s="7" t="s">
        <v>381</v>
      </c>
      <c r="L43" s="9" t="n">
        <f aca="false">INDEX(Parámetros!$D$5:$D$12,MATCH(G43,Parámetros!$A$5:$A$12,0))</f>
        <v>26.2</v>
      </c>
      <c r="M43" s="9" t="n">
        <f aca="false">INDEX(Parámetros!$D$5:$D$12,MATCH(IF(H43="",G43,H43),Parámetros!$A$5:$A$12,0))</f>
        <v>26.2</v>
      </c>
      <c r="N43" s="9" t="n">
        <f aca="false">INDEX(Parámetros!$E$5:$E$12,MATCH(G43,Parámetros!$A$5:$A$12,0))</f>
        <v>22</v>
      </c>
      <c r="O43" s="8"/>
      <c r="P43" s="17" t="n">
        <f aca="false">INDEX(Parámetros!$G$5:$G$12,MATCH(G43,Parámetros!$A$5:$A$12,0))</f>
        <v>0.023</v>
      </c>
      <c r="Q43" s="17" t="n">
        <f aca="false">IF(Z43="","",INDEX(Parámetros!$C$27:$C$31,MATCH(Z43,Parámetros!$A$27:$A$31,0))*P43)</f>
        <v>0.69</v>
      </c>
      <c r="R43" s="11"/>
      <c r="S43" s="17" t="n">
        <f aca="false">(Q43+0.5*(1-(N43/L43)^2)+(1-(N43/M43)^2)^2)*(M43/N43)^4+IF(Z43="",0,INDEX(Parámetros!$E$27:$E$31,MATCH(Z43,Parámetros!$A$27:$A$31,0)))</f>
        <v>1.85946709234342</v>
      </c>
      <c r="T43" s="11"/>
      <c r="U43" s="17" t="str">
        <f aca="false">IF(H43="","",(Q43+0.5*(1-(N43/M43)^2)+(1-(N43/L43)^2)^2)*(M43/N43)^4+IF(Z43="",0,INDEX(Parámetros!$E$27:$E$31,MATCH(Z43,Parámetros!$A$27:$A$31,0))))</f>
        <v/>
      </c>
      <c r="V43" s="13" t="s">
        <v>407</v>
      </c>
      <c r="W43" s="19" t="n">
        <v>2</v>
      </c>
      <c r="X43" s="18" t="s">
        <v>418</v>
      </c>
      <c r="Y43" s="7" t="s">
        <v>419</v>
      </c>
      <c r="Z43" s="7" t="s">
        <v>53</v>
      </c>
      <c r="AA43" s="7" t="s">
        <v>384</v>
      </c>
      <c r="AB43" s="16" t="str">
        <f aca="false">IF(COUNTIFS(Packs!$D$2:$D$70,A43,Packs!$F$2:$F$70,"&gt;0")=0,"",_xlfn.MINIFS(Packs!$F$2:$F$70,Packs!$D$2:$D$70,A43,Packs!$F$2:$F$70,"&gt;0"))</f>
        <v/>
      </c>
      <c r="AC43" s="13" t="n">
        <f aca="false">COUNTIF(Packs!$D$2:$D$70,A43)</f>
        <v>0</v>
      </c>
    </row>
    <row r="44" customFormat="false" ht="15" hidden="false" customHeight="false" outlineLevel="0" collapsed="false">
      <c r="A44" s="7" t="s">
        <v>422</v>
      </c>
      <c r="B44" s="7" t="s">
        <v>415</v>
      </c>
      <c r="C44" s="7" t="s">
        <v>416</v>
      </c>
      <c r="D44" s="7" t="s">
        <v>405</v>
      </c>
      <c r="E44" s="7" t="s">
        <v>417</v>
      </c>
      <c r="F44" s="7" t="s">
        <v>395</v>
      </c>
      <c r="G44" s="7" t="n">
        <v>40</v>
      </c>
      <c r="H44" s="7"/>
      <c r="I44" s="20" t="s">
        <v>35</v>
      </c>
      <c r="J44" s="7" t="n">
        <v>16</v>
      </c>
      <c r="K44" s="7" t="s">
        <v>381</v>
      </c>
      <c r="L44" s="9" t="n">
        <f aca="false">INDEX(Parámetros!$D$5:$D$12,MATCH(G44,Parámetros!$A$5:$A$12,0))</f>
        <v>32.6</v>
      </c>
      <c r="M44" s="9" t="n">
        <f aca="false">INDEX(Parámetros!$D$5:$D$12,MATCH(IF(H44="",G44,H44),Parámetros!$A$5:$A$12,0))</f>
        <v>32.6</v>
      </c>
      <c r="N44" s="9" t="n">
        <f aca="false">INDEX(Parámetros!$E$5:$E$12,MATCH(G44,Parámetros!$A$5:$A$12,0))</f>
        <v>28</v>
      </c>
      <c r="O44" s="8"/>
      <c r="P44" s="17" t="n">
        <f aca="false">INDEX(Parámetros!$G$5:$G$12,MATCH(G44,Parámetros!$A$5:$A$12,0))</f>
        <v>0.022</v>
      </c>
      <c r="Q44" s="17" t="n">
        <f aca="false">IF(Z44="","",INDEX(Parámetros!$C$27:$C$31,MATCH(Z44,Parámetros!$A$27:$A$31,0))*P44)</f>
        <v>0.66</v>
      </c>
      <c r="R44" s="11"/>
      <c r="S44" s="17" t="n">
        <f aca="false">(Q44+0.5*(1-(N44/L44)^2)+(1-(N44/M44)^2)^2)*(M44/N44)^4+IF(Z44="",0,INDEX(Parámetros!$E$27:$E$31,MATCH(Z44,Parámetros!$A$27:$A$31,0)))</f>
        <v>1.5801968027905</v>
      </c>
      <c r="T44" s="11"/>
      <c r="U44" s="17" t="str">
        <f aca="false">IF(H44="","",(Q44+0.5*(1-(N44/M44)^2)+(1-(N44/L44)^2)^2)*(M44/N44)^4+IF(Z44="",0,INDEX(Parámetros!$E$27:$E$31,MATCH(Z44,Parámetros!$A$27:$A$31,0))))</f>
        <v/>
      </c>
      <c r="V44" s="13" t="s">
        <v>407</v>
      </c>
      <c r="W44" s="19" t="n">
        <v>2</v>
      </c>
      <c r="X44" s="18" t="s">
        <v>418</v>
      </c>
      <c r="Y44" s="7" t="s">
        <v>419</v>
      </c>
      <c r="Z44" s="7" t="s">
        <v>53</v>
      </c>
      <c r="AA44" s="7" t="s">
        <v>384</v>
      </c>
      <c r="AB44" s="16" t="str">
        <f aca="false">IF(COUNTIFS(Packs!$D$2:$D$70,A44,Packs!$F$2:$F$70,"&gt;0")=0,"",_xlfn.MINIFS(Packs!$F$2:$F$70,Packs!$D$2:$D$70,A44,Packs!$F$2:$F$70,"&gt;0"))</f>
        <v/>
      </c>
      <c r="AC44" s="13" t="n">
        <f aca="false">COUNTIF(Packs!$D$2:$D$70,A44)</f>
        <v>0</v>
      </c>
    </row>
    <row r="45" customFormat="false" ht="15" hidden="false" customHeight="false" outlineLevel="0" collapsed="false">
      <c r="A45" s="7" t="s">
        <v>423</v>
      </c>
      <c r="B45" s="7" t="s">
        <v>415</v>
      </c>
      <c r="C45" s="7" t="s">
        <v>416</v>
      </c>
      <c r="D45" s="7" t="s">
        <v>405</v>
      </c>
      <c r="E45" s="7" t="s">
        <v>417</v>
      </c>
      <c r="F45" s="7" t="s">
        <v>395</v>
      </c>
      <c r="G45" s="7" t="n">
        <v>50</v>
      </c>
      <c r="H45" s="7"/>
      <c r="I45" s="20" t="s">
        <v>36</v>
      </c>
      <c r="J45" s="7" t="n">
        <v>16</v>
      </c>
      <c r="K45" s="7" t="s">
        <v>381</v>
      </c>
      <c r="L45" s="9" t="n">
        <f aca="false">INDEX(Parámetros!$D$5:$D$12,MATCH(G45,Parámetros!$A$5:$A$12,0))</f>
        <v>40.8</v>
      </c>
      <c r="M45" s="9" t="n">
        <f aca="false">INDEX(Parámetros!$D$5:$D$12,MATCH(IF(H45="",G45,H45),Parámetros!$A$5:$A$12,0))</f>
        <v>40.8</v>
      </c>
      <c r="N45" s="9" t="n">
        <f aca="false">INDEX(Parámetros!$E$5:$E$12,MATCH(G45,Parámetros!$A$5:$A$12,0))</f>
        <v>35</v>
      </c>
      <c r="O45" s="8"/>
      <c r="P45" s="17" t="n">
        <f aca="false">INDEX(Parámetros!$G$5:$G$12,MATCH(G45,Parámetros!$A$5:$A$12,0))</f>
        <v>0.021</v>
      </c>
      <c r="Q45" s="17" t="n">
        <f aca="false">IF(Z45="","",INDEX(Parámetros!$C$27:$C$31,MATCH(Z45,Parámetros!$A$27:$A$31,0))*P45)</f>
        <v>0.63</v>
      </c>
      <c r="R45" s="11"/>
      <c r="S45" s="17" t="n">
        <f aca="false">(Q45+0.5*(1-(N45/L45)^2)+(1-(N45/M45)^2)^2)*(M45/N45)^4+IF(Z45="",0,INDEX(Parámetros!$E$27:$E$31,MATCH(Z45,Parámetros!$A$27:$A$31,0)))</f>
        <v>1.53599405717484</v>
      </c>
      <c r="T45" s="11"/>
      <c r="U45" s="17" t="str">
        <f aca="false">IF(H45="","",(Q45+0.5*(1-(N45/M45)^2)+(1-(N45/L45)^2)^2)*(M45/N45)^4+IF(Z45="",0,INDEX(Parámetros!$E$27:$E$31,MATCH(Z45,Parámetros!$A$27:$A$31,0))))</f>
        <v/>
      </c>
      <c r="V45" s="13" t="s">
        <v>407</v>
      </c>
      <c r="W45" s="19" t="n">
        <v>2</v>
      </c>
      <c r="X45" s="18" t="s">
        <v>418</v>
      </c>
      <c r="Y45" s="7" t="s">
        <v>419</v>
      </c>
      <c r="Z45" s="7" t="s">
        <v>53</v>
      </c>
      <c r="AA45" s="7" t="s">
        <v>384</v>
      </c>
      <c r="AB45" s="16" t="str">
        <f aca="false">IF(COUNTIFS(Packs!$D$2:$D$70,A45,Packs!$F$2:$F$70,"&gt;0")=0,"",_xlfn.MINIFS(Packs!$F$2:$F$70,Packs!$D$2:$D$70,A45,Packs!$F$2:$F$70,"&gt;0"))</f>
        <v/>
      </c>
      <c r="AC45" s="13" t="n">
        <f aca="false">COUNTIF(Packs!$D$2:$D$70,A45)</f>
        <v>0</v>
      </c>
    </row>
    <row r="46" customFormat="false" ht="15" hidden="false" customHeight="false" outlineLevel="0" collapsed="false">
      <c r="A46" s="7" t="s">
        <v>424</v>
      </c>
      <c r="B46" s="7" t="s">
        <v>415</v>
      </c>
      <c r="C46" s="7" t="s">
        <v>416</v>
      </c>
      <c r="D46" s="7" t="s">
        <v>405</v>
      </c>
      <c r="E46" s="7" t="s">
        <v>417</v>
      </c>
      <c r="F46" s="7" t="s">
        <v>395</v>
      </c>
      <c r="G46" s="7" t="n">
        <v>63</v>
      </c>
      <c r="H46" s="7"/>
      <c r="I46" s="20" t="s">
        <v>37</v>
      </c>
      <c r="J46" s="7" t="n">
        <v>16</v>
      </c>
      <c r="K46" s="7" t="s">
        <v>381</v>
      </c>
      <c r="L46" s="9" t="n">
        <f aca="false">INDEX(Parámetros!$D$5:$D$12,MATCH(G46,Parámetros!$A$5:$A$12,0))</f>
        <v>51.4</v>
      </c>
      <c r="M46" s="9" t="n">
        <f aca="false">INDEX(Parámetros!$D$5:$D$12,MATCH(IF(H46="",G46,H46),Parámetros!$A$5:$A$12,0))</f>
        <v>51.4</v>
      </c>
      <c r="N46" s="9" t="n">
        <f aca="false">INDEX(Parámetros!$E$5:$E$12,MATCH(G46,Parámetros!$A$5:$A$12,0))</f>
        <v>45</v>
      </c>
      <c r="O46" s="8"/>
      <c r="P46" s="17" t="n">
        <f aca="false">INDEX(Parámetros!$G$5:$G$12,MATCH(G46,Parámetros!$A$5:$A$12,0))</f>
        <v>0.019</v>
      </c>
      <c r="Q46" s="17" t="n">
        <f aca="false">IF(Z46="","",INDEX(Parámetros!$C$27:$C$31,MATCH(Z46,Parámetros!$A$27:$A$31,0))*P46)</f>
        <v>0.57</v>
      </c>
      <c r="R46" s="11"/>
      <c r="S46" s="17" t="n">
        <f aca="false">(Q46+0.5*(1-(N46/L46)^2)+(1-(N46/M46)^2)^2)*(M46/N46)^4+IF(Z46="",0,INDEX(Parámetros!$E$27:$E$31,MATCH(Z46,Parámetros!$A$27:$A$31,0)))</f>
        <v>1.26180874088999</v>
      </c>
      <c r="T46" s="11"/>
      <c r="U46" s="17" t="str">
        <f aca="false">IF(H46="","",(Q46+0.5*(1-(N46/M46)^2)+(1-(N46/L46)^2)^2)*(M46/N46)^4+IF(Z46="",0,INDEX(Parámetros!$E$27:$E$31,MATCH(Z46,Parámetros!$A$27:$A$31,0))))</f>
        <v/>
      </c>
      <c r="V46" s="13" t="s">
        <v>407</v>
      </c>
      <c r="W46" s="19" t="n">
        <v>2</v>
      </c>
      <c r="X46" s="18" t="s">
        <v>418</v>
      </c>
      <c r="Y46" s="7" t="s">
        <v>419</v>
      </c>
      <c r="Z46" s="7" t="s">
        <v>53</v>
      </c>
      <c r="AA46" s="7" t="s">
        <v>384</v>
      </c>
      <c r="AB46" s="16" t="str">
        <f aca="false">IF(COUNTIFS(Packs!$D$2:$D$70,A46,Packs!$F$2:$F$70,"&gt;0")=0,"",_xlfn.MINIFS(Packs!$F$2:$F$70,Packs!$D$2:$D$70,A46,Packs!$F$2:$F$70,"&gt;0"))</f>
        <v/>
      </c>
      <c r="AC46" s="13" t="n">
        <f aca="false">COUNTIF(Packs!$D$2:$D$70,A46)</f>
        <v>0</v>
      </c>
    </row>
    <row r="47" customFormat="false" ht="15" hidden="false" customHeight="false" outlineLevel="0" collapsed="false">
      <c r="A47" s="7" t="s">
        <v>425</v>
      </c>
      <c r="B47" s="7" t="s">
        <v>415</v>
      </c>
      <c r="C47" s="7" t="s">
        <v>416</v>
      </c>
      <c r="D47" s="7" t="s">
        <v>405</v>
      </c>
      <c r="E47" s="7" t="s">
        <v>417</v>
      </c>
      <c r="F47" s="7" t="s">
        <v>395</v>
      </c>
      <c r="G47" s="7" t="n">
        <v>75</v>
      </c>
      <c r="H47" s="7"/>
      <c r="I47" s="20" t="s">
        <v>38</v>
      </c>
      <c r="J47" s="7" t="n">
        <v>16</v>
      </c>
      <c r="K47" s="7" t="s">
        <v>381</v>
      </c>
      <c r="L47" s="9" t="n">
        <f aca="false">INDEX(Parámetros!$D$5:$D$12,MATCH(G47,Parámetros!$A$5:$A$12,0))</f>
        <v>61.4</v>
      </c>
      <c r="M47" s="9" t="n">
        <f aca="false">INDEX(Parámetros!$D$5:$D$12,MATCH(IF(H47="",G47,H47),Parámetros!$A$5:$A$12,0))</f>
        <v>61.4</v>
      </c>
      <c r="N47" s="9" t="n">
        <f aca="false">INDEX(Parámetros!$E$5:$E$12,MATCH(G47,Parámetros!$A$5:$A$12,0))</f>
        <v>54</v>
      </c>
      <c r="O47" s="8"/>
      <c r="P47" s="17" t="n">
        <f aca="false">INDEX(Parámetros!$G$5:$G$12,MATCH(G47,Parámetros!$A$5:$A$12,0))</f>
        <v>0.018</v>
      </c>
      <c r="Q47" s="17" t="n">
        <f aca="false">IF(Z47="","",INDEX(Parámetros!$C$27:$C$31,MATCH(Z47,Parámetros!$A$27:$A$31,0))*P47)</f>
        <v>0.54</v>
      </c>
      <c r="R47" s="11"/>
      <c r="S47" s="17" t="n">
        <f aca="false">(Q47+0.5*(1-(N47/L47)^2)+(1-(N47/M47)^2)^2)*(M47/N47)^4+IF(Z47="",0,INDEX(Parámetros!$E$27:$E$31,MATCH(Z47,Parámetros!$A$27:$A$31,0)))</f>
        <v>1.17766463483999</v>
      </c>
      <c r="T47" s="11"/>
      <c r="U47" s="17" t="str">
        <f aca="false">IF(H47="","",(Q47+0.5*(1-(N47/M47)^2)+(1-(N47/L47)^2)^2)*(M47/N47)^4+IF(Z47="",0,INDEX(Parámetros!$E$27:$E$31,MATCH(Z47,Parámetros!$A$27:$A$31,0))))</f>
        <v/>
      </c>
      <c r="V47" s="13" t="s">
        <v>407</v>
      </c>
      <c r="W47" s="19" t="n">
        <v>2</v>
      </c>
      <c r="X47" s="18" t="s">
        <v>418</v>
      </c>
      <c r="Y47" s="7" t="s">
        <v>419</v>
      </c>
      <c r="Z47" s="7" t="s">
        <v>53</v>
      </c>
      <c r="AA47" s="7" t="s">
        <v>384</v>
      </c>
      <c r="AB47" s="16" t="str">
        <f aca="false">IF(COUNTIFS(Packs!$D$2:$D$70,A47,Packs!$F$2:$F$70,"&gt;0")=0,"",_xlfn.MINIFS(Packs!$F$2:$F$70,Packs!$D$2:$D$70,A47,Packs!$F$2:$F$70,"&gt;0"))</f>
        <v/>
      </c>
      <c r="AC47" s="13" t="n">
        <f aca="false">COUNTIF(Packs!$D$2:$D$70,A47)</f>
        <v>0</v>
      </c>
    </row>
    <row r="48" customFormat="false" ht="15" hidden="false" customHeight="false" outlineLevel="0" collapsed="false">
      <c r="A48" s="7" t="s">
        <v>426</v>
      </c>
      <c r="B48" s="7" t="s">
        <v>415</v>
      </c>
      <c r="C48" s="7" t="s">
        <v>416</v>
      </c>
      <c r="D48" s="7" t="s">
        <v>405</v>
      </c>
      <c r="E48" s="7" t="s">
        <v>417</v>
      </c>
      <c r="F48" s="7" t="s">
        <v>395</v>
      </c>
      <c r="G48" s="7" t="n">
        <v>90</v>
      </c>
      <c r="H48" s="7"/>
      <c r="I48" s="20" t="s">
        <v>39</v>
      </c>
      <c r="J48" s="7" t="n">
        <v>16</v>
      </c>
      <c r="K48" s="7" t="s">
        <v>381</v>
      </c>
      <c r="L48" s="9" t="n">
        <f aca="false">INDEX(Parámetros!$D$5:$D$12,MATCH(G48,Parámetros!$A$5:$A$12,0))</f>
        <v>73.6</v>
      </c>
      <c r="M48" s="9" t="n">
        <f aca="false">INDEX(Parámetros!$D$5:$D$12,MATCH(IF(H48="",G48,H48),Parámetros!$A$5:$A$12,0))</f>
        <v>73.6</v>
      </c>
      <c r="N48" s="9" t="n">
        <f aca="false">INDEX(Parámetros!$E$5:$E$12,MATCH(G48,Parámetros!$A$5:$A$12,0))</f>
        <v>66</v>
      </c>
      <c r="O48" s="8"/>
      <c r="P48" s="17" t="n">
        <f aca="false">INDEX(Parámetros!$G$5:$G$12,MATCH(G48,Parámetros!$A$5:$A$12,0))</f>
        <v>0.018</v>
      </c>
      <c r="Q48" s="17" t="n">
        <f aca="false">IF(Z48="","",INDEX(Parámetros!$C$27:$C$31,MATCH(Z48,Parámetros!$A$27:$A$31,0))*P48)</f>
        <v>0.54</v>
      </c>
      <c r="R48" s="11"/>
      <c r="S48" s="17" t="n">
        <f aca="false">(Q48+0.5*(1-(N48/L48)^2)+(1-(N48/M48)^2)^2)*(M48/N48)^4+IF(Z48="",0,INDEX(Parámetros!$E$27:$E$31,MATCH(Z48,Parámetros!$A$27:$A$31,0)))</f>
        <v>1.04584807445353</v>
      </c>
      <c r="T48" s="11"/>
      <c r="U48" s="17" t="str">
        <f aca="false">IF(H48="","",(Q48+0.5*(1-(N48/M48)^2)+(1-(N48/L48)^2)^2)*(M48/N48)^4+IF(Z48="",0,INDEX(Parámetros!$E$27:$E$31,MATCH(Z48,Parámetros!$A$27:$A$31,0))))</f>
        <v/>
      </c>
      <c r="V48" s="13" t="s">
        <v>407</v>
      </c>
      <c r="W48" s="19" t="n">
        <v>2</v>
      </c>
      <c r="X48" s="18" t="s">
        <v>418</v>
      </c>
      <c r="Y48" s="7" t="s">
        <v>419</v>
      </c>
      <c r="Z48" s="7" t="s">
        <v>53</v>
      </c>
      <c r="AA48" s="7" t="s">
        <v>384</v>
      </c>
      <c r="AB48" s="16" t="str">
        <f aca="false">IF(COUNTIFS(Packs!$D$2:$D$70,A48,Packs!$F$2:$F$70,"&gt;0")=0,"",_xlfn.MINIFS(Packs!$F$2:$F$70,Packs!$D$2:$D$70,A48,Packs!$F$2:$F$70,"&gt;0"))</f>
        <v/>
      </c>
      <c r="AC48" s="13" t="n">
        <f aca="false">COUNTIF(Packs!$D$2:$D$70,A48)</f>
        <v>0</v>
      </c>
    </row>
    <row r="49" customFormat="false" ht="15" hidden="false" customHeight="false" outlineLevel="0" collapsed="false">
      <c r="A49" s="7" t="s">
        <v>427</v>
      </c>
      <c r="B49" s="7" t="s">
        <v>428</v>
      </c>
      <c r="C49" s="7" t="s">
        <v>429</v>
      </c>
      <c r="D49" s="7" t="s">
        <v>405</v>
      </c>
      <c r="E49" s="7" t="s">
        <v>430</v>
      </c>
      <c r="F49" s="7" t="s">
        <v>401</v>
      </c>
      <c r="G49" s="7" t="n">
        <v>20</v>
      </c>
      <c r="H49" s="7"/>
      <c r="I49" s="20" t="s">
        <v>32</v>
      </c>
      <c r="J49" s="7" t="n">
        <v>16</v>
      </c>
      <c r="K49" s="7" t="s">
        <v>381</v>
      </c>
      <c r="L49" s="9" t="n">
        <f aca="false">INDEX(Parámetros!$D$5:$D$12,MATCH(G49,Parámetros!$A$5:$A$12,0))</f>
        <v>16</v>
      </c>
      <c r="M49" s="9" t="n">
        <f aca="false">INDEX(Parámetros!$D$5:$D$12,MATCH(IF(H49="",G49,H49),Parámetros!$A$5:$A$12,0))</f>
        <v>16</v>
      </c>
      <c r="N49" s="9" t="n">
        <f aca="false">INDEX(Parámetros!$E$5:$E$12,MATCH(G49,Parámetros!$A$5:$A$12,0))</f>
        <v>13</v>
      </c>
      <c r="O49" s="8"/>
      <c r="P49" s="17" t="n">
        <f aca="false">INDEX(Parámetros!$G$5:$G$12,MATCH(G49,Parámetros!$A$5:$A$12,0))</f>
        <v>0.027</v>
      </c>
      <c r="Q49" s="17" t="n">
        <f aca="false">IF(Z49="","",INDEX(Parámetros!$C$27:$C$31,MATCH(Z49,Parámetros!$A$27:$A$31,0))*P49)</f>
        <v>0.81</v>
      </c>
      <c r="R49" s="11"/>
      <c r="S49" s="17" t="n">
        <f aca="false">(Q49+0.5*(1-(N49/L49)^2)+(1-(N49/M49)^2)^2)*(M49/N49)^4+IF(Z49="",0,INDEX(Parámetros!$E$27:$E$31,MATCH(Z49,Parámetros!$A$27:$A$31,0)))</f>
        <v>2.51353804138511</v>
      </c>
      <c r="T49" s="11"/>
      <c r="U49" s="17" t="str">
        <f aca="false">IF(H49="","",(Q49+0.5*(1-(N49/M49)^2)+(1-(N49/L49)^2)^2)*(M49/N49)^4+IF(Z49="",0,INDEX(Parámetros!$E$27:$E$31,MATCH(Z49,Parámetros!$A$27:$A$31,0))))</f>
        <v/>
      </c>
      <c r="V49" s="13" t="s">
        <v>407</v>
      </c>
      <c r="W49" s="19" t="n">
        <v>2.29</v>
      </c>
      <c r="X49" s="18" t="s">
        <v>431</v>
      </c>
      <c r="Y49" s="7" t="s">
        <v>432</v>
      </c>
      <c r="Z49" s="7" t="s">
        <v>53</v>
      </c>
      <c r="AA49" s="7" t="s">
        <v>384</v>
      </c>
      <c r="AB49" s="16" t="str">
        <f aca="false">IF(COUNTIFS(Packs!$D$2:$D$70,A49,Packs!$F$2:$F$70,"&gt;0")=0,"",_xlfn.MINIFS(Packs!$F$2:$F$70,Packs!$D$2:$D$70,A49,Packs!$F$2:$F$70,"&gt;0"))</f>
        <v/>
      </c>
      <c r="AC49" s="13" t="n">
        <f aca="false">COUNTIF(Packs!$D$2:$D$70,A49)</f>
        <v>0</v>
      </c>
    </row>
    <row r="50" customFormat="false" ht="15" hidden="false" customHeight="false" outlineLevel="0" collapsed="false">
      <c r="A50" s="7" t="s">
        <v>433</v>
      </c>
      <c r="B50" s="7" t="s">
        <v>428</v>
      </c>
      <c r="C50" s="7" t="s">
        <v>429</v>
      </c>
      <c r="D50" s="7" t="s">
        <v>405</v>
      </c>
      <c r="E50" s="7" t="s">
        <v>430</v>
      </c>
      <c r="F50" s="7" t="s">
        <v>401</v>
      </c>
      <c r="G50" s="7" t="n">
        <v>25</v>
      </c>
      <c r="H50" s="7"/>
      <c r="I50" s="20" t="s">
        <v>33</v>
      </c>
      <c r="J50" s="7" t="n">
        <v>16</v>
      </c>
      <c r="K50" s="7" t="s">
        <v>381</v>
      </c>
      <c r="L50" s="9" t="n">
        <f aca="false">INDEX(Parámetros!$D$5:$D$12,MATCH(G50,Parámetros!$A$5:$A$12,0))</f>
        <v>20.4</v>
      </c>
      <c r="M50" s="9" t="n">
        <f aca="false">INDEX(Parámetros!$D$5:$D$12,MATCH(IF(H50="",G50,H50),Parámetros!$A$5:$A$12,0))</f>
        <v>20.4</v>
      </c>
      <c r="N50" s="9" t="n">
        <f aca="false">INDEX(Parámetros!$E$5:$E$12,MATCH(G50,Parámetros!$A$5:$A$12,0))</f>
        <v>17</v>
      </c>
      <c r="O50" s="8"/>
      <c r="P50" s="17" t="n">
        <f aca="false">INDEX(Parámetros!$G$5:$G$12,MATCH(G50,Parámetros!$A$5:$A$12,0))</f>
        <v>0.025</v>
      </c>
      <c r="Q50" s="17" t="n">
        <f aca="false">IF(Z50="","",INDEX(Parámetros!$C$27:$C$31,MATCH(Z50,Parámetros!$A$27:$A$31,0))*P50)</f>
        <v>0.75</v>
      </c>
      <c r="R50" s="11"/>
      <c r="S50" s="17" t="n">
        <f aca="false">(Q50+0.5*(1-(N50/L50)^2)+(1-(N50/M50)^2)^2)*(M50/N50)^4+IF(Z50="",0,INDEX(Parámetros!$E$27:$E$31,MATCH(Z50,Parámetros!$A$27:$A$31,0)))</f>
        <v>2.0656</v>
      </c>
      <c r="T50" s="11"/>
      <c r="U50" s="17" t="str">
        <f aca="false">IF(H50="","",(Q50+0.5*(1-(N50/M50)^2)+(1-(N50/L50)^2)^2)*(M50/N50)^4+IF(Z50="",0,INDEX(Parámetros!$E$27:$E$31,MATCH(Z50,Parámetros!$A$27:$A$31,0))))</f>
        <v/>
      </c>
      <c r="V50" s="13" t="s">
        <v>407</v>
      </c>
      <c r="W50" s="19" t="n">
        <v>2.29</v>
      </c>
      <c r="X50" s="18" t="s">
        <v>431</v>
      </c>
      <c r="Y50" s="7" t="s">
        <v>432</v>
      </c>
      <c r="Z50" s="7" t="s">
        <v>53</v>
      </c>
      <c r="AA50" s="7" t="s">
        <v>384</v>
      </c>
      <c r="AB50" s="16" t="str">
        <f aca="false">IF(COUNTIFS(Packs!$D$2:$D$70,A50,Packs!$F$2:$F$70,"&gt;0")=0,"",_xlfn.MINIFS(Packs!$F$2:$F$70,Packs!$D$2:$D$70,A50,Packs!$F$2:$F$70,"&gt;0"))</f>
        <v/>
      </c>
      <c r="AC50" s="13" t="n">
        <f aca="false">COUNTIF(Packs!$D$2:$D$70,A50)</f>
        <v>0</v>
      </c>
    </row>
    <row r="51" customFormat="false" ht="15" hidden="false" customHeight="false" outlineLevel="0" collapsed="false">
      <c r="A51" s="7" t="s">
        <v>434</v>
      </c>
      <c r="B51" s="7" t="s">
        <v>428</v>
      </c>
      <c r="C51" s="7" t="s">
        <v>429</v>
      </c>
      <c r="D51" s="7" t="s">
        <v>405</v>
      </c>
      <c r="E51" s="7" t="s">
        <v>430</v>
      </c>
      <c r="F51" s="7" t="s">
        <v>401</v>
      </c>
      <c r="G51" s="7" t="n">
        <v>32</v>
      </c>
      <c r="H51" s="7"/>
      <c r="I51" s="20" t="s">
        <v>34</v>
      </c>
      <c r="J51" s="7" t="n">
        <v>16</v>
      </c>
      <c r="K51" s="7" t="s">
        <v>381</v>
      </c>
      <c r="L51" s="9" t="n">
        <f aca="false">INDEX(Parámetros!$D$5:$D$12,MATCH(G51,Parámetros!$A$5:$A$12,0))</f>
        <v>26.2</v>
      </c>
      <c r="M51" s="9" t="n">
        <f aca="false">INDEX(Parámetros!$D$5:$D$12,MATCH(IF(H51="",G51,H51),Parámetros!$A$5:$A$12,0))</f>
        <v>26.2</v>
      </c>
      <c r="N51" s="9" t="n">
        <f aca="false">INDEX(Parámetros!$E$5:$E$12,MATCH(G51,Parámetros!$A$5:$A$12,0))</f>
        <v>22</v>
      </c>
      <c r="O51" s="8"/>
      <c r="P51" s="17" t="n">
        <f aca="false">INDEX(Parámetros!$G$5:$G$12,MATCH(G51,Parámetros!$A$5:$A$12,0))</f>
        <v>0.023</v>
      </c>
      <c r="Q51" s="17" t="n">
        <f aca="false">IF(Z51="","",INDEX(Parámetros!$C$27:$C$31,MATCH(Z51,Parámetros!$A$27:$A$31,0))*P51)</f>
        <v>0.69</v>
      </c>
      <c r="R51" s="11"/>
      <c r="S51" s="17" t="n">
        <f aca="false">(Q51+0.5*(1-(N51/L51)^2)+(1-(N51/M51)^2)^2)*(M51/N51)^4+IF(Z51="",0,INDEX(Parámetros!$E$27:$E$31,MATCH(Z51,Parámetros!$A$27:$A$31,0)))</f>
        <v>1.85946709234342</v>
      </c>
      <c r="T51" s="11"/>
      <c r="U51" s="17" t="str">
        <f aca="false">IF(H51="","",(Q51+0.5*(1-(N51/M51)^2)+(1-(N51/L51)^2)^2)*(M51/N51)^4+IF(Z51="",0,INDEX(Parámetros!$E$27:$E$31,MATCH(Z51,Parámetros!$A$27:$A$31,0))))</f>
        <v/>
      </c>
      <c r="V51" s="13" t="s">
        <v>407</v>
      </c>
      <c r="W51" s="19" t="n">
        <v>2.29</v>
      </c>
      <c r="X51" s="18" t="s">
        <v>431</v>
      </c>
      <c r="Y51" s="7" t="s">
        <v>432</v>
      </c>
      <c r="Z51" s="7" t="s">
        <v>53</v>
      </c>
      <c r="AA51" s="7" t="s">
        <v>384</v>
      </c>
      <c r="AB51" s="16" t="str">
        <f aca="false">IF(COUNTIFS(Packs!$D$2:$D$70,A51,Packs!$F$2:$F$70,"&gt;0")=0,"",_xlfn.MINIFS(Packs!$F$2:$F$70,Packs!$D$2:$D$70,A51,Packs!$F$2:$F$70,"&gt;0"))</f>
        <v/>
      </c>
      <c r="AC51" s="13" t="n">
        <f aca="false">COUNTIF(Packs!$D$2:$D$70,A51)</f>
        <v>0</v>
      </c>
    </row>
    <row r="52" customFormat="false" ht="15" hidden="false" customHeight="false" outlineLevel="0" collapsed="false">
      <c r="A52" s="7" t="s">
        <v>435</v>
      </c>
      <c r="B52" s="7" t="s">
        <v>428</v>
      </c>
      <c r="C52" s="7" t="s">
        <v>429</v>
      </c>
      <c r="D52" s="7" t="s">
        <v>405</v>
      </c>
      <c r="E52" s="7" t="s">
        <v>430</v>
      </c>
      <c r="F52" s="7" t="s">
        <v>401</v>
      </c>
      <c r="G52" s="7" t="n">
        <v>40</v>
      </c>
      <c r="H52" s="7"/>
      <c r="I52" s="20" t="s">
        <v>35</v>
      </c>
      <c r="J52" s="7" t="n">
        <v>16</v>
      </c>
      <c r="K52" s="7" t="s">
        <v>381</v>
      </c>
      <c r="L52" s="9" t="n">
        <f aca="false">INDEX(Parámetros!$D$5:$D$12,MATCH(G52,Parámetros!$A$5:$A$12,0))</f>
        <v>32.6</v>
      </c>
      <c r="M52" s="9" t="n">
        <f aca="false">INDEX(Parámetros!$D$5:$D$12,MATCH(IF(H52="",G52,H52),Parámetros!$A$5:$A$12,0))</f>
        <v>32.6</v>
      </c>
      <c r="N52" s="9" t="n">
        <f aca="false">INDEX(Parámetros!$E$5:$E$12,MATCH(G52,Parámetros!$A$5:$A$12,0))</f>
        <v>28</v>
      </c>
      <c r="O52" s="8"/>
      <c r="P52" s="17" t="n">
        <f aca="false">INDEX(Parámetros!$G$5:$G$12,MATCH(G52,Parámetros!$A$5:$A$12,0))</f>
        <v>0.022</v>
      </c>
      <c r="Q52" s="17" t="n">
        <f aca="false">IF(Z52="","",INDEX(Parámetros!$C$27:$C$31,MATCH(Z52,Parámetros!$A$27:$A$31,0))*P52)</f>
        <v>0.66</v>
      </c>
      <c r="R52" s="11"/>
      <c r="S52" s="17" t="n">
        <f aca="false">(Q52+0.5*(1-(N52/L52)^2)+(1-(N52/M52)^2)^2)*(M52/N52)^4+IF(Z52="",0,INDEX(Parámetros!$E$27:$E$31,MATCH(Z52,Parámetros!$A$27:$A$31,0)))</f>
        <v>1.5801968027905</v>
      </c>
      <c r="T52" s="11"/>
      <c r="U52" s="17" t="str">
        <f aca="false">IF(H52="","",(Q52+0.5*(1-(N52/M52)^2)+(1-(N52/L52)^2)^2)*(M52/N52)^4+IF(Z52="",0,INDEX(Parámetros!$E$27:$E$31,MATCH(Z52,Parámetros!$A$27:$A$31,0))))</f>
        <v/>
      </c>
      <c r="V52" s="13" t="s">
        <v>407</v>
      </c>
      <c r="W52" s="19" t="n">
        <v>2.29</v>
      </c>
      <c r="X52" s="18" t="s">
        <v>431</v>
      </c>
      <c r="Y52" s="7" t="s">
        <v>432</v>
      </c>
      <c r="Z52" s="7" t="s">
        <v>53</v>
      </c>
      <c r="AA52" s="7" t="s">
        <v>384</v>
      </c>
      <c r="AB52" s="16" t="str">
        <f aca="false">IF(COUNTIFS(Packs!$D$2:$D$70,A52,Packs!$F$2:$F$70,"&gt;0")=0,"",_xlfn.MINIFS(Packs!$F$2:$F$70,Packs!$D$2:$D$70,A52,Packs!$F$2:$F$70,"&gt;0"))</f>
        <v/>
      </c>
      <c r="AC52" s="13" t="n">
        <f aca="false">COUNTIF(Packs!$D$2:$D$70,A52)</f>
        <v>0</v>
      </c>
    </row>
    <row r="53" customFormat="false" ht="15" hidden="false" customHeight="false" outlineLevel="0" collapsed="false">
      <c r="A53" s="7" t="s">
        <v>436</v>
      </c>
      <c r="B53" s="7" t="s">
        <v>428</v>
      </c>
      <c r="C53" s="7" t="s">
        <v>429</v>
      </c>
      <c r="D53" s="7" t="s">
        <v>405</v>
      </c>
      <c r="E53" s="7" t="s">
        <v>430</v>
      </c>
      <c r="F53" s="7" t="s">
        <v>401</v>
      </c>
      <c r="G53" s="7" t="n">
        <v>50</v>
      </c>
      <c r="H53" s="7"/>
      <c r="I53" s="20" t="s">
        <v>36</v>
      </c>
      <c r="J53" s="7" t="n">
        <v>16</v>
      </c>
      <c r="K53" s="7" t="s">
        <v>381</v>
      </c>
      <c r="L53" s="9" t="n">
        <f aca="false">INDEX(Parámetros!$D$5:$D$12,MATCH(G53,Parámetros!$A$5:$A$12,0))</f>
        <v>40.8</v>
      </c>
      <c r="M53" s="9" t="n">
        <f aca="false">INDEX(Parámetros!$D$5:$D$12,MATCH(IF(H53="",G53,H53),Parámetros!$A$5:$A$12,0))</f>
        <v>40.8</v>
      </c>
      <c r="N53" s="9" t="n">
        <f aca="false">INDEX(Parámetros!$E$5:$E$12,MATCH(G53,Parámetros!$A$5:$A$12,0))</f>
        <v>35</v>
      </c>
      <c r="O53" s="8"/>
      <c r="P53" s="17" t="n">
        <f aca="false">INDEX(Parámetros!$G$5:$G$12,MATCH(G53,Parámetros!$A$5:$A$12,0))</f>
        <v>0.021</v>
      </c>
      <c r="Q53" s="17" t="n">
        <f aca="false">IF(Z53="","",INDEX(Parámetros!$C$27:$C$31,MATCH(Z53,Parámetros!$A$27:$A$31,0))*P53)</f>
        <v>0.63</v>
      </c>
      <c r="R53" s="11"/>
      <c r="S53" s="17" t="n">
        <f aca="false">(Q53+0.5*(1-(N53/L53)^2)+(1-(N53/M53)^2)^2)*(M53/N53)^4+IF(Z53="",0,INDEX(Parámetros!$E$27:$E$31,MATCH(Z53,Parámetros!$A$27:$A$31,0)))</f>
        <v>1.53599405717484</v>
      </c>
      <c r="T53" s="11"/>
      <c r="U53" s="17" t="str">
        <f aca="false">IF(H53="","",(Q53+0.5*(1-(N53/M53)^2)+(1-(N53/L53)^2)^2)*(M53/N53)^4+IF(Z53="",0,INDEX(Parámetros!$E$27:$E$31,MATCH(Z53,Parámetros!$A$27:$A$31,0))))</f>
        <v/>
      </c>
      <c r="V53" s="13" t="s">
        <v>407</v>
      </c>
      <c r="W53" s="19" t="n">
        <v>2.29</v>
      </c>
      <c r="X53" s="18" t="s">
        <v>431</v>
      </c>
      <c r="Y53" s="7" t="s">
        <v>432</v>
      </c>
      <c r="Z53" s="7" t="s">
        <v>53</v>
      </c>
      <c r="AA53" s="7" t="s">
        <v>384</v>
      </c>
      <c r="AB53" s="16" t="str">
        <f aca="false">IF(COUNTIFS(Packs!$D$2:$D$70,A53,Packs!$F$2:$F$70,"&gt;0")=0,"",_xlfn.MINIFS(Packs!$F$2:$F$70,Packs!$D$2:$D$70,A53,Packs!$F$2:$F$70,"&gt;0"))</f>
        <v/>
      </c>
      <c r="AC53" s="13" t="n">
        <f aca="false">COUNTIF(Packs!$D$2:$D$70,A53)</f>
        <v>0</v>
      </c>
    </row>
    <row r="54" customFormat="false" ht="15" hidden="false" customHeight="false" outlineLevel="0" collapsed="false">
      <c r="A54" s="7" t="s">
        <v>437</v>
      </c>
      <c r="B54" s="7" t="s">
        <v>428</v>
      </c>
      <c r="C54" s="7" t="s">
        <v>429</v>
      </c>
      <c r="D54" s="7" t="s">
        <v>405</v>
      </c>
      <c r="E54" s="7" t="s">
        <v>430</v>
      </c>
      <c r="F54" s="7" t="s">
        <v>401</v>
      </c>
      <c r="G54" s="7" t="n">
        <v>63</v>
      </c>
      <c r="H54" s="7"/>
      <c r="I54" s="20" t="s">
        <v>37</v>
      </c>
      <c r="J54" s="7" t="n">
        <v>16</v>
      </c>
      <c r="K54" s="7" t="s">
        <v>381</v>
      </c>
      <c r="L54" s="9" t="n">
        <f aca="false">INDEX(Parámetros!$D$5:$D$12,MATCH(G54,Parámetros!$A$5:$A$12,0))</f>
        <v>51.4</v>
      </c>
      <c r="M54" s="9" t="n">
        <f aca="false">INDEX(Parámetros!$D$5:$D$12,MATCH(IF(H54="",G54,H54),Parámetros!$A$5:$A$12,0))</f>
        <v>51.4</v>
      </c>
      <c r="N54" s="9" t="n">
        <f aca="false">INDEX(Parámetros!$E$5:$E$12,MATCH(G54,Parámetros!$A$5:$A$12,0))</f>
        <v>45</v>
      </c>
      <c r="O54" s="8"/>
      <c r="P54" s="17" t="n">
        <f aca="false">INDEX(Parámetros!$G$5:$G$12,MATCH(G54,Parámetros!$A$5:$A$12,0))</f>
        <v>0.019</v>
      </c>
      <c r="Q54" s="17" t="n">
        <f aca="false">IF(Z54="","",INDEX(Parámetros!$C$27:$C$31,MATCH(Z54,Parámetros!$A$27:$A$31,0))*P54)</f>
        <v>0.57</v>
      </c>
      <c r="R54" s="11"/>
      <c r="S54" s="17" t="n">
        <f aca="false">(Q54+0.5*(1-(N54/L54)^2)+(1-(N54/M54)^2)^2)*(M54/N54)^4+IF(Z54="",0,INDEX(Parámetros!$E$27:$E$31,MATCH(Z54,Parámetros!$A$27:$A$31,0)))</f>
        <v>1.26180874088999</v>
      </c>
      <c r="T54" s="11"/>
      <c r="U54" s="17" t="str">
        <f aca="false">IF(H54="","",(Q54+0.5*(1-(N54/M54)^2)+(1-(N54/L54)^2)^2)*(M54/N54)^4+IF(Z54="",0,INDEX(Parámetros!$E$27:$E$31,MATCH(Z54,Parámetros!$A$27:$A$31,0))))</f>
        <v/>
      </c>
      <c r="V54" s="13" t="s">
        <v>407</v>
      </c>
      <c r="W54" s="19" t="n">
        <v>2.29</v>
      </c>
      <c r="X54" s="18" t="s">
        <v>431</v>
      </c>
      <c r="Y54" s="7" t="s">
        <v>432</v>
      </c>
      <c r="Z54" s="7" t="s">
        <v>53</v>
      </c>
      <c r="AA54" s="7" t="s">
        <v>384</v>
      </c>
      <c r="AB54" s="16" t="str">
        <f aca="false">IF(COUNTIFS(Packs!$D$2:$D$70,A54,Packs!$F$2:$F$70,"&gt;0")=0,"",_xlfn.MINIFS(Packs!$F$2:$F$70,Packs!$D$2:$D$70,A54,Packs!$F$2:$F$70,"&gt;0"))</f>
        <v/>
      </c>
      <c r="AC54" s="13" t="n">
        <f aca="false">COUNTIF(Packs!$D$2:$D$70,A54)</f>
        <v>0</v>
      </c>
    </row>
    <row r="55" customFormat="false" ht="15" hidden="false" customHeight="false" outlineLevel="0" collapsed="false">
      <c r="A55" s="7" t="s">
        <v>229</v>
      </c>
      <c r="B55" s="7" t="s">
        <v>438</v>
      </c>
      <c r="C55" s="7" t="s">
        <v>439</v>
      </c>
      <c r="D55" s="7" t="s">
        <v>440</v>
      </c>
      <c r="E55" s="7" t="s">
        <v>441</v>
      </c>
      <c r="F55" s="7" t="s">
        <v>442</v>
      </c>
      <c r="G55" s="7" t="n">
        <v>20</v>
      </c>
      <c r="H55" s="7" t="n">
        <v>20</v>
      </c>
      <c r="I55" s="7"/>
      <c r="J55" s="7" t="n">
        <v>16</v>
      </c>
      <c r="K55" s="7" t="s">
        <v>381</v>
      </c>
      <c r="L55" s="9" t="n">
        <f aca="false">INDEX(Parámetros!$D$5:$D$12,MATCH(G55,Parámetros!$A$5:$A$12,0))</f>
        <v>16</v>
      </c>
      <c r="M55" s="9" t="n">
        <f aca="false">INDEX(Parámetros!$D$5:$D$12,MATCH(IF(H55="",G55,H55),Parámetros!$A$5:$A$12,0))</f>
        <v>16</v>
      </c>
      <c r="N55" s="9" t="n">
        <f aca="false">INDEX(Parámetros!$E$5:$E$12,MATCH(G55,Parámetros!$A$5:$A$12,0))</f>
        <v>13</v>
      </c>
      <c r="O55" s="9" t="n">
        <f aca="false">INDEX(Parámetros!$E$5:$E$12,MATCH(IF(H55="",G55,H55),Parámetros!$A$5:$A$12,0))</f>
        <v>13</v>
      </c>
      <c r="P55" s="17" t="n">
        <f aca="false">INDEX(Parámetros!$G$5:$G$12,MATCH(G55,Parámetros!$A$5:$A$12,0))</f>
        <v>0.027</v>
      </c>
      <c r="Q55" s="17" t="n">
        <f aca="false">IF(Z55="","",INDEX(Parámetros!$C$27:$C$31,MATCH(Z55,Parámetros!$A$27:$A$31,0))*P55)</f>
        <v>0.54</v>
      </c>
      <c r="R55" s="17" t="n">
        <f aca="false">INDEX(Parámetros!$D$27:$D$31,MATCH(Z55,Parámetros!$A$27:$A$31,0))*P55</f>
        <v>1.62</v>
      </c>
      <c r="S55" s="17" t="n">
        <f aca="false">(Q55+0.5*(1-(N55/L55)^2)+(1-(N55/L55)^2)^2)*(L55/N55)^4+IF(Z55="",0,INDEX(Parámetros!$E$27:$E$31,MATCH(Z55,Parámetros!$A$27:$A$31,0)))</f>
        <v>1.89399670879871</v>
      </c>
      <c r="T55" s="17" t="n">
        <f aca="false">(R55+0.5*(1-(O55/L55)^2)+(1-(O55/M55)^2)^2)*(M55/O55)^4+IF(Z55="",0,INDEX(Parámetros!$E$27:$E$31,MATCH(Z55,Parámetros!$A$27:$A$31,0)))</f>
        <v>4.37216203914429</v>
      </c>
      <c r="U55" s="11"/>
      <c r="V55" s="13" t="s">
        <v>443</v>
      </c>
      <c r="W55" s="19" t="n">
        <v>2.96</v>
      </c>
      <c r="X55" s="18" t="s">
        <v>444</v>
      </c>
      <c r="Y55" s="7"/>
      <c r="Z55" s="7" t="s">
        <v>56</v>
      </c>
      <c r="AA55" s="7" t="s">
        <v>384</v>
      </c>
      <c r="AB55" s="16" t="n">
        <f aca="false">IF(COUNTIFS(Packs!$D$2:$D$70,A55,Packs!$F$2:$F$70,"&gt;0")=0,"",_xlfn.MINIFS(Packs!$F$2:$F$70,Packs!$D$2:$D$70,A55,Packs!$F$2:$F$70,"&gt;0"))</f>
        <v>2.7375</v>
      </c>
      <c r="AC55" s="13" t="n">
        <f aca="false">COUNTIF(Packs!$D$2:$D$70,A55)</f>
        <v>1</v>
      </c>
    </row>
    <row r="56" customFormat="false" ht="15" hidden="false" customHeight="false" outlineLevel="0" collapsed="false">
      <c r="A56" s="7" t="s">
        <v>233</v>
      </c>
      <c r="B56" s="7" t="s">
        <v>438</v>
      </c>
      <c r="C56" s="7" t="s">
        <v>439</v>
      </c>
      <c r="D56" s="7" t="s">
        <v>440</v>
      </c>
      <c r="E56" s="7" t="s">
        <v>441</v>
      </c>
      <c r="F56" s="7" t="s">
        <v>442</v>
      </c>
      <c r="G56" s="7" t="n">
        <v>25</v>
      </c>
      <c r="H56" s="7" t="n">
        <v>25</v>
      </c>
      <c r="I56" s="7"/>
      <c r="J56" s="7" t="n">
        <v>16</v>
      </c>
      <c r="K56" s="7" t="s">
        <v>381</v>
      </c>
      <c r="L56" s="9" t="n">
        <f aca="false">INDEX(Parámetros!$D$5:$D$12,MATCH(G56,Parámetros!$A$5:$A$12,0))</f>
        <v>20.4</v>
      </c>
      <c r="M56" s="9" t="n">
        <f aca="false">INDEX(Parámetros!$D$5:$D$12,MATCH(IF(H56="",G56,H56),Parámetros!$A$5:$A$12,0))</f>
        <v>20.4</v>
      </c>
      <c r="N56" s="9" t="n">
        <f aca="false">INDEX(Parámetros!$E$5:$E$12,MATCH(G56,Parámetros!$A$5:$A$12,0))</f>
        <v>17</v>
      </c>
      <c r="O56" s="9" t="n">
        <f aca="false">INDEX(Parámetros!$E$5:$E$12,MATCH(IF(H56="",G56,H56),Parámetros!$A$5:$A$12,0))</f>
        <v>17</v>
      </c>
      <c r="P56" s="17" t="n">
        <f aca="false">INDEX(Parámetros!$G$5:$G$12,MATCH(G56,Parámetros!$A$5:$A$12,0))</f>
        <v>0.025</v>
      </c>
      <c r="Q56" s="17" t="n">
        <f aca="false">IF(Z56="","",INDEX(Parámetros!$C$27:$C$31,MATCH(Z56,Parámetros!$A$27:$A$31,0))*P56)</f>
        <v>0.5</v>
      </c>
      <c r="R56" s="17" t="n">
        <f aca="false">INDEX(Parámetros!$D$27:$D$31,MATCH(Z56,Parámetros!$A$27:$A$31,0))*P56</f>
        <v>1.5</v>
      </c>
      <c r="S56" s="17" t="n">
        <f aca="false">(Q56+0.5*(1-(N56/L56)^2)+(1-(N56/L56)^2)^2)*(L56/N56)^4+IF(Z56="",0,INDEX(Parámetros!$E$27:$E$31,MATCH(Z56,Parámetros!$A$27:$A$31,0)))</f>
        <v>1.5472</v>
      </c>
      <c r="T56" s="17" t="n">
        <f aca="false">(R56+0.5*(1-(O56/L56)^2)+(1-(O56/M56)^2)^2)*(M56/O56)^4+IF(Z56="",0,INDEX(Parámetros!$E$27:$E$31,MATCH(Z56,Parámetros!$A$27:$A$31,0)))</f>
        <v>3.6208</v>
      </c>
      <c r="U56" s="11"/>
      <c r="V56" s="13" t="s">
        <v>443</v>
      </c>
      <c r="W56" s="19" t="n">
        <v>2.96</v>
      </c>
      <c r="X56" s="18" t="s">
        <v>444</v>
      </c>
      <c r="Y56" s="7"/>
      <c r="Z56" s="7" t="s">
        <v>56</v>
      </c>
      <c r="AA56" s="7" t="s">
        <v>384</v>
      </c>
      <c r="AB56" s="16" t="n">
        <f aca="false">IF(COUNTIFS(Packs!$D$2:$D$70,A56,Packs!$F$2:$F$70,"&gt;0")=0,"",_xlfn.MINIFS(Packs!$F$2:$F$70,Packs!$D$2:$D$70,A56,Packs!$F$2:$F$70,"&gt;0"))</f>
        <v>3.7375</v>
      </c>
      <c r="AC56" s="13" t="n">
        <f aca="false">COUNTIF(Packs!$D$2:$D$70,A56)</f>
        <v>1</v>
      </c>
    </row>
    <row r="57" customFormat="false" ht="15" hidden="false" customHeight="false" outlineLevel="0" collapsed="false">
      <c r="A57" s="7" t="s">
        <v>237</v>
      </c>
      <c r="B57" s="7" t="s">
        <v>438</v>
      </c>
      <c r="C57" s="7" t="s">
        <v>439</v>
      </c>
      <c r="D57" s="7" t="s">
        <v>440</v>
      </c>
      <c r="E57" s="7" t="s">
        <v>441</v>
      </c>
      <c r="F57" s="7" t="s">
        <v>442</v>
      </c>
      <c r="G57" s="7" t="n">
        <v>32</v>
      </c>
      <c r="H57" s="7" t="n">
        <v>32</v>
      </c>
      <c r="I57" s="7"/>
      <c r="J57" s="7" t="n">
        <v>16</v>
      </c>
      <c r="K57" s="7" t="s">
        <v>381</v>
      </c>
      <c r="L57" s="9" t="n">
        <f aca="false">INDEX(Parámetros!$D$5:$D$12,MATCH(G57,Parámetros!$A$5:$A$12,0))</f>
        <v>26.2</v>
      </c>
      <c r="M57" s="9" t="n">
        <f aca="false">INDEX(Parámetros!$D$5:$D$12,MATCH(IF(H57="",G57,H57),Parámetros!$A$5:$A$12,0))</f>
        <v>26.2</v>
      </c>
      <c r="N57" s="9" t="n">
        <f aca="false">INDEX(Parámetros!$E$5:$E$12,MATCH(G57,Parámetros!$A$5:$A$12,0))</f>
        <v>22</v>
      </c>
      <c r="O57" s="9" t="n">
        <f aca="false">INDEX(Parámetros!$E$5:$E$12,MATCH(IF(H57="",G57,H57),Parámetros!$A$5:$A$12,0))</f>
        <v>22</v>
      </c>
      <c r="P57" s="17" t="n">
        <f aca="false">INDEX(Parámetros!$G$5:$G$12,MATCH(G57,Parámetros!$A$5:$A$12,0))</f>
        <v>0.023</v>
      </c>
      <c r="Q57" s="17" t="n">
        <f aca="false">IF(Z57="","",INDEX(Parámetros!$C$27:$C$31,MATCH(Z57,Parámetros!$A$27:$A$31,0))*P57)</f>
        <v>0.46</v>
      </c>
      <c r="R57" s="17" t="n">
        <f aca="false">INDEX(Parámetros!$D$27:$D$31,MATCH(Z57,Parámetros!$A$27:$A$31,0))*P57</f>
        <v>1.38</v>
      </c>
      <c r="S57" s="17" t="n">
        <f aca="false">(Q57+0.5*(1-(N57/L57)^2)+(1-(N57/L57)^2)^2)*(L57/N57)^4+IF(Z57="",0,INDEX(Parámetros!$E$27:$E$31,MATCH(Z57,Parámetros!$A$27:$A$31,0)))</f>
        <v>1.39682805245543</v>
      </c>
      <c r="T57" s="17" t="n">
        <f aca="false">(R57+0.5*(1-(O57/L57)^2)+(1-(O57/M57)^2)^2)*(M57/O57)^4+IF(Z57="",0,INDEX(Parámetros!$E$27:$E$31,MATCH(Z57,Parámetros!$A$27:$A$31,0)))</f>
        <v>3.24738421200738</v>
      </c>
      <c r="U57" s="11"/>
      <c r="V57" s="13" t="s">
        <v>443</v>
      </c>
      <c r="W57" s="19" t="n">
        <v>2.96</v>
      </c>
      <c r="X57" s="18" t="s">
        <v>444</v>
      </c>
      <c r="Y57" s="7"/>
      <c r="Z57" s="7" t="s">
        <v>56</v>
      </c>
      <c r="AA57" s="7" t="s">
        <v>384</v>
      </c>
      <c r="AB57" s="16" t="n">
        <f aca="false">IF(COUNTIFS(Packs!$D$2:$D$70,A57,Packs!$F$2:$F$70,"&gt;0")=0,"",_xlfn.MINIFS(Packs!$F$2:$F$70,Packs!$D$2:$D$70,A57,Packs!$F$2:$F$70,"&gt;0"))</f>
        <v>4.4875</v>
      </c>
      <c r="AC57" s="13" t="n">
        <f aca="false">COUNTIF(Packs!$D$2:$D$70,A57)</f>
        <v>1</v>
      </c>
    </row>
    <row r="58" customFormat="false" ht="15" hidden="false" customHeight="false" outlineLevel="0" collapsed="false">
      <c r="A58" s="7" t="s">
        <v>241</v>
      </c>
      <c r="B58" s="7" t="s">
        <v>438</v>
      </c>
      <c r="C58" s="7" t="s">
        <v>439</v>
      </c>
      <c r="D58" s="7" t="s">
        <v>440</v>
      </c>
      <c r="E58" s="7" t="s">
        <v>441</v>
      </c>
      <c r="F58" s="7" t="s">
        <v>442</v>
      </c>
      <c r="G58" s="7" t="n">
        <v>40</v>
      </c>
      <c r="H58" s="7" t="n">
        <v>40</v>
      </c>
      <c r="I58" s="7"/>
      <c r="J58" s="7" t="n">
        <v>16</v>
      </c>
      <c r="K58" s="7" t="s">
        <v>381</v>
      </c>
      <c r="L58" s="9" t="n">
        <f aca="false">INDEX(Parámetros!$D$5:$D$12,MATCH(G58,Parámetros!$A$5:$A$12,0))</f>
        <v>32.6</v>
      </c>
      <c r="M58" s="9" t="n">
        <f aca="false">INDEX(Parámetros!$D$5:$D$12,MATCH(IF(H58="",G58,H58),Parámetros!$A$5:$A$12,0))</f>
        <v>32.6</v>
      </c>
      <c r="N58" s="9" t="n">
        <f aca="false">INDEX(Parámetros!$E$5:$E$12,MATCH(G58,Parámetros!$A$5:$A$12,0))</f>
        <v>28</v>
      </c>
      <c r="O58" s="9" t="n">
        <f aca="false">INDEX(Parámetros!$E$5:$E$12,MATCH(IF(H58="",G58,H58),Parámetros!$A$5:$A$12,0))</f>
        <v>28</v>
      </c>
      <c r="P58" s="17" t="n">
        <f aca="false">INDEX(Parámetros!$G$5:$G$12,MATCH(G58,Parámetros!$A$5:$A$12,0))</f>
        <v>0.022</v>
      </c>
      <c r="Q58" s="17" t="n">
        <f aca="false">IF(Z58="","",INDEX(Parámetros!$C$27:$C$31,MATCH(Z58,Parámetros!$A$27:$A$31,0))*P58)</f>
        <v>0.44</v>
      </c>
      <c r="R58" s="17" t="n">
        <f aca="false">INDEX(Parámetros!$D$27:$D$31,MATCH(Z58,Parámetros!$A$27:$A$31,0))*P58</f>
        <v>1.32</v>
      </c>
      <c r="S58" s="17" t="n">
        <f aca="false">(Q58+0.5*(1-(N58/L58)^2)+(1-(N58/L58)^2)^2)*(L58/N58)^4+IF(Z58="",0,INDEX(Parámetros!$E$27:$E$31,MATCH(Z58,Parámetros!$A$27:$A$31,0)))</f>
        <v>1.17593663145564</v>
      </c>
      <c r="T58" s="17" t="n">
        <f aca="false">(R58+0.5*(1-(O58/L58)^2)+(1-(O58/M58)^2)^2)*(M58/O58)^4+IF(Z58="",0,INDEX(Parámetros!$E$27:$E$31,MATCH(Z58,Parámetros!$A$27:$A$31,0)))</f>
        <v>2.79297731679509</v>
      </c>
      <c r="U58" s="11"/>
      <c r="V58" s="13" t="s">
        <v>443</v>
      </c>
      <c r="W58" s="19" t="n">
        <v>2.96</v>
      </c>
      <c r="X58" s="18" t="s">
        <v>444</v>
      </c>
      <c r="Y58" s="7"/>
      <c r="Z58" s="7" t="s">
        <v>56</v>
      </c>
      <c r="AA58" s="7" t="s">
        <v>384</v>
      </c>
      <c r="AB58" s="16" t="n">
        <f aca="false">IF(COUNTIFS(Packs!$D$2:$D$70,A58,Packs!$F$2:$F$70,"&gt;0")=0,"",_xlfn.MINIFS(Packs!$F$2:$F$70,Packs!$D$2:$D$70,A58,Packs!$F$2:$F$70,"&gt;0"))</f>
        <v>7.4875</v>
      </c>
      <c r="AC58" s="13" t="n">
        <f aca="false">COUNTIF(Packs!$D$2:$D$70,A58)</f>
        <v>1</v>
      </c>
    </row>
    <row r="59" customFormat="false" ht="15" hidden="false" customHeight="false" outlineLevel="0" collapsed="false">
      <c r="A59" s="7" t="s">
        <v>245</v>
      </c>
      <c r="B59" s="7" t="s">
        <v>438</v>
      </c>
      <c r="C59" s="7" t="s">
        <v>439</v>
      </c>
      <c r="D59" s="7" t="s">
        <v>440</v>
      </c>
      <c r="E59" s="7" t="s">
        <v>441</v>
      </c>
      <c r="F59" s="7" t="s">
        <v>442</v>
      </c>
      <c r="G59" s="7" t="n">
        <v>50</v>
      </c>
      <c r="H59" s="7" t="n">
        <v>50</v>
      </c>
      <c r="I59" s="7"/>
      <c r="J59" s="7" t="n">
        <v>16</v>
      </c>
      <c r="K59" s="7" t="s">
        <v>381</v>
      </c>
      <c r="L59" s="9" t="n">
        <f aca="false">INDEX(Parámetros!$D$5:$D$12,MATCH(G59,Parámetros!$A$5:$A$12,0))</f>
        <v>40.8</v>
      </c>
      <c r="M59" s="9" t="n">
        <f aca="false">INDEX(Parámetros!$D$5:$D$12,MATCH(IF(H59="",G59,H59),Parámetros!$A$5:$A$12,0))</f>
        <v>40.8</v>
      </c>
      <c r="N59" s="9" t="n">
        <f aca="false">INDEX(Parámetros!$E$5:$E$12,MATCH(G59,Parámetros!$A$5:$A$12,0))</f>
        <v>35</v>
      </c>
      <c r="O59" s="9" t="n">
        <f aca="false">INDEX(Parámetros!$E$5:$E$12,MATCH(IF(H59="",G59,H59),Parámetros!$A$5:$A$12,0))</f>
        <v>35</v>
      </c>
      <c r="P59" s="17" t="n">
        <f aca="false">INDEX(Parámetros!$G$5:$G$12,MATCH(G59,Parámetros!$A$5:$A$12,0))</f>
        <v>0.021</v>
      </c>
      <c r="Q59" s="17" t="n">
        <f aca="false">IF(Z59="","",INDEX(Parámetros!$C$27:$C$31,MATCH(Z59,Parámetros!$A$27:$A$31,0))*P59)</f>
        <v>0.42</v>
      </c>
      <c r="R59" s="17" t="n">
        <f aca="false">INDEX(Parámetros!$D$27:$D$31,MATCH(Z59,Parámetros!$A$27:$A$31,0))*P59</f>
        <v>1.26</v>
      </c>
      <c r="S59" s="17" t="n">
        <f aca="false">(Q59+0.5*(1-(N59/L59)^2)+(1-(N59/L59)^2)^2)*(L59/N59)^4+IF(Z59="",0,INDEX(Parámetros!$E$27:$E$31,MATCH(Z59,Parámetros!$A$27:$A$31,0)))</f>
        <v>1.14821194691012</v>
      </c>
      <c r="T59" s="17" t="n">
        <f aca="false">(R59+0.5*(1-(O59/L59)^2)+(1-(O59/M59)^2)^2)*(M59/O59)^4+IF(Z59="",0,INDEX(Parámetros!$E$27:$E$31,MATCH(Z59,Parámetros!$A$27:$A$31,0)))</f>
        <v>2.69934038796901</v>
      </c>
      <c r="U59" s="11"/>
      <c r="V59" s="13" t="s">
        <v>443</v>
      </c>
      <c r="W59" s="19" t="n">
        <v>2.96</v>
      </c>
      <c r="X59" s="18" t="s">
        <v>444</v>
      </c>
      <c r="Y59" s="7"/>
      <c r="Z59" s="7" t="s">
        <v>56</v>
      </c>
      <c r="AA59" s="7" t="s">
        <v>384</v>
      </c>
      <c r="AB59" s="16" t="n">
        <f aca="false">IF(COUNTIFS(Packs!$D$2:$D$70,A59,Packs!$F$2:$F$70,"&gt;0")=0,"",_xlfn.MINIFS(Packs!$F$2:$F$70,Packs!$D$2:$D$70,A59,Packs!$F$2:$F$70,"&gt;0"))</f>
        <v>9.7375</v>
      </c>
      <c r="AC59" s="13" t="n">
        <f aca="false">COUNTIF(Packs!$D$2:$D$70,A59)</f>
        <v>1</v>
      </c>
    </row>
    <row r="60" customFormat="false" ht="15" hidden="false" customHeight="false" outlineLevel="0" collapsed="false">
      <c r="A60" s="7" t="s">
        <v>249</v>
      </c>
      <c r="B60" s="7" t="s">
        <v>438</v>
      </c>
      <c r="C60" s="7" t="s">
        <v>439</v>
      </c>
      <c r="D60" s="7" t="s">
        <v>440</v>
      </c>
      <c r="E60" s="7" t="s">
        <v>441</v>
      </c>
      <c r="F60" s="7" t="s">
        <v>442</v>
      </c>
      <c r="G60" s="7" t="n">
        <v>63</v>
      </c>
      <c r="H60" s="7" t="n">
        <v>63</v>
      </c>
      <c r="I60" s="7"/>
      <c r="J60" s="7" t="n">
        <v>16</v>
      </c>
      <c r="K60" s="7" t="s">
        <v>381</v>
      </c>
      <c r="L60" s="9" t="n">
        <f aca="false">INDEX(Parámetros!$D$5:$D$12,MATCH(G60,Parámetros!$A$5:$A$12,0))</f>
        <v>51.4</v>
      </c>
      <c r="M60" s="9" t="n">
        <f aca="false">INDEX(Parámetros!$D$5:$D$12,MATCH(IF(H60="",G60,H60),Parámetros!$A$5:$A$12,0))</f>
        <v>51.4</v>
      </c>
      <c r="N60" s="9" t="n">
        <f aca="false">INDEX(Parámetros!$E$5:$E$12,MATCH(G60,Parámetros!$A$5:$A$12,0))</f>
        <v>45</v>
      </c>
      <c r="O60" s="9" t="n">
        <f aca="false">INDEX(Parámetros!$E$5:$E$12,MATCH(IF(H60="",G60,H60),Parámetros!$A$5:$A$12,0))</f>
        <v>45</v>
      </c>
      <c r="P60" s="17" t="n">
        <f aca="false">INDEX(Parámetros!$G$5:$G$12,MATCH(G60,Parámetros!$A$5:$A$12,0))</f>
        <v>0.019</v>
      </c>
      <c r="Q60" s="17" t="n">
        <f aca="false">IF(Z60="","",INDEX(Parámetros!$C$27:$C$31,MATCH(Z60,Parámetros!$A$27:$A$31,0))*P60)</f>
        <v>0.38</v>
      </c>
      <c r="R60" s="17" t="n">
        <f aca="false">INDEX(Parámetros!$D$27:$D$31,MATCH(Z60,Parámetros!$A$27:$A$31,0))*P60</f>
        <v>1.14</v>
      </c>
      <c r="S60" s="17" t="n">
        <f aca="false">(Q60+0.5*(1-(N60/L60)^2)+(1-(N60/L60)^2)^2)*(L60/N60)^4+IF(Z60="",0,INDEX(Parámetros!$E$27:$E$31,MATCH(Z60,Parámetros!$A$27:$A$31,0)))</f>
        <v>0.938396821510867</v>
      </c>
      <c r="T60" s="17" t="n">
        <f aca="false">(R60+0.5*(1-(O60/L60)^2)+(1-(O60/M60)^2)^2)*(M60/O60)^4+IF(Z60="",0,INDEX(Parámetros!$E$27:$E$31,MATCH(Z60,Parámetros!$A$27:$A$31,0)))</f>
        <v>2.23204449902734</v>
      </c>
      <c r="U60" s="11"/>
      <c r="V60" s="13" t="s">
        <v>443</v>
      </c>
      <c r="W60" s="19" t="n">
        <v>2.96</v>
      </c>
      <c r="X60" s="18" t="s">
        <v>444</v>
      </c>
      <c r="Y60" s="7"/>
      <c r="Z60" s="7" t="s">
        <v>56</v>
      </c>
      <c r="AA60" s="7" t="s">
        <v>384</v>
      </c>
      <c r="AB60" s="16" t="n">
        <f aca="false">IF(COUNTIFS(Packs!$D$2:$D$70,A60,Packs!$F$2:$F$70,"&gt;0")=0,"",_xlfn.MINIFS(Packs!$F$2:$F$70,Packs!$D$2:$D$70,A60,Packs!$F$2:$F$70,"&gt;0"))</f>
        <v>11.4875</v>
      </c>
      <c r="AC60" s="13" t="n">
        <f aca="false">COUNTIF(Packs!$D$2:$D$70,A60)</f>
        <v>1</v>
      </c>
    </row>
    <row r="61" customFormat="false" ht="15" hidden="false" customHeight="false" outlineLevel="0" collapsed="false">
      <c r="A61" s="7" t="s">
        <v>253</v>
      </c>
      <c r="B61" s="7" t="s">
        <v>438</v>
      </c>
      <c r="C61" s="7" t="s">
        <v>439</v>
      </c>
      <c r="D61" s="7" t="s">
        <v>440</v>
      </c>
      <c r="E61" s="7" t="s">
        <v>441</v>
      </c>
      <c r="F61" s="7" t="s">
        <v>442</v>
      </c>
      <c r="G61" s="7" t="n">
        <v>75</v>
      </c>
      <c r="H61" s="7" t="n">
        <v>75</v>
      </c>
      <c r="I61" s="7"/>
      <c r="J61" s="7" t="n">
        <v>16</v>
      </c>
      <c r="K61" s="7" t="s">
        <v>381</v>
      </c>
      <c r="L61" s="9" t="n">
        <f aca="false">INDEX(Parámetros!$D$5:$D$12,MATCH(G61,Parámetros!$A$5:$A$12,0))</f>
        <v>61.4</v>
      </c>
      <c r="M61" s="9" t="n">
        <f aca="false">INDEX(Parámetros!$D$5:$D$12,MATCH(IF(H61="",G61,H61),Parámetros!$A$5:$A$12,0))</f>
        <v>61.4</v>
      </c>
      <c r="N61" s="9" t="n">
        <f aca="false">INDEX(Parámetros!$E$5:$E$12,MATCH(G61,Parámetros!$A$5:$A$12,0))</f>
        <v>54</v>
      </c>
      <c r="O61" s="9" t="n">
        <f aca="false">INDEX(Parámetros!$E$5:$E$12,MATCH(IF(H61="",G61,H61),Parámetros!$A$5:$A$12,0))</f>
        <v>54</v>
      </c>
      <c r="P61" s="17" t="n">
        <f aca="false">INDEX(Parámetros!$G$5:$G$12,MATCH(G61,Parámetros!$A$5:$A$12,0))</f>
        <v>0.018</v>
      </c>
      <c r="Q61" s="17" t="n">
        <f aca="false">IF(Z61="","",INDEX(Parámetros!$C$27:$C$31,MATCH(Z61,Parámetros!$A$27:$A$31,0))*P61)</f>
        <v>0.36</v>
      </c>
      <c r="R61" s="17" t="n">
        <f aca="false">INDEX(Parámetros!$D$27:$D$31,MATCH(Z61,Parámetros!$A$27:$A$31,0))*P61</f>
        <v>1.08</v>
      </c>
      <c r="S61" s="17" t="n">
        <f aca="false">(Q61+0.5*(1-(N61/L61)^2)+(1-(N61/L61)^2)^2)*(L61/N61)^4+IF(Z61="",0,INDEX(Parámetros!$E$27:$E$31,MATCH(Z61,Parámetros!$A$27:$A$31,0)))</f>
        <v>0.876800132443677</v>
      </c>
      <c r="T61" s="17" t="n">
        <f aca="false">(R61+0.5*(1-(O61/L61)^2)+(1-(O61/M61)^2)^2)*(M61/O61)^4+IF(Z61="",0,INDEX(Parámetros!$E$27:$E$31,MATCH(Z61,Parámetros!$A$27:$A$31,0)))</f>
        <v>2.08025814202894</v>
      </c>
      <c r="U61" s="11"/>
      <c r="V61" s="13" t="s">
        <v>443</v>
      </c>
      <c r="W61" s="19" t="n">
        <v>2.96</v>
      </c>
      <c r="X61" s="18" t="s">
        <v>444</v>
      </c>
      <c r="Y61" s="7"/>
      <c r="Z61" s="7" t="s">
        <v>56</v>
      </c>
      <c r="AA61" s="7" t="s">
        <v>384</v>
      </c>
      <c r="AB61" s="16" t="n">
        <f aca="false">IF(COUNTIFS(Packs!$D$2:$D$70,A61,Packs!$F$2:$F$70,"&gt;0")=0,"",_xlfn.MINIFS(Packs!$F$2:$F$70,Packs!$D$2:$D$70,A61,Packs!$F$2:$F$70,"&gt;0"))</f>
        <v>25.2375</v>
      </c>
      <c r="AC61" s="13" t="n">
        <f aca="false">COUNTIF(Packs!$D$2:$D$70,A61)</f>
        <v>1</v>
      </c>
    </row>
    <row r="62" customFormat="false" ht="15" hidden="false" customHeight="false" outlineLevel="0" collapsed="false">
      <c r="A62" s="7" t="s">
        <v>257</v>
      </c>
      <c r="B62" s="7" t="s">
        <v>438</v>
      </c>
      <c r="C62" s="7" t="s">
        <v>439</v>
      </c>
      <c r="D62" s="7" t="s">
        <v>440</v>
      </c>
      <c r="E62" s="7" t="s">
        <v>441</v>
      </c>
      <c r="F62" s="7" t="s">
        <v>442</v>
      </c>
      <c r="G62" s="7" t="n">
        <v>90</v>
      </c>
      <c r="H62" s="7" t="n">
        <v>90</v>
      </c>
      <c r="I62" s="7"/>
      <c r="J62" s="7" t="n">
        <v>16</v>
      </c>
      <c r="K62" s="7" t="s">
        <v>381</v>
      </c>
      <c r="L62" s="9" t="n">
        <f aca="false">INDEX(Parámetros!$D$5:$D$12,MATCH(G62,Parámetros!$A$5:$A$12,0))</f>
        <v>73.6</v>
      </c>
      <c r="M62" s="9" t="n">
        <f aca="false">INDEX(Parámetros!$D$5:$D$12,MATCH(IF(H62="",G62,H62),Parámetros!$A$5:$A$12,0))</f>
        <v>73.6</v>
      </c>
      <c r="N62" s="9" t="n">
        <f aca="false">INDEX(Parámetros!$E$5:$E$12,MATCH(G62,Parámetros!$A$5:$A$12,0))</f>
        <v>66</v>
      </c>
      <c r="O62" s="9" t="n">
        <f aca="false">INDEX(Parámetros!$E$5:$E$12,MATCH(IF(H62="",G62,H62),Parámetros!$A$5:$A$12,0))</f>
        <v>66</v>
      </c>
      <c r="P62" s="17" t="n">
        <f aca="false">INDEX(Parámetros!$G$5:$G$12,MATCH(G62,Parámetros!$A$5:$A$12,0))</f>
        <v>0.018</v>
      </c>
      <c r="Q62" s="17" t="n">
        <f aca="false">IF(Z62="","",INDEX(Parámetros!$C$27:$C$31,MATCH(Z62,Parámetros!$A$27:$A$31,0))*P62)</f>
        <v>0.36</v>
      </c>
      <c r="R62" s="17" t="n">
        <f aca="false">INDEX(Parámetros!$D$27:$D$31,MATCH(Z62,Parámetros!$A$27:$A$31,0))*P62</f>
        <v>1.08</v>
      </c>
      <c r="S62" s="17" t="n">
        <f aca="false">(Q62+0.5*(1-(N62/L62)^2)+(1-(N62/L62)^2)^2)*(L62/N62)^4+IF(Z62="",0,INDEX(Parámetros!$E$27:$E$31,MATCH(Z62,Parámetros!$A$27:$A$31,0)))</f>
        <v>0.767487310146291</v>
      </c>
      <c r="T62" s="17" t="n">
        <f aca="false">(R62+0.5*(1-(O62/L62)^2)+(1-(O62/M62)^2)^2)*(M62/O62)^4+IF(Z62="",0,INDEX(Parámetros!$E$27:$E$31,MATCH(Z62,Parámetros!$A$27:$A$31,0)))</f>
        <v>1.88093036737523</v>
      </c>
      <c r="U62" s="11"/>
      <c r="V62" s="13" t="s">
        <v>443</v>
      </c>
      <c r="W62" s="19" t="n">
        <v>2.96</v>
      </c>
      <c r="X62" s="18" t="s">
        <v>444</v>
      </c>
      <c r="Y62" s="7"/>
      <c r="Z62" s="7" t="s">
        <v>56</v>
      </c>
      <c r="AA62" s="7" t="s">
        <v>384</v>
      </c>
      <c r="AB62" s="16" t="n">
        <f aca="false">IF(COUNTIFS(Packs!$D$2:$D$70,A62,Packs!$F$2:$F$70,"&gt;0")=0,"",_xlfn.MINIFS(Packs!$F$2:$F$70,Packs!$D$2:$D$70,A62,Packs!$F$2:$F$70,"&gt;0"))</f>
        <v>37.2375</v>
      </c>
      <c r="AC62" s="13" t="n">
        <f aca="false">COUNTIF(Packs!$D$2:$D$70,A62)</f>
        <v>1</v>
      </c>
    </row>
    <row r="63" customFormat="false" ht="15" hidden="false" customHeight="false" outlineLevel="0" collapsed="false">
      <c r="A63" s="7" t="s">
        <v>445</v>
      </c>
      <c r="B63" s="7" t="s">
        <v>446</v>
      </c>
      <c r="C63" s="7" t="s">
        <v>447</v>
      </c>
      <c r="D63" s="7" t="s">
        <v>440</v>
      </c>
      <c r="E63" s="7" t="s">
        <v>448</v>
      </c>
      <c r="F63" s="7" t="s">
        <v>442</v>
      </c>
      <c r="G63" s="7" t="n">
        <v>25</v>
      </c>
      <c r="H63" s="7" t="n">
        <v>20</v>
      </c>
      <c r="I63" s="7"/>
      <c r="J63" s="7" t="n">
        <v>16</v>
      </c>
      <c r="K63" s="7" t="s">
        <v>381</v>
      </c>
      <c r="L63" s="9" t="n">
        <f aca="false">INDEX(Parámetros!$D$5:$D$12,MATCH(G63,Parámetros!$A$5:$A$12,0))</f>
        <v>20.4</v>
      </c>
      <c r="M63" s="9" t="n">
        <f aca="false">INDEX(Parámetros!$D$5:$D$12,MATCH(IF(H63="",G63,H63),Parámetros!$A$5:$A$12,0))</f>
        <v>16</v>
      </c>
      <c r="N63" s="9" t="n">
        <f aca="false">INDEX(Parámetros!$E$5:$E$12,MATCH(G63,Parámetros!$A$5:$A$12,0))</f>
        <v>17</v>
      </c>
      <c r="O63" s="9" t="n">
        <f aca="false">INDEX(Parámetros!$E$5:$E$12,MATCH(IF(H63="",G63,H63),Parámetros!$A$5:$A$12,0))</f>
        <v>13</v>
      </c>
      <c r="P63" s="17" t="n">
        <f aca="false">INDEX(Parámetros!$G$5:$G$12,MATCH(G63,Parámetros!$A$5:$A$12,0))</f>
        <v>0.025</v>
      </c>
      <c r="Q63" s="17" t="n">
        <f aca="false">IF(Z63="","",INDEX(Parámetros!$C$27:$C$31,MATCH(Z63,Parámetros!$A$27:$A$31,0))*P63)</f>
        <v>0.5</v>
      </c>
      <c r="R63" s="17" t="n">
        <f aca="false">INDEX(Parámetros!$D$27:$D$31,MATCH(Z63,Parámetros!$A$27:$A$31,0))*P63</f>
        <v>1.5</v>
      </c>
      <c r="S63" s="17" t="n">
        <f aca="false">(Q63+0.5*(1-(N63/L63)^2)+(1-(N63/L63)^2)^2)*(L63/N63)^4+IF(Z63="",0,INDEX(Parámetros!$E$27:$E$31,MATCH(Z63,Parámetros!$A$27:$A$31,0)))</f>
        <v>1.5472</v>
      </c>
      <c r="T63" s="17" t="n">
        <f aca="false">(R63+0.5*(1-(O63/L63)^2)+(1-(O63/M63)^2)^2)*(M63/O63)^4+IF(Z63="",0,INDEX(Parámetros!$E$27:$E$31,MATCH(Z63,Parámetros!$A$27:$A$31,0)))</f>
        <v>4.38829585909199</v>
      </c>
      <c r="U63" s="11"/>
      <c r="V63" s="13" t="s">
        <v>443</v>
      </c>
      <c r="W63" s="19" t="n">
        <v>5.25</v>
      </c>
      <c r="X63" s="18" t="s">
        <v>449</v>
      </c>
      <c r="Y63" s="7"/>
      <c r="Z63" s="7" t="s">
        <v>56</v>
      </c>
      <c r="AA63" s="7" t="s">
        <v>384</v>
      </c>
      <c r="AB63" s="16" t="str">
        <f aca="false">IF(COUNTIFS(Packs!$D$2:$D$70,A63,Packs!$F$2:$F$70,"&gt;0")=0,"",_xlfn.MINIFS(Packs!$F$2:$F$70,Packs!$D$2:$D$70,A63,Packs!$F$2:$F$70,"&gt;0"))</f>
        <v/>
      </c>
      <c r="AC63" s="13" t="n">
        <f aca="false">COUNTIF(Packs!$D$2:$D$70,A63)</f>
        <v>0</v>
      </c>
    </row>
    <row r="64" customFormat="false" ht="15" hidden="false" customHeight="false" outlineLevel="0" collapsed="false">
      <c r="A64" s="7" t="s">
        <v>450</v>
      </c>
      <c r="B64" s="7" t="s">
        <v>446</v>
      </c>
      <c r="C64" s="7" t="s">
        <v>447</v>
      </c>
      <c r="D64" s="7" t="s">
        <v>440</v>
      </c>
      <c r="E64" s="7" t="s">
        <v>448</v>
      </c>
      <c r="F64" s="7" t="s">
        <v>442</v>
      </c>
      <c r="G64" s="7" t="n">
        <v>32</v>
      </c>
      <c r="H64" s="7" t="n">
        <v>25</v>
      </c>
      <c r="I64" s="7"/>
      <c r="J64" s="7" t="n">
        <v>16</v>
      </c>
      <c r="K64" s="7" t="s">
        <v>381</v>
      </c>
      <c r="L64" s="9" t="n">
        <f aca="false">INDEX(Parámetros!$D$5:$D$12,MATCH(G64,Parámetros!$A$5:$A$12,0))</f>
        <v>26.2</v>
      </c>
      <c r="M64" s="9" t="n">
        <f aca="false">INDEX(Parámetros!$D$5:$D$12,MATCH(IF(H64="",G64,H64),Parámetros!$A$5:$A$12,0))</f>
        <v>20.4</v>
      </c>
      <c r="N64" s="9" t="n">
        <f aca="false">INDEX(Parámetros!$E$5:$E$12,MATCH(G64,Parámetros!$A$5:$A$12,0))</f>
        <v>22</v>
      </c>
      <c r="O64" s="9" t="n">
        <f aca="false">INDEX(Parámetros!$E$5:$E$12,MATCH(IF(H64="",G64,H64),Parámetros!$A$5:$A$12,0))</f>
        <v>17</v>
      </c>
      <c r="P64" s="17" t="n">
        <f aca="false">INDEX(Parámetros!$G$5:$G$12,MATCH(G64,Parámetros!$A$5:$A$12,0))</f>
        <v>0.023</v>
      </c>
      <c r="Q64" s="17" t="n">
        <f aca="false">IF(Z64="","",INDEX(Parámetros!$C$27:$C$31,MATCH(Z64,Parámetros!$A$27:$A$31,0))*P64)</f>
        <v>0.46</v>
      </c>
      <c r="R64" s="17" t="n">
        <f aca="false">INDEX(Parámetros!$D$27:$D$31,MATCH(Z64,Parámetros!$A$27:$A$31,0))*P64</f>
        <v>1.38</v>
      </c>
      <c r="S64" s="17" t="n">
        <f aca="false">(Q64+0.5*(1-(N64/L64)^2)+(1-(N64/L64)^2)^2)*(L64/N64)^4+IF(Z64="",0,INDEX(Parámetros!$E$27:$E$31,MATCH(Z64,Parámetros!$A$27:$A$31,0)))</f>
        <v>1.39682805245543</v>
      </c>
      <c r="T64" s="17" t="n">
        <f aca="false">(R64+0.5*(1-(O64/L64)^2)+(1-(O64/M64)^2)^2)*(M64/O64)^4+IF(Z64="",0,INDEX(Parámetros!$E$27:$E$31,MATCH(Z64,Parámetros!$A$27:$A$31,0)))</f>
        <v>3.65546196888293</v>
      </c>
      <c r="U64" s="11"/>
      <c r="V64" s="13" t="s">
        <v>443</v>
      </c>
      <c r="W64" s="19" t="n">
        <v>5.25</v>
      </c>
      <c r="X64" s="18" t="s">
        <v>449</v>
      </c>
      <c r="Y64" s="7"/>
      <c r="Z64" s="7" t="s">
        <v>56</v>
      </c>
      <c r="AA64" s="7" t="s">
        <v>384</v>
      </c>
      <c r="AB64" s="16" t="str">
        <f aca="false">IF(COUNTIFS(Packs!$D$2:$D$70,A64,Packs!$F$2:$F$70,"&gt;0")=0,"",_xlfn.MINIFS(Packs!$F$2:$F$70,Packs!$D$2:$D$70,A64,Packs!$F$2:$F$70,"&gt;0"))</f>
        <v/>
      </c>
      <c r="AC64" s="13" t="n">
        <f aca="false">COUNTIF(Packs!$D$2:$D$70,A64)</f>
        <v>0</v>
      </c>
    </row>
    <row r="65" customFormat="false" ht="15" hidden="false" customHeight="false" outlineLevel="0" collapsed="false">
      <c r="A65" s="7" t="s">
        <v>451</v>
      </c>
      <c r="B65" s="7" t="s">
        <v>446</v>
      </c>
      <c r="C65" s="7" t="s">
        <v>447</v>
      </c>
      <c r="D65" s="7" t="s">
        <v>440</v>
      </c>
      <c r="E65" s="7" t="s">
        <v>448</v>
      </c>
      <c r="F65" s="7" t="s">
        <v>442</v>
      </c>
      <c r="G65" s="7" t="n">
        <v>40</v>
      </c>
      <c r="H65" s="7" t="n">
        <v>32</v>
      </c>
      <c r="I65" s="7"/>
      <c r="J65" s="7" t="n">
        <v>16</v>
      </c>
      <c r="K65" s="7" t="s">
        <v>381</v>
      </c>
      <c r="L65" s="9" t="n">
        <f aca="false">INDEX(Parámetros!$D$5:$D$12,MATCH(G65,Parámetros!$A$5:$A$12,0))</f>
        <v>32.6</v>
      </c>
      <c r="M65" s="9" t="n">
        <f aca="false">INDEX(Parámetros!$D$5:$D$12,MATCH(IF(H65="",G65,H65),Parámetros!$A$5:$A$12,0))</f>
        <v>26.2</v>
      </c>
      <c r="N65" s="9" t="n">
        <f aca="false">INDEX(Parámetros!$E$5:$E$12,MATCH(G65,Parámetros!$A$5:$A$12,0))</f>
        <v>28</v>
      </c>
      <c r="O65" s="9" t="n">
        <f aca="false">INDEX(Parámetros!$E$5:$E$12,MATCH(IF(H65="",G65,H65),Parámetros!$A$5:$A$12,0))</f>
        <v>22</v>
      </c>
      <c r="P65" s="17" t="n">
        <f aca="false">INDEX(Parámetros!$G$5:$G$12,MATCH(G65,Parámetros!$A$5:$A$12,0))</f>
        <v>0.022</v>
      </c>
      <c r="Q65" s="17" t="n">
        <f aca="false">IF(Z65="","",INDEX(Parámetros!$C$27:$C$31,MATCH(Z65,Parámetros!$A$27:$A$31,0))*P65)</f>
        <v>0.44</v>
      </c>
      <c r="R65" s="17" t="n">
        <f aca="false">INDEX(Parámetros!$D$27:$D$31,MATCH(Z65,Parámetros!$A$27:$A$31,0))*P65</f>
        <v>1.32</v>
      </c>
      <c r="S65" s="17" t="n">
        <f aca="false">(Q65+0.5*(1-(N65/L65)^2)+(1-(N65/L65)^2)^2)*(L65/N65)^4+IF(Z65="",0,INDEX(Parámetros!$E$27:$E$31,MATCH(Z65,Parámetros!$A$27:$A$31,0)))</f>
        <v>1.17593663145564</v>
      </c>
      <c r="T65" s="17" t="n">
        <f aca="false">(R65+0.5*(1-(O65/L65)^2)+(1-(O65/M65)^2)^2)*(M65/O65)^4+IF(Z65="",0,INDEX(Parámetros!$E$27:$E$31,MATCH(Z65,Parámetros!$A$27:$A$31,0)))</f>
        <v>3.37779727734116</v>
      </c>
      <c r="U65" s="11"/>
      <c r="V65" s="13" t="s">
        <v>443</v>
      </c>
      <c r="W65" s="19" t="n">
        <v>5.25</v>
      </c>
      <c r="X65" s="18" t="s">
        <v>449</v>
      </c>
      <c r="Y65" s="7"/>
      <c r="Z65" s="7" t="s">
        <v>56</v>
      </c>
      <c r="AA65" s="7" t="s">
        <v>384</v>
      </c>
      <c r="AB65" s="16" t="str">
        <f aca="false">IF(COUNTIFS(Packs!$D$2:$D$70,A65,Packs!$F$2:$F$70,"&gt;0")=0,"",_xlfn.MINIFS(Packs!$F$2:$F$70,Packs!$D$2:$D$70,A65,Packs!$F$2:$F$70,"&gt;0"))</f>
        <v/>
      </c>
      <c r="AC65" s="13" t="n">
        <f aca="false">COUNTIF(Packs!$D$2:$D$70,A65)</f>
        <v>0</v>
      </c>
    </row>
    <row r="66" customFormat="false" ht="15" hidden="false" customHeight="false" outlineLevel="0" collapsed="false">
      <c r="A66" s="7" t="s">
        <v>452</v>
      </c>
      <c r="B66" s="7" t="s">
        <v>446</v>
      </c>
      <c r="C66" s="7" t="s">
        <v>447</v>
      </c>
      <c r="D66" s="7" t="s">
        <v>440</v>
      </c>
      <c r="E66" s="7" t="s">
        <v>448</v>
      </c>
      <c r="F66" s="7" t="s">
        <v>442</v>
      </c>
      <c r="G66" s="7" t="n">
        <v>50</v>
      </c>
      <c r="H66" s="7" t="n">
        <v>40</v>
      </c>
      <c r="I66" s="7"/>
      <c r="J66" s="7" t="n">
        <v>16</v>
      </c>
      <c r="K66" s="7" t="s">
        <v>381</v>
      </c>
      <c r="L66" s="9" t="n">
        <f aca="false">INDEX(Parámetros!$D$5:$D$12,MATCH(G66,Parámetros!$A$5:$A$12,0))</f>
        <v>40.8</v>
      </c>
      <c r="M66" s="9" t="n">
        <f aca="false">INDEX(Parámetros!$D$5:$D$12,MATCH(IF(H66="",G66,H66),Parámetros!$A$5:$A$12,0))</f>
        <v>32.6</v>
      </c>
      <c r="N66" s="9" t="n">
        <f aca="false">INDEX(Parámetros!$E$5:$E$12,MATCH(G66,Parámetros!$A$5:$A$12,0))</f>
        <v>35</v>
      </c>
      <c r="O66" s="9" t="n">
        <f aca="false">INDEX(Parámetros!$E$5:$E$12,MATCH(IF(H66="",G66,H66),Parámetros!$A$5:$A$12,0))</f>
        <v>28</v>
      </c>
      <c r="P66" s="17" t="n">
        <f aca="false">INDEX(Parámetros!$G$5:$G$12,MATCH(G66,Parámetros!$A$5:$A$12,0))</f>
        <v>0.021</v>
      </c>
      <c r="Q66" s="17" t="n">
        <f aca="false">IF(Z66="","",INDEX(Parámetros!$C$27:$C$31,MATCH(Z66,Parámetros!$A$27:$A$31,0))*P66)</f>
        <v>0.42</v>
      </c>
      <c r="R66" s="17" t="n">
        <f aca="false">INDEX(Parámetros!$D$27:$D$31,MATCH(Z66,Parámetros!$A$27:$A$31,0))*P66</f>
        <v>1.26</v>
      </c>
      <c r="S66" s="17" t="n">
        <f aca="false">(Q66+0.5*(1-(N66/L66)^2)+(1-(N66/L66)^2)^2)*(L66/N66)^4+IF(Z66="",0,INDEX(Parámetros!$E$27:$E$31,MATCH(Z66,Parámetros!$A$27:$A$31,0)))</f>
        <v>1.14821194691012</v>
      </c>
      <c r="T66" s="17" t="n">
        <f aca="false">(R66+0.5*(1-(O66/L66)^2)+(1-(O66/M66)^2)^2)*(M66/O66)^4+IF(Z66="",0,INDEX(Parámetros!$E$27:$E$31,MATCH(Z66,Parámetros!$A$27:$A$31,0)))</f>
        <v>2.92778809701538</v>
      </c>
      <c r="U66" s="11"/>
      <c r="V66" s="13" t="s">
        <v>443</v>
      </c>
      <c r="W66" s="19" t="n">
        <v>5.25</v>
      </c>
      <c r="X66" s="18" t="s">
        <v>449</v>
      </c>
      <c r="Y66" s="7"/>
      <c r="Z66" s="7" t="s">
        <v>56</v>
      </c>
      <c r="AA66" s="7" t="s">
        <v>384</v>
      </c>
      <c r="AB66" s="16" t="str">
        <f aca="false">IF(COUNTIFS(Packs!$D$2:$D$70,A66,Packs!$F$2:$F$70,"&gt;0")=0,"",_xlfn.MINIFS(Packs!$F$2:$F$70,Packs!$D$2:$D$70,A66,Packs!$F$2:$F$70,"&gt;0"))</f>
        <v/>
      </c>
      <c r="AC66" s="13" t="n">
        <f aca="false">COUNTIF(Packs!$D$2:$D$70,A66)</f>
        <v>0</v>
      </c>
    </row>
    <row r="67" customFormat="false" ht="15" hidden="false" customHeight="false" outlineLevel="0" collapsed="false">
      <c r="A67" s="7" t="s">
        <v>453</v>
      </c>
      <c r="B67" s="7" t="s">
        <v>446</v>
      </c>
      <c r="C67" s="7" t="s">
        <v>447</v>
      </c>
      <c r="D67" s="7" t="s">
        <v>440</v>
      </c>
      <c r="E67" s="7" t="s">
        <v>448</v>
      </c>
      <c r="F67" s="7" t="s">
        <v>442</v>
      </c>
      <c r="G67" s="7" t="n">
        <v>63</v>
      </c>
      <c r="H67" s="7" t="n">
        <v>50</v>
      </c>
      <c r="I67" s="7"/>
      <c r="J67" s="7" t="n">
        <v>16</v>
      </c>
      <c r="K67" s="7" t="s">
        <v>381</v>
      </c>
      <c r="L67" s="9" t="n">
        <f aca="false">INDEX(Parámetros!$D$5:$D$12,MATCH(G67,Parámetros!$A$5:$A$12,0))</f>
        <v>51.4</v>
      </c>
      <c r="M67" s="9" t="n">
        <f aca="false">INDEX(Parámetros!$D$5:$D$12,MATCH(IF(H67="",G67,H67),Parámetros!$A$5:$A$12,0))</f>
        <v>40.8</v>
      </c>
      <c r="N67" s="9" t="n">
        <f aca="false">INDEX(Parámetros!$E$5:$E$12,MATCH(G67,Parámetros!$A$5:$A$12,0))</f>
        <v>45</v>
      </c>
      <c r="O67" s="9" t="n">
        <f aca="false">INDEX(Parámetros!$E$5:$E$12,MATCH(IF(H67="",G67,H67),Parámetros!$A$5:$A$12,0))</f>
        <v>35</v>
      </c>
      <c r="P67" s="17" t="n">
        <f aca="false">INDEX(Parámetros!$G$5:$G$12,MATCH(G67,Parámetros!$A$5:$A$12,0))</f>
        <v>0.019</v>
      </c>
      <c r="Q67" s="17" t="n">
        <f aca="false">IF(Z67="","",INDEX(Parámetros!$C$27:$C$31,MATCH(Z67,Parámetros!$A$27:$A$31,0))*P67)</f>
        <v>0.38</v>
      </c>
      <c r="R67" s="17" t="n">
        <f aca="false">INDEX(Parámetros!$D$27:$D$31,MATCH(Z67,Parámetros!$A$27:$A$31,0))*P67</f>
        <v>1.14</v>
      </c>
      <c r="S67" s="17" t="n">
        <f aca="false">(Q67+0.5*(1-(N67/L67)^2)+(1-(N67/L67)^2)^2)*(L67/N67)^4+IF(Z67="",0,INDEX(Parámetros!$E$27:$E$31,MATCH(Z67,Parámetros!$A$27:$A$31,0)))</f>
        <v>0.938396821510867</v>
      </c>
      <c r="T67" s="17" t="n">
        <f aca="false">(R67+0.5*(1-(O67/L67)^2)+(1-(O67/M67)^2)^2)*(M67/O67)^4+IF(Z67="",0,INDEX(Parámetros!$E$27:$E$31,MATCH(Z67,Parámetros!$A$27:$A$31,0)))</f>
        <v>2.72909245070027</v>
      </c>
      <c r="U67" s="11"/>
      <c r="V67" s="13" t="s">
        <v>443</v>
      </c>
      <c r="W67" s="19" t="n">
        <v>5.25</v>
      </c>
      <c r="X67" s="18" t="s">
        <v>449</v>
      </c>
      <c r="Y67" s="7"/>
      <c r="Z67" s="7" t="s">
        <v>56</v>
      </c>
      <c r="AA67" s="7" t="s">
        <v>384</v>
      </c>
      <c r="AB67" s="16" t="str">
        <f aca="false">IF(COUNTIFS(Packs!$D$2:$D$70,A67,Packs!$F$2:$F$70,"&gt;0")=0,"",_xlfn.MINIFS(Packs!$F$2:$F$70,Packs!$D$2:$D$70,A67,Packs!$F$2:$F$70,"&gt;0"))</f>
        <v/>
      </c>
      <c r="AC67" s="13" t="n">
        <f aca="false">COUNTIF(Packs!$D$2:$D$70,A67)</f>
        <v>0</v>
      </c>
    </row>
    <row r="68" customFormat="false" ht="15" hidden="false" customHeight="false" outlineLevel="0" collapsed="false">
      <c r="A68" s="7" t="s">
        <v>261</v>
      </c>
      <c r="B68" s="7" t="s">
        <v>454</v>
      </c>
      <c r="C68" s="7" t="s">
        <v>455</v>
      </c>
      <c r="D68" s="7" t="s">
        <v>440</v>
      </c>
      <c r="E68" s="7" t="s">
        <v>456</v>
      </c>
      <c r="F68" s="7" t="s">
        <v>457</v>
      </c>
      <c r="G68" s="7" t="n">
        <v>20</v>
      </c>
      <c r="H68" s="7" t="n">
        <v>20</v>
      </c>
      <c r="I68" s="20" t="s">
        <v>32</v>
      </c>
      <c r="J68" s="7" t="n">
        <v>16</v>
      </c>
      <c r="K68" s="7" t="s">
        <v>381</v>
      </c>
      <c r="L68" s="9" t="n">
        <f aca="false">INDEX(Parámetros!$D$5:$D$12,MATCH(G68,Parámetros!$A$5:$A$12,0))</f>
        <v>16</v>
      </c>
      <c r="M68" s="9" t="n">
        <f aca="false">INDEX(Parámetros!$D$5:$D$12,MATCH(IF(H68="",G68,H68),Parámetros!$A$5:$A$12,0))</f>
        <v>16</v>
      </c>
      <c r="N68" s="9" t="n">
        <f aca="false">INDEX(Parámetros!$E$5:$E$12,MATCH(G68,Parámetros!$A$5:$A$12,0))</f>
        <v>13</v>
      </c>
      <c r="O68" s="9" t="n">
        <f aca="false">INDEX(Parámetros!$E$5:$E$12,MATCH(IF(H68="",G68,H68),Parámetros!$A$5:$A$12,0))</f>
        <v>13</v>
      </c>
      <c r="P68" s="17" t="n">
        <f aca="false">INDEX(Parámetros!$G$5:$G$12,MATCH(G68,Parámetros!$A$5:$A$12,0))</f>
        <v>0.027</v>
      </c>
      <c r="Q68" s="17" t="n">
        <f aca="false">IF(Z68="","",INDEX(Parámetros!$C$27:$C$31,MATCH(Z68,Parámetros!$A$27:$A$31,0))*P68)</f>
        <v>0.54</v>
      </c>
      <c r="R68" s="17" t="n">
        <f aca="false">INDEX(Parámetros!$D$27:$D$31,MATCH(Z68,Parámetros!$A$27:$A$31,0))*P68</f>
        <v>1.62</v>
      </c>
      <c r="S68" s="17" t="n">
        <f aca="false">(Q68+0.5*(1-(N68/L68)^2)+(1-(N68/L68)^2)^2)*(L68/N68)^4+IF(Z68="",0,INDEX(Parámetros!$E$27:$E$31,MATCH(Z68,Parámetros!$A$27:$A$31,0)))</f>
        <v>1.89399670879871</v>
      </c>
      <c r="T68" s="17" t="n">
        <f aca="false">(R68+0.5*(1-(O68/L68)^2)+(1-(O68/M68)^2)^2)*(M68/O68)^4+IF(Z68="",0,INDEX(Parámetros!$E$27:$E$31,MATCH(Z68,Parámetros!$A$27:$A$31,0)))</f>
        <v>4.37216203914429</v>
      </c>
      <c r="U68" s="11"/>
      <c r="V68" s="13" t="s">
        <v>443</v>
      </c>
      <c r="W68" s="19" t="n">
        <v>2.62</v>
      </c>
      <c r="X68" s="18" t="s">
        <v>458</v>
      </c>
      <c r="Y68" s="7" t="s">
        <v>459</v>
      </c>
      <c r="Z68" s="7" t="s">
        <v>56</v>
      </c>
      <c r="AA68" s="7" t="s">
        <v>384</v>
      </c>
      <c r="AB68" s="16" t="n">
        <f aca="false">IF(COUNTIFS(Packs!$D$2:$D$70,A68,Packs!$F$2:$F$70,"&gt;0")=0,"",_xlfn.MINIFS(Packs!$F$2:$F$70,Packs!$D$2:$D$70,A68,Packs!$F$2:$F$70,"&gt;0"))</f>
        <v>2.7375</v>
      </c>
      <c r="AC68" s="13" t="n">
        <f aca="false">COUNTIF(Packs!$D$2:$D$70,A68)</f>
        <v>1</v>
      </c>
    </row>
    <row r="69" customFormat="false" ht="15" hidden="false" customHeight="false" outlineLevel="0" collapsed="false">
      <c r="A69" s="7" t="s">
        <v>265</v>
      </c>
      <c r="B69" s="7" t="s">
        <v>454</v>
      </c>
      <c r="C69" s="7" t="s">
        <v>455</v>
      </c>
      <c r="D69" s="7" t="s">
        <v>440</v>
      </c>
      <c r="E69" s="7" t="s">
        <v>456</v>
      </c>
      <c r="F69" s="7" t="s">
        <v>457</v>
      </c>
      <c r="G69" s="7" t="n">
        <v>25</v>
      </c>
      <c r="H69" s="7" t="n">
        <v>25</v>
      </c>
      <c r="I69" s="20" t="s">
        <v>33</v>
      </c>
      <c r="J69" s="7" t="n">
        <v>16</v>
      </c>
      <c r="K69" s="7" t="s">
        <v>381</v>
      </c>
      <c r="L69" s="9" t="n">
        <f aca="false">INDEX(Parámetros!$D$5:$D$12,MATCH(G69,Parámetros!$A$5:$A$12,0))</f>
        <v>20.4</v>
      </c>
      <c r="M69" s="9" t="n">
        <f aca="false">INDEX(Parámetros!$D$5:$D$12,MATCH(IF(H69="",G69,H69),Parámetros!$A$5:$A$12,0))</f>
        <v>20.4</v>
      </c>
      <c r="N69" s="9" t="n">
        <f aca="false">INDEX(Parámetros!$E$5:$E$12,MATCH(G69,Parámetros!$A$5:$A$12,0))</f>
        <v>17</v>
      </c>
      <c r="O69" s="9" t="n">
        <f aca="false">INDEX(Parámetros!$E$5:$E$12,MATCH(IF(H69="",G69,H69),Parámetros!$A$5:$A$12,0))</f>
        <v>17</v>
      </c>
      <c r="P69" s="17" t="n">
        <f aca="false">INDEX(Parámetros!$G$5:$G$12,MATCH(G69,Parámetros!$A$5:$A$12,0))</f>
        <v>0.025</v>
      </c>
      <c r="Q69" s="17" t="n">
        <f aca="false">IF(Z69="","",INDEX(Parámetros!$C$27:$C$31,MATCH(Z69,Parámetros!$A$27:$A$31,0))*P69)</f>
        <v>0.5</v>
      </c>
      <c r="R69" s="17" t="n">
        <f aca="false">INDEX(Parámetros!$D$27:$D$31,MATCH(Z69,Parámetros!$A$27:$A$31,0))*P69</f>
        <v>1.5</v>
      </c>
      <c r="S69" s="17" t="n">
        <f aca="false">(Q69+0.5*(1-(N69/L69)^2)+(1-(N69/L69)^2)^2)*(L69/N69)^4+IF(Z69="",0,INDEX(Parámetros!$E$27:$E$31,MATCH(Z69,Parámetros!$A$27:$A$31,0)))</f>
        <v>1.5472</v>
      </c>
      <c r="T69" s="17" t="n">
        <f aca="false">(R69+0.5*(1-(O69/L69)^2)+(1-(O69/M69)^2)^2)*(M69/O69)^4+IF(Z69="",0,INDEX(Parámetros!$E$27:$E$31,MATCH(Z69,Parámetros!$A$27:$A$31,0)))</f>
        <v>3.6208</v>
      </c>
      <c r="U69" s="11"/>
      <c r="V69" s="13" t="s">
        <v>443</v>
      </c>
      <c r="W69" s="19" t="n">
        <v>2.62</v>
      </c>
      <c r="X69" s="18" t="s">
        <v>458</v>
      </c>
      <c r="Y69" s="7" t="s">
        <v>459</v>
      </c>
      <c r="Z69" s="7" t="s">
        <v>56</v>
      </c>
      <c r="AA69" s="7" t="s">
        <v>384</v>
      </c>
      <c r="AB69" s="16" t="n">
        <f aca="false">IF(COUNTIFS(Packs!$D$2:$D$70,A69,Packs!$F$2:$F$70,"&gt;0")=0,"",_xlfn.MINIFS(Packs!$F$2:$F$70,Packs!$D$2:$D$70,A69,Packs!$F$2:$F$70,"&gt;0"))</f>
        <v>3.4875</v>
      </c>
      <c r="AC69" s="13" t="n">
        <f aca="false">COUNTIF(Packs!$D$2:$D$70,A69)</f>
        <v>1</v>
      </c>
    </row>
    <row r="70" customFormat="false" ht="15" hidden="false" customHeight="false" outlineLevel="0" collapsed="false">
      <c r="A70" s="7" t="s">
        <v>269</v>
      </c>
      <c r="B70" s="7" t="s">
        <v>454</v>
      </c>
      <c r="C70" s="7" t="s">
        <v>455</v>
      </c>
      <c r="D70" s="7" t="s">
        <v>440</v>
      </c>
      <c r="E70" s="7" t="s">
        <v>456</v>
      </c>
      <c r="F70" s="7" t="s">
        <v>457</v>
      </c>
      <c r="G70" s="7" t="n">
        <v>32</v>
      </c>
      <c r="H70" s="7" t="n">
        <v>32</v>
      </c>
      <c r="I70" s="20" t="s">
        <v>34</v>
      </c>
      <c r="J70" s="7" t="n">
        <v>16</v>
      </c>
      <c r="K70" s="7" t="s">
        <v>381</v>
      </c>
      <c r="L70" s="9" t="n">
        <f aca="false">INDEX(Parámetros!$D$5:$D$12,MATCH(G70,Parámetros!$A$5:$A$12,0))</f>
        <v>26.2</v>
      </c>
      <c r="M70" s="9" t="n">
        <f aca="false">INDEX(Parámetros!$D$5:$D$12,MATCH(IF(H70="",G70,H70),Parámetros!$A$5:$A$12,0))</f>
        <v>26.2</v>
      </c>
      <c r="N70" s="9" t="n">
        <f aca="false">INDEX(Parámetros!$E$5:$E$12,MATCH(G70,Parámetros!$A$5:$A$12,0))</f>
        <v>22</v>
      </c>
      <c r="O70" s="9" t="n">
        <f aca="false">INDEX(Parámetros!$E$5:$E$12,MATCH(IF(H70="",G70,H70),Parámetros!$A$5:$A$12,0))</f>
        <v>22</v>
      </c>
      <c r="P70" s="17" t="n">
        <f aca="false">INDEX(Parámetros!$G$5:$G$12,MATCH(G70,Parámetros!$A$5:$A$12,0))</f>
        <v>0.023</v>
      </c>
      <c r="Q70" s="17" t="n">
        <f aca="false">IF(Z70="","",INDEX(Parámetros!$C$27:$C$31,MATCH(Z70,Parámetros!$A$27:$A$31,0))*P70)</f>
        <v>0.46</v>
      </c>
      <c r="R70" s="17" t="n">
        <f aca="false">INDEX(Parámetros!$D$27:$D$31,MATCH(Z70,Parámetros!$A$27:$A$31,0))*P70</f>
        <v>1.38</v>
      </c>
      <c r="S70" s="17" t="n">
        <f aca="false">(Q70+0.5*(1-(N70/L70)^2)+(1-(N70/L70)^2)^2)*(L70/N70)^4+IF(Z70="",0,INDEX(Parámetros!$E$27:$E$31,MATCH(Z70,Parámetros!$A$27:$A$31,0)))</f>
        <v>1.39682805245543</v>
      </c>
      <c r="T70" s="17" t="n">
        <f aca="false">(R70+0.5*(1-(O70/L70)^2)+(1-(O70/M70)^2)^2)*(M70/O70)^4+IF(Z70="",0,INDEX(Parámetros!$E$27:$E$31,MATCH(Z70,Parámetros!$A$27:$A$31,0)))</f>
        <v>3.24738421200738</v>
      </c>
      <c r="U70" s="11"/>
      <c r="V70" s="13" t="s">
        <v>443</v>
      </c>
      <c r="W70" s="19" t="n">
        <v>2.62</v>
      </c>
      <c r="X70" s="18" t="s">
        <v>458</v>
      </c>
      <c r="Y70" s="7" t="s">
        <v>459</v>
      </c>
      <c r="Z70" s="7" t="s">
        <v>56</v>
      </c>
      <c r="AA70" s="7" t="s">
        <v>384</v>
      </c>
      <c r="AB70" s="16" t="n">
        <f aca="false">IF(COUNTIFS(Packs!$D$2:$D$70,A70,Packs!$F$2:$F$70,"&gt;0")=0,"",_xlfn.MINIFS(Packs!$F$2:$F$70,Packs!$D$2:$D$70,A70,Packs!$F$2:$F$70,"&gt;0"))</f>
        <v>4.2375</v>
      </c>
      <c r="AC70" s="13" t="n">
        <f aca="false">COUNTIF(Packs!$D$2:$D$70,A70)</f>
        <v>1</v>
      </c>
    </row>
    <row r="71" customFormat="false" ht="15" hidden="false" customHeight="false" outlineLevel="0" collapsed="false">
      <c r="A71" s="7" t="s">
        <v>273</v>
      </c>
      <c r="B71" s="7" t="s">
        <v>454</v>
      </c>
      <c r="C71" s="7" t="s">
        <v>455</v>
      </c>
      <c r="D71" s="7" t="s">
        <v>440</v>
      </c>
      <c r="E71" s="7" t="s">
        <v>456</v>
      </c>
      <c r="F71" s="7" t="s">
        <v>457</v>
      </c>
      <c r="G71" s="7" t="n">
        <v>40</v>
      </c>
      <c r="H71" s="7" t="n">
        <v>40</v>
      </c>
      <c r="I71" s="20" t="s">
        <v>35</v>
      </c>
      <c r="J71" s="7" t="n">
        <v>16</v>
      </c>
      <c r="K71" s="7" t="s">
        <v>381</v>
      </c>
      <c r="L71" s="9" t="n">
        <f aca="false">INDEX(Parámetros!$D$5:$D$12,MATCH(G71,Parámetros!$A$5:$A$12,0))</f>
        <v>32.6</v>
      </c>
      <c r="M71" s="9" t="n">
        <f aca="false">INDEX(Parámetros!$D$5:$D$12,MATCH(IF(H71="",G71,H71),Parámetros!$A$5:$A$12,0))</f>
        <v>32.6</v>
      </c>
      <c r="N71" s="9" t="n">
        <f aca="false">INDEX(Parámetros!$E$5:$E$12,MATCH(G71,Parámetros!$A$5:$A$12,0))</f>
        <v>28</v>
      </c>
      <c r="O71" s="9" t="n">
        <f aca="false">INDEX(Parámetros!$E$5:$E$12,MATCH(IF(H71="",G71,H71),Parámetros!$A$5:$A$12,0))</f>
        <v>28</v>
      </c>
      <c r="P71" s="17" t="n">
        <f aca="false">INDEX(Parámetros!$G$5:$G$12,MATCH(G71,Parámetros!$A$5:$A$12,0))</f>
        <v>0.022</v>
      </c>
      <c r="Q71" s="17" t="n">
        <f aca="false">IF(Z71="","",INDEX(Parámetros!$C$27:$C$31,MATCH(Z71,Parámetros!$A$27:$A$31,0))*P71)</f>
        <v>0.44</v>
      </c>
      <c r="R71" s="17" t="n">
        <f aca="false">INDEX(Parámetros!$D$27:$D$31,MATCH(Z71,Parámetros!$A$27:$A$31,0))*P71</f>
        <v>1.32</v>
      </c>
      <c r="S71" s="17" t="n">
        <f aca="false">(Q71+0.5*(1-(N71/L71)^2)+(1-(N71/L71)^2)^2)*(L71/N71)^4+IF(Z71="",0,INDEX(Parámetros!$E$27:$E$31,MATCH(Z71,Parámetros!$A$27:$A$31,0)))</f>
        <v>1.17593663145564</v>
      </c>
      <c r="T71" s="17" t="n">
        <f aca="false">(R71+0.5*(1-(O71/L71)^2)+(1-(O71/M71)^2)^2)*(M71/O71)^4+IF(Z71="",0,INDEX(Parámetros!$E$27:$E$31,MATCH(Z71,Parámetros!$A$27:$A$31,0)))</f>
        <v>2.79297731679509</v>
      </c>
      <c r="U71" s="11"/>
      <c r="V71" s="13" t="s">
        <v>443</v>
      </c>
      <c r="W71" s="19" t="n">
        <v>2.62</v>
      </c>
      <c r="X71" s="18" t="s">
        <v>458</v>
      </c>
      <c r="Y71" s="7" t="s">
        <v>459</v>
      </c>
      <c r="Z71" s="7" t="s">
        <v>56</v>
      </c>
      <c r="AA71" s="7" t="s">
        <v>384</v>
      </c>
      <c r="AB71" s="16" t="n">
        <f aca="false">IF(COUNTIFS(Packs!$D$2:$D$70,A71,Packs!$F$2:$F$70,"&gt;0")=0,"",_xlfn.MINIFS(Packs!$F$2:$F$70,Packs!$D$2:$D$70,A71,Packs!$F$2:$F$70,"&gt;0"))</f>
        <v>6.2375</v>
      </c>
      <c r="AC71" s="13" t="n">
        <f aca="false">COUNTIF(Packs!$D$2:$D$70,A71)</f>
        <v>1</v>
      </c>
    </row>
    <row r="72" customFormat="false" ht="15" hidden="false" customHeight="false" outlineLevel="0" collapsed="false">
      <c r="A72" s="7" t="s">
        <v>277</v>
      </c>
      <c r="B72" s="7" t="s">
        <v>454</v>
      </c>
      <c r="C72" s="7" t="s">
        <v>455</v>
      </c>
      <c r="D72" s="7" t="s">
        <v>440</v>
      </c>
      <c r="E72" s="7" t="s">
        <v>456</v>
      </c>
      <c r="F72" s="7" t="s">
        <v>457</v>
      </c>
      <c r="G72" s="7" t="n">
        <v>50</v>
      </c>
      <c r="H72" s="7" t="n">
        <v>50</v>
      </c>
      <c r="I72" s="20" t="s">
        <v>36</v>
      </c>
      <c r="J72" s="7" t="n">
        <v>16</v>
      </c>
      <c r="K72" s="7" t="s">
        <v>381</v>
      </c>
      <c r="L72" s="9" t="n">
        <f aca="false">INDEX(Parámetros!$D$5:$D$12,MATCH(G72,Parámetros!$A$5:$A$12,0))</f>
        <v>40.8</v>
      </c>
      <c r="M72" s="9" t="n">
        <f aca="false">INDEX(Parámetros!$D$5:$D$12,MATCH(IF(H72="",G72,H72),Parámetros!$A$5:$A$12,0))</f>
        <v>40.8</v>
      </c>
      <c r="N72" s="9" t="n">
        <f aca="false">INDEX(Parámetros!$E$5:$E$12,MATCH(G72,Parámetros!$A$5:$A$12,0))</f>
        <v>35</v>
      </c>
      <c r="O72" s="9" t="n">
        <f aca="false">INDEX(Parámetros!$E$5:$E$12,MATCH(IF(H72="",G72,H72),Parámetros!$A$5:$A$12,0))</f>
        <v>35</v>
      </c>
      <c r="P72" s="17" t="n">
        <f aca="false">INDEX(Parámetros!$G$5:$G$12,MATCH(G72,Parámetros!$A$5:$A$12,0))</f>
        <v>0.021</v>
      </c>
      <c r="Q72" s="17" t="n">
        <f aca="false">IF(Z72="","",INDEX(Parámetros!$C$27:$C$31,MATCH(Z72,Parámetros!$A$27:$A$31,0))*P72)</f>
        <v>0.42</v>
      </c>
      <c r="R72" s="17" t="n">
        <f aca="false">INDEX(Parámetros!$D$27:$D$31,MATCH(Z72,Parámetros!$A$27:$A$31,0))*P72</f>
        <v>1.26</v>
      </c>
      <c r="S72" s="17" t="n">
        <f aca="false">(Q72+0.5*(1-(N72/L72)^2)+(1-(N72/L72)^2)^2)*(L72/N72)^4+IF(Z72="",0,INDEX(Parámetros!$E$27:$E$31,MATCH(Z72,Parámetros!$A$27:$A$31,0)))</f>
        <v>1.14821194691012</v>
      </c>
      <c r="T72" s="17" t="n">
        <f aca="false">(R72+0.5*(1-(O72/L72)^2)+(1-(O72/M72)^2)^2)*(M72/O72)^4+IF(Z72="",0,INDEX(Parámetros!$E$27:$E$31,MATCH(Z72,Parámetros!$A$27:$A$31,0)))</f>
        <v>2.69934038796901</v>
      </c>
      <c r="U72" s="11"/>
      <c r="V72" s="13" t="s">
        <v>443</v>
      </c>
      <c r="W72" s="19" t="n">
        <v>2.62</v>
      </c>
      <c r="X72" s="18" t="s">
        <v>458</v>
      </c>
      <c r="Y72" s="7" t="s">
        <v>459</v>
      </c>
      <c r="Z72" s="7" t="s">
        <v>56</v>
      </c>
      <c r="AA72" s="7" t="s">
        <v>384</v>
      </c>
      <c r="AB72" s="16" t="n">
        <f aca="false">IF(COUNTIFS(Packs!$D$2:$D$70,A72,Packs!$F$2:$F$70,"&gt;0")=0,"",_xlfn.MINIFS(Packs!$F$2:$F$70,Packs!$D$2:$D$70,A72,Packs!$F$2:$F$70,"&gt;0"))</f>
        <v>7.7375</v>
      </c>
      <c r="AC72" s="13" t="n">
        <f aca="false">COUNTIF(Packs!$D$2:$D$70,A72)</f>
        <v>1</v>
      </c>
    </row>
    <row r="73" customFormat="false" ht="15" hidden="false" customHeight="false" outlineLevel="0" collapsed="false">
      <c r="A73" s="7" t="s">
        <v>281</v>
      </c>
      <c r="B73" s="7" t="s">
        <v>454</v>
      </c>
      <c r="C73" s="7" t="s">
        <v>455</v>
      </c>
      <c r="D73" s="7" t="s">
        <v>440</v>
      </c>
      <c r="E73" s="7" t="s">
        <v>456</v>
      </c>
      <c r="F73" s="7" t="s">
        <v>457</v>
      </c>
      <c r="G73" s="7" t="n">
        <v>63</v>
      </c>
      <c r="H73" s="7" t="n">
        <v>63</v>
      </c>
      <c r="I73" s="20" t="s">
        <v>37</v>
      </c>
      <c r="J73" s="7" t="n">
        <v>16</v>
      </c>
      <c r="K73" s="7" t="s">
        <v>381</v>
      </c>
      <c r="L73" s="9" t="n">
        <f aca="false">INDEX(Parámetros!$D$5:$D$12,MATCH(G73,Parámetros!$A$5:$A$12,0))</f>
        <v>51.4</v>
      </c>
      <c r="M73" s="9" t="n">
        <f aca="false">INDEX(Parámetros!$D$5:$D$12,MATCH(IF(H73="",G73,H73),Parámetros!$A$5:$A$12,0))</f>
        <v>51.4</v>
      </c>
      <c r="N73" s="9" t="n">
        <f aca="false">INDEX(Parámetros!$E$5:$E$12,MATCH(G73,Parámetros!$A$5:$A$12,0))</f>
        <v>45</v>
      </c>
      <c r="O73" s="9" t="n">
        <f aca="false">INDEX(Parámetros!$E$5:$E$12,MATCH(IF(H73="",G73,H73),Parámetros!$A$5:$A$12,0))</f>
        <v>45</v>
      </c>
      <c r="P73" s="17" t="n">
        <f aca="false">INDEX(Parámetros!$G$5:$G$12,MATCH(G73,Parámetros!$A$5:$A$12,0))</f>
        <v>0.019</v>
      </c>
      <c r="Q73" s="17" t="n">
        <f aca="false">IF(Z73="","",INDEX(Parámetros!$C$27:$C$31,MATCH(Z73,Parámetros!$A$27:$A$31,0))*P73)</f>
        <v>0.38</v>
      </c>
      <c r="R73" s="17" t="n">
        <f aca="false">INDEX(Parámetros!$D$27:$D$31,MATCH(Z73,Parámetros!$A$27:$A$31,0))*P73</f>
        <v>1.14</v>
      </c>
      <c r="S73" s="17" t="n">
        <f aca="false">(Q73+0.5*(1-(N73/L73)^2)+(1-(N73/L73)^2)^2)*(L73/N73)^4+IF(Z73="",0,INDEX(Parámetros!$E$27:$E$31,MATCH(Z73,Parámetros!$A$27:$A$31,0)))</f>
        <v>0.938396821510867</v>
      </c>
      <c r="T73" s="17" t="n">
        <f aca="false">(R73+0.5*(1-(O73/L73)^2)+(1-(O73/M73)^2)^2)*(M73/O73)^4+IF(Z73="",0,INDEX(Parámetros!$E$27:$E$31,MATCH(Z73,Parámetros!$A$27:$A$31,0)))</f>
        <v>2.23204449902734</v>
      </c>
      <c r="U73" s="11"/>
      <c r="V73" s="13" t="s">
        <v>443</v>
      </c>
      <c r="W73" s="19" t="n">
        <v>2.62</v>
      </c>
      <c r="X73" s="18" t="s">
        <v>458</v>
      </c>
      <c r="Y73" s="7" t="s">
        <v>459</v>
      </c>
      <c r="Z73" s="7" t="s">
        <v>56</v>
      </c>
      <c r="AA73" s="7" t="s">
        <v>384</v>
      </c>
      <c r="AB73" s="16" t="n">
        <f aca="false">IF(COUNTIFS(Packs!$D$2:$D$70,A73,Packs!$F$2:$F$70,"&gt;0")=0,"",_xlfn.MINIFS(Packs!$F$2:$F$70,Packs!$D$2:$D$70,A73,Packs!$F$2:$F$70,"&gt;0"))</f>
        <v>10.9875</v>
      </c>
      <c r="AC73" s="13" t="n">
        <f aca="false">COUNTIF(Packs!$D$2:$D$70,A73)</f>
        <v>1</v>
      </c>
    </row>
    <row r="74" customFormat="false" ht="15" hidden="false" customHeight="false" outlineLevel="0" collapsed="false">
      <c r="A74" s="7" t="s">
        <v>285</v>
      </c>
      <c r="B74" s="7" t="s">
        <v>454</v>
      </c>
      <c r="C74" s="7" t="s">
        <v>455</v>
      </c>
      <c r="D74" s="7" t="s">
        <v>440</v>
      </c>
      <c r="E74" s="7" t="s">
        <v>456</v>
      </c>
      <c r="F74" s="7" t="s">
        <v>457</v>
      </c>
      <c r="G74" s="7" t="n">
        <v>75</v>
      </c>
      <c r="H74" s="7" t="n">
        <v>75</v>
      </c>
      <c r="I74" s="20" t="s">
        <v>38</v>
      </c>
      <c r="J74" s="7" t="n">
        <v>16</v>
      </c>
      <c r="K74" s="7" t="s">
        <v>381</v>
      </c>
      <c r="L74" s="9" t="n">
        <f aca="false">INDEX(Parámetros!$D$5:$D$12,MATCH(G74,Parámetros!$A$5:$A$12,0))</f>
        <v>61.4</v>
      </c>
      <c r="M74" s="9" t="n">
        <f aca="false">INDEX(Parámetros!$D$5:$D$12,MATCH(IF(H74="",G74,H74),Parámetros!$A$5:$A$12,0))</f>
        <v>61.4</v>
      </c>
      <c r="N74" s="9" t="n">
        <f aca="false">INDEX(Parámetros!$E$5:$E$12,MATCH(G74,Parámetros!$A$5:$A$12,0))</f>
        <v>54</v>
      </c>
      <c r="O74" s="9" t="n">
        <f aca="false">INDEX(Parámetros!$E$5:$E$12,MATCH(IF(H74="",G74,H74),Parámetros!$A$5:$A$12,0))</f>
        <v>54</v>
      </c>
      <c r="P74" s="17" t="n">
        <f aca="false">INDEX(Parámetros!$G$5:$G$12,MATCH(G74,Parámetros!$A$5:$A$12,0))</f>
        <v>0.018</v>
      </c>
      <c r="Q74" s="17" t="n">
        <f aca="false">IF(Z74="","",INDEX(Parámetros!$C$27:$C$31,MATCH(Z74,Parámetros!$A$27:$A$31,0))*P74)</f>
        <v>0.36</v>
      </c>
      <c r="R74" s="17" t="n">
        <f aca="false">INDEX(Parámetros!$D$27:$D$31,MATCH(Z74,Parámetros!$A$27:$A$31,0))*P74</f>
        <v>1.08</v>
      </c>
      <c r="S74" s="17" t="n">
        <f aca="false">(Q74+0.5*(1-(N74/L74)^2)+(1-(N74/L74)^2)^2)*(L74/N74)^4+IF(Z74="",0,INDEX(Parámetros!$E$27:$E$31,MATCH(Z74,Parámetros!$A$27:$A$31,0)))</f>
        <v>0.876800132443677</v>
      </c>
      <c r="T74" s="17" t="n">
        <f aca="false">(R74+0.5*(1-(O74/L74)^2)+(1-(O74/M74)^2)^2)*(M74/O74)^4+IF(Z74="",0,INDEX(Parámetros!$E$27:$E$31,MATCH(Z74,Parámetros!$A$27:$A$31,0)))</f>
        <v>2.08025814202894</v>
      </c>
      <c r="U74" s="11"/>
      <c r="V74" s="13" t="s">
        <v>443</v>
      </c>
      <c r="W74" s="19" t="n">
        <v>2.62</v>
      </c>
      <c r="X74" s="18" t="s">
        <v>458</v>
      </c>
      <c r="Y74" s="7" t="s">
        <v>459</v>
      </c>
      <c r="Z74" s="7" t="s">
        <v>56</v>
      </c>
      <c r="AA74" s="7" t="s">
        <v>384</v>
      </c>
      <c r="AB74" s="16" t="n">
        <f aca="false">IF(COUNTIFS(Packs!$D$2:$D$70,A74,Packs!$F$2:$F$70,"&gt;0")=0,"",_xlfn.MINIFS(Packs!$F$2:$F$70,Packs!$D$2:$D$70,A74,Packs!$F$2:$F$70,"&gt;0"))</f>
        <v>37.9875</v>
      </c>
      <c r="AC74" s="13" t="n">
        <f aca="false">COUNTIF(Packs!$D$2:$D$70,A74)</f>
        <v>1</v>
      </c>
    </row>
    <row r="75" customFormat="false" ht="15" hidden="false" customHeight="false" outlineLevel="0" collapsed="false">
      <c r="A75" s="7" t="s">
        <v>290</v>
      </c>
      <c r="B75" s="7" t="s">
        <v>454</v>
      </c>
      <c r="C75" s="7" t="s">
        <v>455</v>
      </c>
      <c r="D75" s="7" t="s">
        <v>440</v>
      </c>
      <c r="E75" s="7" t="s">
        <v>456</v>
      </c>
      <c r="F75" s="7" t="s">
        <v>457</v>
      </c>
      <c r="G75" s="7" t="n">
        <v>90</v>
      </c>
      <c r="H75" s="7" t="n">
        <v>90</v>
      </c>
      <c r="I75" s="20" t="s">
        <v>39</v>
      </c>
      <c r="J75" s="7" t="n">
        <v>16</v>
      </c>
      <c r="K75" s="7" t="s">
        <v>381</v>
      </c>
      <c r="L75" s="9" t="n">
        <f aca="false">INDEX(Parámetros!$D$5:$D$12,MATCH(G75,Parámetros!$A$5:$A$12,0))</f>
        <v>73.6</v>
      </c>
      <c r="M75" s="9" t="n">
        <f aca="false">INDEX(Parámetros!$D$5:$D$12,MATCH(IF(H75="",G75,H75),Parámetros!$A$5:$A$12,0))</f>
        <v>73.6</v>
      </c>
      <c r="N75" s="9" t="n">
        <f aca="false">INDEX(Parámetros!$E$5:$E$12,MATCH(G75,Parámetros!$A$5:$A$12,0))</f>
        <v>66</v>
      </c>
      <c r="O75" s="9" t="n">
        <f aca="false">INDEX(Parámetros!$E$5:$E$12,MATCH(IF(H75="",G75,H75),Parámetros!$A$5:$A$12,0))</f>
        <v>66</v>
      </c>
      <c r="P75" s="17" t="n">
        <f aca="false">INDEX(Parámetros!$G$5:$G$12,MATCH(G75,Parámetros!$A$5:$A$12,0))</f>
        <v>0.018</v>
      </c>
      <c r="Q75" s="17" t="n">
        <f aca="false">IF(Z75="","",INDEX(Parámetros!$C$27:$C$31,MATCH(Z75,Parámetros!$A$27:$A$31,0))*P75)</f>
        <v>0.36</v>
      </c>
      <c r="R75" s="17" t="n">
        <f aca="false">INDEX(Parámetros!$D$27:$D$31,MATCH(Z75,Parámetros!$A$27:$A$31,0))*P75</f>
        <v>1.08</v>
      </c>
      <c r="S75" s="17" t="n">
        <f aca="false">(Q75+0.5*(1-(N75/L75)^2)+(1-(N75/L75)^2)^2)*(L75/N75)^4+IF(Z75="",0,INDEX(Parámetros!$E$27:$E$31,MATCH(Z75,Parámetros!$A$27:$A$31,0)))</f>
        <v>0.767487310146291</v>
      </c>
      <c r="T75" s="17" t="n">
        <f aca="false">(R75+0.5*(1-(O75/L75)^2)+(1-(O75/M75)^2)^2)*(M75/O75)^4+IF(Z75="",0,INDEX(Parámetros!$E$27:$E$31,MATCH(Z75,Parámetros!$A$27:$A$31,0)))</f>
        <v>1.88093036737523</v>
      </c>
      <c r="U75" s="11"/>
      <c r="V75" s="13" t="s">
        <v>443</v>
      </c>
      <c r="W75" s="19" t="n">
        <v>2.62</v>
      </c>
      <c r="X75" s="18" t="s">
        <v>458</v>
      </c>
      <c r="Y75" s="7" t="s">
        <v>459</v>
      </c>
      <c r="Z75" s="7" t="s">
        <v>56</v>
      </c>
      <c r="AA75" s="7" t="s">
        <v>384</v>
      </c>
      <c r="AB75" s="16" t="n">
        <f aca="false">IF(COUNTIFS(Packs!$D$2:$D$70,A75,Packs!$F$2:$F$70,"&gt;0")=0,"",_xlfn.MINIFS(Packs!$F$2:$F$70,Packs!$D$2:$D$70,A75,Packs!$F$2:$F$70,"&gt;0"))</f>
        <v>33.9875</v>
      </c>
      <c r="AC75" s="13" t="n">
        <f aca="false">COUNTIF(Packs!$D$2:$D$70,A75)</f>
        <v>1</v>
      </c>
    </row>
    <row r="76" customFormat="false" ht="15" hidden="false" customHeight="false" outlineLevel="0" collapsed="false">
      <c r="A76" s="7" t="s">
        <v>460</v>
      </c>
      <c r="B76" s="7" t="s">
        <v>461</v>
      </c>
      <c r="C76" s="7" t="s">
        <v>462</v>
      </c>
      <c r="D76" s="7" t="s">
        <v>440</v>
      </c>
      <c r="E76" s="7" t="s">
        <v>463</v>
      </c>
      <c r="F76" s="7" t="s">
        <v>464</v>
      </c>
      <c r="G76" s="7" t="n">
        <v>20</v>
      </c>
      <c r="H76" s="7" t="n">
        <v>20</v>
      </c>
      <c r="I76" s="20" t="s">
        <v>32</v>
      </c>
      <c r="J76" s="7" t="n">
        <v>16</v>
      </c>
      <c r="K76" s="7" t="s">
        <v>381</v>
      </c>
      <c r="L76" s="9" t="n">
        <f aca="false">INDEX(Parámetros!$D$5:$D$12,MATCH(G76,Parámetros!$A$5:$A$12,0))</f>
        <v>16</v>
      </c>
      <c r="M76" s="9" t="n">
        <f aca="false">INDEX(Parámetros!$D$5:$D$12,MATCH(IF(H76="",G76,H76),Parámetros!$A$5:$A$12,0))</f>
        <v>16</v>
      </c>
      <c r="N76" s="9" t="n">
        <f aca="false">INDEX(Parámetros!$E$5:$E$12,MATCH(G76,Parámetros!$A$5:$A$12,0))</f>
        <v>13</v>
      </c>
      <c r="O76" s="9" t="n">
        <f aca="false">INDEX(Parámetros!$E$5:$E$12,MATCH(IF(H76="",G76,H76),Parámetros!$A$5:$A$12,0))</f>
        <v>13</v>
      </c>
      <c r="P76" s="17" t="n">
        <f aca="false">INDEX(Parámetros!$G$5:$G$12,MATCH(G76,Parámetros!$A$5:$A$12,0))</f>
        <v>0.027</v>
      </c>
      <c r="Q76" s="17" t="n">
        <f aca="false">IF(Z76="","",INDEX(Parámetros!$C$27:$C$31,MATCH(Z76,Parámetros!$A$27:$A$31,0))*P76)</f>
        <v>0.54</v>
      </c>
      <c r="R76" s="17" t="n">
        <f aca="false">INDEX(Parámetros!$D$27:$D$31,MATCH(Z76,Parámetros!$A$27:$A$31,0))*P76</f>
        <v>1.62</v>
      </c>
      <c r="S76" s="17" t="n">
        <f aca="false">(Q76+0.5*(1-(N76/L76)^2)+(1-(N76/L76)^2)^2)*(L76/N76)^4+IF(Z76="",0,INDEX(Parámetros!$E$27:$E$31,MATCH(Z76,Parámetros!$A$27:$A$31,0)))</f>
        <v>1.89399670879871</v>
      </c>
      <c r="T76" s="17" t="n">
        <f aca="false">(R76+0.5*(1-(O76/L76)^2)+(1-(O76/M76)^2)^2)*(M76/O76)^4+IF(Z76="",0,INDEX(Parámetros!$E$27:$E$31,MATCH(Z76,Parámetros!$A$27:$A$31,0)))</f>
        <v>4.37216203914429</v>
      </c>
      <c r="U76" s="11"/>
      <c r="V76" s="13" t="s">
        <v>443</v>
      </c>
      <c r="W76" s="19" t="n">
        <v>3.97</v>
      </c>
      <c r="X76" s="18" t="s">
        <v>465</v>
      </c>
      <c r="Y76" s="7" t="s">
        <v>466</v>
      </c>
      <c r="Z76" s="7" t="s">
        <v>56</v>
      </c>
      <c r="AA76" s="7" t="s">
        <v>384</v>
      </c>
      <c r="AB76" s="16" t="str">
        <f aca="false">IF(COUNTIFS(Packs!$D$2:$D$70,A76,Packs!$F$2:$F$70,"&gt;0")=0,"",_xlfn.MINIFS(Packs!$F$2:$F$70,Packs!$D$2:$D$70,A76,Packs!$F$2:$F$70,"&gt;0"))</f>
        <v/>
      </c>
      <c r="AC76" s="13" t="n">
        <f aca="false">COUNTIF(Packs!$D$2:$D$70,A76)</f>
        <v>0</v>
      </c>
    </row>
    <row r="77" customFormat="false" ht="15" hidden="false" customHeight="false" outlineLevel="0" collapsed="false">
      <c r="A77" s="7" t="s">
        <v>467</v>
      </c>
      <c r="B77" s="7" t="s">
        <v>461</v>
      </c>
      <c r="C77" s="7" t="s">
        <v>462</v>
      </c>
      <c r="D77" s="7" t="s">
        <v>440</v>
      </c>
      <c r="E77" s="7" t="s">
        <v>463</v>
      </c>
      <c r="F77" s="7" t="s">
        <v>464</v>
      </c>
      <c r="G77" s="7" t="n">
        <v>25</v>
      </c>
      <c r="H77" s="7" t="n">
        <v>25</v>
      </c>
      <c r="I77" s="20" t="s">
        <v>33</v>
      </c>
      <c r="J77" s="7" t="n">
        <v>16</v>
      </c>
      <c r="K77" s="7" t="s">
        <v>381</v>
      </c>
      <c r="L77" s="9" t="n">
        <f aca="false">INDEX(Parámetros!$D$5:$D$12,MATCH(G77,Parámetros!$A$5:$A$12,0))</f>
        <v>20.4</v>
      </c>
      <c r="M77" s="9" t="n">
        <f aca="false">INDEX(Parámetros!$D$5:$D$12,MATCH(IF(H77="",G77,H77),Parámetros!$A$5:$A$12,0))</f>
        <v>20.4</v>
      </c>
      <c r="N77" s="9" t="n">
        <f aca="false">INDEX(Parámetros!$E$5:$E$12,MATCH(G77,Parámetros!$A$5:$A$12,0))</f>
        <v>17</v>
      </c>
      <c r="O77" s="9" t="n">
        <f aca="false">INDEX(Parámetros!$E$5:$E$12,MATCH(IF(H77="",G77,H77),Parámetros!$A$5:$A$12,0))</f>
        <v>17</v>
      </c>
      <c r="P77" s="17" t="n">
        <f aca="false">INDEX(Parámetros!$G$5:$G$12,MATCH(G77,Parámetros!$A$5:$A$12,0))</f>
        <v>0.025</v>
      </c>
      <c r="Q77" s="17" t="n">
        <f aca="false">IF(Z77="","",INDEX(Parámetros!$C$27:$C$31,MATCH(Z77,Parámetros!$A$27:$A$31,0))*P77)</f>
        <v>0.5</v>
      </c>
      <c r="R77" s="17" t="n">
        <f aca="false">INDEX(Parámetros!$D$27:$D$31,MATCH(Z77,Parámetros!$A$27:$A$31,0))*P77</f>
        <v>1.5</v>
      </c>
      <c r="S77" s="17" t="n">
        <f aca="false">(Q77+0.5*(1-(N77/L77)^2)+(1-(N77/L77)^2)^2)*(L77/N77)^4+IF(Z77="",0,INDEX(Parámetros!$E$27:$E$31,MATCH(Z77,Parámetros!$A$27:$A$31,0)))</f>
        <v>1.5472</v>
      </c>
      <c r="T77" s="17" t="n">
        <f aca="false">(R77+0.5*(1-(O77/L77)^2)+(1-(O77/M77)^2)^2)*(M77/O77)^4+IF(Z77="",0,INDEX(Parámetros!$E$27:$E$31,MATCH(Z77,Parámetros!$A$27:$A$31,0)))</f>
        <v>3.6208</v>
      </c>
      <c r="U77" s="11"/>
      <c r="V77" s="13" t="s">
        <v>443</v>
      </c>
      <c r="W77" s="19" t="n">
        <v>3.97</v>
      </c>
      <c r="X77" s="18" t="s">
        <v>465</v>
      </c>
      <c r="Y77" s="7" t="s">
        <v>466</v>
      </c>
      <c r="Z77" s="7" t="s">
        <v>56</v>
      </c>
      <c r="AA77" s="7" t="s">
        <v>384</v>
      </c>
      <c r="AB77" s="16" t="str">
        <f aca="false">IF(COUNTIFS(Packs!$D$2:$D$70,A77,Packs!$F$2:$F$70,"&gt;0")=0,"",_xlfn.MINIFS(Packs!$F$2:$F$70,Packs!$D$2:$D$70,A77,Packs!$F$2:$F$70,"&gt;0"))</f>
        <v/>
      </c>
      <c r="AC77" s="13" t="n">
        <f aca="false">COUNTIF(Packs!$D$2:$D$70,A77)</f>
        <v>0</v>
      </c>
    </row>
    <row r="78" customFormat="false" ht="15" hidden="false" customHeight="false" outlineLevel="0" collapsed="false">
      <c r="A78" s="7" t="s">
        <v>468</v>
      </c>
      <c r="B78" s="7" t="s">
        <v>461</v>
      </c>
      <c r="C78" s="7" t="s">
        <v>462</v>
      </c>
      <c r="D78" s="7" t="s">
        <v>440</v>
      </c>
      <c r="E78" s="7" t="s">
        <v>463</v>
      </c>
      <c r="F78" s="7" t="s">
        <v>464</v>
      </c>
      <c r="G78" s="7" t="n">
        <v>32</v>
      </c>
      <c r="H78" s="7" t="n">
        <v>32</v>
      </c>
      <c r="I78" s="20" t="s">
        <v>34</v>
      </c>
      <c r="J78" s="7" t="n">
        <v>16</v>
      </c>
      <c r="K78" s="7" t="s">
        <v>381</v>
      </c>
      <c r="L78" s="9" t="n">
        <f aca="false">INDEX(Parámetros!$D$5:$D$12,MATCH(G78,Parámetros!$A$5:$A$12,0))</f>
        <v>26.2</v>
      </c>
      <c r="M78" s="9" t="n">
        <f aca="false">INDEX(Parámetros!$D$5:$D$12,MATCH(IF(H78="",G78,H78),Parámetros!$A$5:$A$12,0))</f>
        <v>26.2</v>
      </c>
      <c r="N78" s="9" t="n">
        <f aca="false">INDEX(Parámetros!$E$5:$E$12,MATCH(G78,Parámetros!$A$5:$A$12,0))</f>
        <v>22</v>
      </c>
      <c r="O78" s="9" t="n">
        <f aca="false">INDEX(Parámetros!$E$5:$E$12,MATCH(IF(H78="",G78,H78),Parámetros!$A$5:$A$12,0))</f>
        <v>22</v>
      </c>
      <c r="P78" s="17" t="n">
        <f aca="false">INDEX(Parámetros!$G$5:$G$12,MATCH(G78,Parámetros!$A$5:$A$12,0))</f>
        <v>0.023</v>
      </c>
      <c r="Q78" s="17" t="n">
        <f aca="false">IF(Z78="","",INDEX(Parámetros!$C$27:$C$31,MATCH(Z78,Parámetros!$A$27:$A$31,0))*P78)</f>
        <v>0.46</v>
      </c>
      <c r="R78" s="17" t="n">
        <f aca="false">INDEX(Parámetros!$D$27:$D$31,MATCH(Z78,Parámetros!$A$27:$A$31,0))*P78</f>
        <v>1.38</v>
      </c>
      <c r="S78" s="17" t="n">
        <f aca="false">(Q78+0.5*(1-(N78/L78)^2)+(1-(N78/L78)^2)^2)*(L78/N78)^4+IF(Z78="",0,INDEX(Parámetros!$E$27:$E$31,MATCH(Z78,Parámetros!$A$27:$A$31,0)))</f>
        <v>1.39682805245543</v>
      </c>
      <c r="T78" s="17" t="n">
        <f aca="false">(R78+0.5*(1-(O78/L78)^2)+(1-(O78/M78)^2)^2)*(M78/O78)^4+IF(Z78="",0,INDEX(Parámetros!$E$27:$E$31,MATCH(Z78,Parámetros!$A$27:$A$31,0)))</f>
        <v>3.24738421200738</v>
      </c>
      <c r="U78" s="11"/>
      <c r="V78" s="13" t="s">
        <v>443</v>
      </c>
      <c r="W78" s="19" t="n">
        <v>3.97</v>
      </c>
      <c r="X78" s="18" t="s">
        <v>465</v>
      </c>
      <c r="Y78" s="7" t="s">
        <v>466</v>
      </c>
      <c r="Z78" s="7" t="s">
        <v>56</v>
      </c>
      <c r="AA78" s="7" t="s">
        <v>384</v>
      </c>
      <c r="AB78" s="16" t="str">
        <f aca="false">IF(COUNTIFS(Packs!$D$2:$D$70,A78,Packs!$F$2:$F$70,"&gt;0")=0,"",_xlfn.MINIFS(Packs!$F$2:$F$70,Packs!$D$2:$D$70,A78,Packs!$F$2:$F$70,"&gt;0"))</f>
        <v/>
      </c>
      <c r="AC78" s="13" t="n">
        <f aca="false">COUNTIF(Packs!$D$2:$D$70,A78)</f>
        <v>0</v>
      </c>
    </row>
    <row r="79" customFormat="false" ht="15" hidden="false" customHeight="false" outlineLevel="0" collapsed="false">
      <c r="A79" s="7" t="s">
        <v>469</v>
      </c>
      <c r="B79" s="7" t="s">
        <v>461</v>
      </c>
      <c r="C79" s="7" t="s">
        <v>462</v>
      </c>
      <c r="D79" s="7" t="s">
        <v>440</v>
      </c>
      <c r="E79" s="7" t="s">
        <v>463</v>
      </c>
      <c r="F79" s="7" t="s">
        <v>464</v>
      </c>
      <c r="G79" s="7" t="n">
        <v>40</v>
      </c>
      <c r="H79" s="7" t="n">
        <v>40</v>
      </c>
      <c r="I79" s="20" t="s">
        <v>35</v>
      </c>
      <c r="J79" s="7" t="n">
        <v>16</v>
      </c>
      <c r="K79" s="7" t="s">
        <v>381</v>
      </c>
      <c r="L79" s="9" t="n">
        <f aca="false">INDEX(Parámetros!$D$5:$D$12,MATCH(G79,Parámetros!$A$5:$A$12,0))</f>
        <v>32.6</v>
      </c>
      <c r="M79" s="9" t="n">
        <f aca="false">INDEX(Parámetros!$D$5:$D$12,MATCH(IF(H79="",G79,H79),Parámetros!$A$5:$A$12,0))</f>
        <v>32.6</v>
      </c>
      <c r="N79" s="9" t="n">
        <f aca="false">INDEX(Parámetros!$E$5:$E$12,MATCH(G79,Parámetros!$A$5:$A$12,0))</f>
        <v>28</v>
      </c>
      <c r="O79" s="9" t="n">
        <f aca="false">INDEX(Parámetros!$E$5:$E$12,MATCH(IF(H79="",G79,H79),Parámetros!$A$5:$A$12,0))</f>
        <v>28</v>
      </c>
      <c r="P79" s="17" t="n">
        <f aca="false">INDEX(Parámetros!$G$5:$G$12,MATCH(G79,Parámetros!$A$5:$A$12,0))</f>
        <v>0.022</v>
      </c>
      <c r="Q79" s="17" t="n">
        <f aca="false">IF(Z79="","",INDEX(Parámetros!$C$27:$C$31,MATCH(Z79,Parámetros!$A$27:$A$31,0))*P79)</f>
        <v>0.44</v>
      </c>
      <c r="R79" s="17" t="n">
        <f aca="false">INDEX(Parámetros!$D$27:$D$31,MATCH(Z79,Parámetros!$A$27:$A$31,0))*P79</f>
        <v>1.32</v>
      </c>
      <c r="S79" s="17" t="n">
        <f aca="false">(Q79+0.5*(1-(N79/L79)^2)+(1-(N79/L79)^2)^2)*(L79/N79)^4+IF(Z79="",0,INDEX(Parámetros!$E$27:$E$31,MATCH(Z79,Parámetros!$A$27:$A$31,0)))</f>
        <v>1.17593663145564</v>
      </c>
      <c r="T79" s="17" t="n">
        <f aca="false">(R79+0.5*(1-(O79/L79)^2)+(1-(O79/M79)^2)^2)*(M79/O79)^4+IF(Z79="",0,INDEX(Parámetros!$E$27:$E$31,MATCH(Z79,Parámetros!$A$27:$A$31,0)))</f>
        <v>2.79297731679509</v>
      </c>
      <c r="U79" s="11"/>
      <c r="V79" s="13" t="s">
        <v>443</v>
      </c>
      <c r="W79" s="19" t="n">
        <v>3.97</v>
      </c>
      <c r="X79" s="18" t="s">
        <v>465</v>
      </c>
      <c r="Y79" s="7" t="s">
        <v>466</v>
      </c>
      <c r="Z79" s="7" t="s">
        <v>56</v>
      </c>
      <c r="AA79" s="7" t="s">
        <v>384</v>
      </c>
      <c r="AB79" s="16" t="str">
        <f aca="false">IF(COUNTIFS(Packs!$D$2:$D$70,A79,Packs!$F$2:$F$70,"&gt;0")=0,"",_xlfn.MINIFS(Packs!$F$2:$F$70,Packs!$D$2:$D$70,A79,Packs!$F$2:$F$70,"&gt;0"))</f>
        <v/>
      </c>
      <c r="AC79" s="13" t="n">
        <f aca="false">COUNTIF(Packs!$D$2:$D$70,A79)</f>
        <v>0</v>
      </c>
    </row>
    <row r="80" customFormat="false" ht="15" hidden="false" customHeight="false" outlineLevel="0" collapsed="false">
      <c r="A80" s="7" t="s">
        <v>470</v>
      </c>
      <c r="B80" s="7" t="s">
        <v>461</v>
      </c>
      <c r="C80" s="7" t="s">
        <v>462</v>
      </c>
      <c r="D80" s="7" t="s">
        <v>440</v>
      </c>
      <c r="E80" s="7" t="s">
        <v>463</v>
      </c>
      <c r="F80" s="7" t="s">
        <v>464</v>
      </c>
      <c r="G80" s="7" t="n">
        <v>50</v>
      </c>
      <c r="H80" s="7" t="n">
        <v>50</v>
      </c>
      <c r="I80" s="20" t="s">
        <v>36</v>
      </c>
      <c r="J80" s="7" t="n">
        <v>16</v>
      </c>
      <c r="K80" s="7" t="s">
        <v>381</v>
      </c>
      <c r="L80" s="9" t="n">
        <f aca="false">INDEX(Parámetros!$D$5:$D$12,MATCH(G80,Parámetros!$A$5:$A$12,0))</f>
        <v>40.8</v>
      </c>
      <c r="M80" s="9" t="n">
        <f aca="false">INDEX(Parámetros!$D$5:$D$12,MATCH(IF(H80="",G80,H80),Parámetros!$A$5:$A$12,0))</f>
        <v>40.8</v>
      </c>
      <c r="N80" s="9" t="n">
        <f aca="false">INDEX(Parámetros!$E$5:$E$12,MATCH(G80,Parámetros!$A$5:$A$12,0))</f>
        <v>35</v>
      </c>
      <c r="O80" s="9" t="n">
        <f aca="false">INDEX(Parámetros!$E$5:$E$12,MATCH(IF(H80="",G80,H80),Parámetros!$A$5:$A$12,0))</f>
        <v>35</v>
      </c>
      <c r="P80" s="17" t="n">
        <f aca="false">INDEX(Parámetros!$G$5:$G$12,MATCH(G80,Parámetros!$A$5:$A$12,0))</f>
        <v>0.021</v>
      </c>
      <c r="Q80" s="17" t="n">
        <f aca="false">IF(Z80="","",INDEX(Parámetros!$C$27:$C$31,MATCH(Z80,Parámetros!$A$27:$A$31,0))*P80)</f>
        <v>0.42</v>
      </c>
      <c r="R80" s="17" t="n">
        <f aca="false">INDEX(Parámetros!$D$27:$D$31,MATCH(Z80,Parámetros!$A$27:$A$31,0))*P80</f>
        <v>1.26</v>
      </c>
      <c r="S80" s="17" t="n">
        <f aca="false">(Q80+0.5*(1-(N80/L80)^2)+(1-(N80/L80)^2)^2)*(L80/N80)^4+IF(Z80="",0,INDEX(Parámetros!$E$27:$E$31,MATCH(Z80,Parámetros!$A$27:$A$31,0)))</f>
        <v>1.14821194691012</v>
      </c>
      <c r="T80" s="17" t="n">
        <f aca="false">(R80+0.5*(1-(O80/L80)^2)+(1-(O80/M80)^2)^2)*(M80/O80)^4+IF(Z80="",0,INDEX(Parámetros!$E$27:$E$31,MATCH(Z80,Parámetros!$A$27:$A$31,0)))</f>
        <v>2.69934038796901</v>
      </c>
      <c r="U80" s="11"/>
      <c r="V80" s="13" t="s">
        <v>443</v>
      </c>
      <c r="W80" s="19" t="n">
        <v>3.97</v>
      </c>
      <c r="X80" s="18" t="s">
        <v>465</v>
      </c>
      <c r="Y80" s="7" t="s">
        <v>466</v>
      </c>
      <c r="Z80" s="7" t="s">
        <v>56</v>
      </c>
      <c r="AA80" s="7" t="s">
        <v>384</v>
      </c>
      <c r="AB80" s="16" t="str">
        <f aca="false">IF(COUNTIFS(Packs!$D$2:$D$70,A80,Packs!$F$2:$F$70,"&gt;0")=0,"",_xlfn.MINIFS(Packs!$F$2:$F$70,Packs!$D$2:$D$70,A80,Packs!$F$2:$F$70,"&gt;0"))</f>
        <v/>
      </c>
      <c r="AC80" s="13" t="n">
        <f aca="false">COUNTIF(Packs!$D$2:$D$70,A80)</f>
        <v>0</v>
      </c>
    </row>
    <row r="81" customFormat="false" ht="15" hidden="false" customHeight="false" outlineLevel="0" collapsed="false">
      <c r="A81" s="7" t="s">
        <v>471</v>
      </c>
      <c r="B81" s="7" t="s">
        <v>461</v>
      </c>
      <c r="C81" s="7" t="s">
        <v>462</v>
      </c>
      <c r="D81" s="7" t="s">
        <v>440</v>
      </c>
      <c r="E81" s="7" t="s">
        <v>463</v>
      </c>
      <c r="F81" s="7" t="s">
        <v>464</v>
      </c>
      <c r="G81" s="7" t="n">
        <v>63</v>
      </c>
      <c r="H81" s="7" t="n">
        <v>63</v>
      </c>
      <c r="I81" s="20" t="s">
        <v>37</v>
      </c>
      <c r="J81" s="7" t="n">
        <v>16</v>
      </c>
      <c r="K81" s="7" t="s">
        <v>381</v>
      </c>
      <c r="L81" s="9" t="n">
        <f aca="false">INDEX(Parámetros!$D$5:$D$12,MATCH(G81,Parámetros!$A$5:$A$12,0))</f>
        <v>51.4</v>
      </c>
      <c r="M81" s="9" t="n">
        <f aca="false">INDEX(Parámetros!$D$5:$D$12,MATCH(IF(H81="",G81,H81),Parámetros!$A$5:$A$12,0))</f>
        <v>51.4</v>
      </c>
      <c r="N81" s="9" t="n">
        <f aca="false">INDEX(Parámetros!$E$5:$E$12,MATCH(G81,Parámetros!$A$5:$A$12,0))</f>
        <v>45</v>
      </c>
      <c r="O81" s="9" t="n">
        <f aca="false">INDEX(Parámetros!$E$5:$E$12,MATCH(IF(H81="",G81,H81),Parámetros!$A$5:$A$12,0))</f>
        <v>45</v>
      </c>
      <c r="P81" s="17" t="n">
        <f aca="false">INDEX(Parámetros!$G$5:$G$12,MATCH(G81,Parámetros!$A$5:$A$12,0))</f>
        <v>0.019</v>
      </c>
      <c r="Q81" s="17" t="n">
        <f aca="false">IF(Z81="","",INDEX(Parámetros!$C$27:$C$31,MATCH(Z81,Parámetros!$A$27:$A$31,0))*P81)</f>
        <v>0.38</v>
      </c>
      <c r="R81" s="17" t="n">
        <f aca="false">INDEX(Parámetros!$D$27:$D$31,MATCH(Z81,Parámetros!$A$27:$A$31,0))*P81</f>
        <v>1.14</v>
      </c>
      <c r="S81" s="17" t="n">
        <f aca="false">(Q81+0.5*(1-(N81/L81)^2)+(1-(N81/L81)^2)^2)*(L81/N81)^4+IF(Z81="",0,INDEX(Parámetros!$E$27:$E$31,MATCH(Z81,Parámetros!$A$27:$A$31,0)))</f>
        <v>0.938396821510867</v>
      </c>
      <c r="T81" s="17" t="n">
        <f aca="false">(R81+0.5*(1-(O81/L81)^2)+(1-(O81/M81)^2)^2)*(M81/O81)^4+IF(Z81="",0,INDEX(Parámetros!$E$27:$E$31,MATCH(Z81,Parámetros!$A$27:$A$31,0)))</f>
        <v>2.23204449902734</v>
      </c>
      <c r="U81" s="11"/>
      <c r="V81" s="13" t="s">
        <v>443</v>
      </c>
      <c r="W81" s="19" t="n">
        <v>3.97</v>
      </c>
      <c r="X81" s="18" t="s">
        <v>465</v>
      </c>
      <c r="Y81" s="7" t="s">
        <v>466</v>
      </c>
      <c r="Z81" s="7" t="s">
        <v>56</v>
      </c>
      <c r="AA81" s="7" t="s">
        <v>384</v>
      </c>
      <c r="AB81" s="16" t="str">
        <f aca="false">IF(COUNTIFS(Packs!$D$2:$D$70,A81,Packs!$F$2:$F$70,"&gt;0")=0,"",_xlfn.MINIFS(Packs!$F$2:$F$70,Packs!$D$2:$D$70,A81,Packs!$F$2:$F$70,"&gt;0"))</f>
        <v/>
      </c>
      <c r="AC81" s="13" t="n">
        <f aca="false">COUNTIF(Packs!$D$2:$D$70,A81)</f>
        <v>0</v>
      </c>
    </row>
    <row r="82" customFormat="false" ht="15" hidden="false" customHeight="false" outlineLevel="0" collapsed="false">
      <c r="A82" s="7" t="s">
        <v>136</v>
      </c>
      <c r="B82" s="7" t="s">
        <v>472</v>
      </c>
      <c r="C82" s="7" t="s">
        <v>473</v>
      </c>
      <c r="D82" s="7" t="s">
        <v>474</v>
      </c>
      <c r="E82" s="7" t="s">
        <v>475</v>
      </c>
      <c r="F82" s="7" t="s">
        <v>476</v>
      </c>
      <c r="G82" s="7" t="n">
        <v>20</v>
      </c>
      <c r="H82" s="7"/>
      <c r="I82" s="7"/>
      <c r="J82" s="7" t="n">
        <v>16</v>
      </c>
      <c r="K82" s="7" t="s">
        <v>381</v>
      </c>
      <c r="L82" s="9" t="n">
        <f aca="false">INDEX(Parámetros!$D$5:$D$12,MATCH(G82,Parámetros!$A$5:$A$12,0))</f>
        <v>16</v>
      </c>
      <c r="M82" s="9" t="n">
        <f aca="false">INDEX(Parámetros!$D$5:$D$12,MATCH(IF(H82="",G82,H82),Parámetros!$A$5:$A$12,0))</f>
        <v>16</v>
      </c>
      <c r="N82" s="9" t="n">
        <f aca="false">INDEX(Parámetros!$E$5:$E$12,MATCH(G82,Parámetros!$A$5:$A$12,0))</f>
        <v>13</v>
      </c>
      <c r="O82" s="8"/>
      <c r="P82" s="17" t="n">
        <f aca="false">INDEX(Parámetros!$G$5:$G$12,MATCH(G82,Parámetros!$A$5:$A$12,0))</f>
        <v>0.027</v>
      </c>
      <c r="Q82" s="17" t="str">
        <f aca="false">IF(Z82="","",INDEX(Parámetros!$C$27:$C$31,MATCH(Z82,Parámetros!$A$27:$A$31,0))*P82)</f>
        <v/>
      </c>
      <c r="R82" s="11"/>
      <c r="S82" s="11"/>
      <c r="T82" s="11"/>
      <c r="U82" s="11"/>
      <c r="V82" s="13" t="s">
        <v>477</v>
      </c>
      <c r="W82" s="19" t="n">
        <v>1.68</v>
      </c>
      <c r="X82" s="18" t="s">
        <v>478</v>
      </c>
      <c r="Y82" s="7" t="s">
        <v>479</v>
      </c>
      <c r="Z82" s="7"/>
      <c r="AA82" s="7" t="s">
        <v>384</v>
      </c>
      <c r="AB82" s="16" t="str">
        <f aca="false">IF(COUNTIFS(Packs!$D$2:$D$70,A82,Packs!$F$2:$F$70,"&gt;0")=0,"",_xlfn.MINIFS(Packs!$F$2:$F$70,Packs!$D$2:$D$70,A82,Packs!$F$2:$F$70,"&gt;0"))</f>
        <v/>
      </c>
      <c r="AC82" s="13" t="n">
        <f aca="false">COUNTIF(Packs!$D$2:$D$70,A82)</f>
        <v>1</v>
      </c>
    </row>
    <row r="83" customFormat="false" ht="15" hidden="false" customHeight="false" outlineLevel="0" collapsed="false">
      <c r="A83" s="7" t="s">
        <v>141</v>
      </c>
      <c r="B83" s="7" t="s">
        <v>472</v>
      </c>
      <c r="C83" s="7" t="s">
        <v>473</v>
      </c>
      <c r="D83" s="7" t="s">
        <v>474</v>
      </c>
      <c r="E83" s="7" t="s">
        <v>475</v>
      </c>
      <c r="F83" s="7" t="s">
        <v>476</v>
      </c>
      <c r="G83" s="7" t="n">
        <v>25</v>
      </c>
      <c r="H83" s="7"/>
      <c r="I83" s="7"/>
      <c r="J83" s="7" t="n">
        <v>16</v>
      </c>
      <c r="K83" s="7" t="s">
        <v>381</v>
      </c>
      <c r="L83" s="9" t="n">
        <f aca="false">INDEX(Parámetros!$D$5:$D$12,MATCH(G83,Parámetros!$A$5:$A$12,0))</f>
        <v>20.4</v>
      </c>
      <c r="M83" s="9" t="n">
        <f aca="false">INDEX(Parámetros!$D$5:$D$12,MATCH(IF(H83="",G83,H83),Parámetros!$A$5:$A$12,0))</f>
        <v>20.4</v>
      </c>
      <c r="N83" s="9" t="n">
        <f aca="false">INDEX(Parámetros!$E$5:$E$12,MATCH(G83,Parámetros!$A$5:$A$12,0))</f>
        <v>17</v>
      </c>
      <c r="O83" s="8"/>
      <c r="P83" s="17" t="n">
        <f aca="false">INDEX(Parámetros!$G$5:$G$12,MATCH(G83,Parámetros!$A$5:$A$12,0))</f>
        <v>0.025</v>
      </c>
      <c r="Q83" s="17" t="str">
        <f aca="false">IF(Z83="","",INDEX(Parámetros!$C$27:$C$31,MATCH(Z83,Parámetros!$A$27:$A$31,0))*P83)</f>
        <v/>
      </c>
      <c r="R83" s="11"/>
      <c r="S83" s="11"/>
      <c r="T83" s="11"/>
      <c r="U83" s="11"/>
      <c r="V83" s="13" t="s">
        <v>477</v>
      </c>
      <c r="W83" s="19" t="n">
        <v>1.68</v>
      </c>
      <c r="X83" s="18" t="s">
        <v>478</v>
      </c>
      <c r="Y83" s="7" t="s">
        <v>479</v>
      </c>
      <c r="Z83" s="7"/>
      <c r="AA83" s="7" t="s">
        <v>384</v>
      </c>
      <c r="AB83" s="16" t="n">
        <f aca="false">IF(COUNTIFS(Packs!$D$2:$D$70,A83,Packs!$F$2:$F$70,"&gt;0")=0,"",_xlfn.MINIFS(Packs!$F$2:$F$70,Packs!$D$2:$D$70,A83,Packs!$F$2:$F$70,"&gt;0"))</f>
        <v>2.2375</v>
      </c>
      <c r="AC83" s="13" t="n">
        <f aca="false">COUNTIF(Packs!$D$2:$D$70,A83)</f>
        <v>1</v>
      </c>
    </row>
    <row r="84" customFormat="false" ht="15" hidden="false" customHeight="false" outlineLevel="0" collapsed="false">
      <c r="A84" s="7" t="s">
        <v>145</v>
      </c>
      <c r="B84" s="7" t="s">
        <v>472</v>
      </c>
      <c r="C84" s="7" t="s">
        <v>473</v>
      </c>
      <c r="D84" s="7" t="s">
        <v>474</v>
      </c>
      <c r="E84" s="7" t="s">
        <v>475</v>
      </c>
      <c r="F84" s="7" t="s">
        <v>476</v>
      </c>
      <c r="G84" s="7" t="n">
        <v>32</v>
      </c>
      <c r="H84" s="7"/>
      <c r="I84" s="7"/>
      <c r="J84" s="7" t="n">
        <v>16</v>
      </c>
      <c r="K84" s="7" t="s">
        <v>381</v>
      </c>
      <c r="L84" s="9" t="n">
        <f aca="false">INDEX(Parámetros!$D$5:$D$12,MATCH(G84,Parámetros!$A$5:$A$12,0))</f>
        <v>26.2</v>
      </c>
      <c r="M84" s="9" t="n">
        <f aca="false">INDEX(Parámetros!$D$5:$D$12,MATCH(IF(H84="",G84,H84),Parámetros!$A$5:$A$12,0))</f>
        <v>26.2</v>
      </c>
      <c r="N84" s="9" t="n">
        <f aca="false">INDEX(Parámetros!$E$5:$E$12,MATCH(G84,Parámetros!$A$5:$A$12,0))</f>
        <v>22</v>
      </c>
      <c r="O84" s="8"/>
      <c r="P84" s="17" t="n">
        <f aca="false">INDEX(Parámetros!$G$5:$G$12,MATCH(G84,Parámetros!$A$5:$A$12,0))</f>
        <v>0.023</v>
      </c>
      <c r="Q84" s="17" t="str">
        <f aca="false">IF(Z84="","",INDEX(Parámetros!$C$27:$C$31,MATCH(Z84,Parámetros!$A$27:$A$31,0))*P84)</f>
        <v/>
      </c>
      <c r="R84" s="11"/>
      <c r="S84" s="11"/>
      <c r="T84" s="11"/>
      <c r="U84" s="11"/>
      <c r="V84" s="13" t="s">
        <v>477</v>
      </c>
      <c r="W84" s="19" t="n">
        <v>1.68</v>
      </c>
      <c r="X84" s="18" t="s">
        <v>478</v>
      </c>
      <c r="Y84" s="7" t="s">
        <v>479</v>
      </c>
      <c r="Z84" s="7"/>
      <c r="AA84" s="7" t="s">
        <v>384</v>
      </c>
      <c r="AB84" s="16" t="n">
        <f aca="false">IF(COUNTIFS(Packs!$D$2:$D$70,A84,Packs!$F$2:$F$70,"&gt;0")=0,"",_xlfn.MINIFS(Packs!$F$2:$F$70,Packs!$D$2:$D$70,A84,Packs!$F$2:$F$70,"&gt;0"))</f>
        <v>2.9875</v>
      </c>
      <c r="AC84" s="13" t="n">
        <f aca="false">COUNTIF(Packs!$D$2:$D$70,A84)</f>
        <v>1</v>
      </c>
    </row>
    <row r="85" customFormat="false" ht="15" hidden="false" customHeight="false" outlineLevel="0" collapsed="false">
      <c r="A85" s="7" t="s">
        <v>149</v>
      </c>
      <c r="B85" s="7" t="s">
        <v>472</v>
      </c>
      <c r="C85" s="7" t="s">
        <v>473</v>
      </c>
      <c r="D85" s="7" t="s">
        <v>474</v>
      </c>
      <c r="E85" s="7" t="s">
        <v>475</v>
      </c>
      <c r="F85" s="7" t="s">
        <v>476</v>
      </c>
      <c r="G85" s="7" t="n">
        <v>40</v>
      </c>
      <c r="H85" s="7"/>
      <c r="I85" s="7"/>
      <c r="J85" s="7" t="n">
        <v>16</v>
      </c>
      <c r="K85" s="7" t="s">
        <v>381</v>
      </c>
      <c r="L85" s="9" t="n">
        <f aca="false">INDEX(Parámetros!$D$5:$D$12,MATCH(G85,Parámetros!$A$5:$A$12,0))</f>
        <v>32.6</v>
      </c>
      <c r="M85" s="9" t="n">
        <f aca="false">INDEX(Parámetros!$D$5:$D$12,MATCH(IF(H85="",G85,H85),Parámetros!$A$5:$A$12,0))</f>
        <v>32.6</v>
      </c>
      <c r="N85" s="9" t="n">
        <f aca="false">INDEX(Parámetros!$E$5:$E$12,MATCH(G85,Parámetros!$A$5:$A$12,0))</f>
        <v>28</v>
      </c>
      <c r="O85" s="8"/>
      <c r="P85" s="17" t="n">
        <f aca="false">INDEX(Parámetros!$G$5:$G$12,MATCH(G85,Parámetros!$A$5:$A$12,0))</f>
        <v>0.022</v>
      </c>
      <c r="Q85" s="17" t="str">
        <f aca="false">IF(Z85="","",INDEX(Parámetros!$C$27:$C$31,MATCH(Z85,Parámetros!$A$27:$A$31,0))*P85)</f>
        <v/>
      </c>
      <c r="R85" s="11"/>
      <c r="S85" s="11"/>
      <c r="T85" s="11"/>
      <c r="U85" s="11"/>
      <c r="V85" s="13" t="s">
        <v>477</v>
      </c>
      <c r="W85" s="19" t="n">
        <v>1.68</v>
      </c>
      <c r="X85" s="18" t="s">
        <v>478</v>
      </c>
      <c r="Y85" s="7" t="s">
        <v>479</v>
      </c>
      <c r="Z85" s="7"/>
      <c r="AA85" s="7" t="s">
        <v>384</v>
      </c>
      <c r="AB85" s="16" t="str">
        <f aca="false">IF(COUNTIFS(Packs!$D$2:$D$70,A85,Packs!$F$2:$F$70,"&gt;0")=0,"",_xlfn.MINIFS(Packs!$F$2:$F$70,Packs!$D$2:$D$70,A85,Packs!$F$2:$F$70,"&gt;0"))</f>
        <v/>
      </c>
      <c r="AC85" s="13" t="n">
        <f aca="false">COUNTIF(Packs!$D$2:$D$70,A85)</f>
        <v>1</v>
      </c>
    </row>
    <row r="86" customFormat="false" ht="15" hidden="false" customHeight="false" outlineLevel="0" collapsed="false">
      <c r="A86" s="7" t="s">
        <v>153</v>
      </c>
      <c r="B86" s="7" t="s">
        <v>472</v>
      </c>
      <c r="C86" s="7" t="s">
        <v>473</v>
      </c>
      <c r="D86" s="7" t="s">
        <v>474</v>
      </c>
      <c r="E86" s="7" t="s">
        <v>475</v>
      </c>
      <c r="F86" s="7" t="s">
        <v>476</v>
      </c>
      <c r="G86" s="7" t="n">
        <v>50</v>
      </c>
      <c r="H86" s="7"/>
      <c r="I86" s="7"/>
      <c r="J86" s="7" t="n">
        <v>16</v>
      </c>
      <c r="K86" s="7" t="s">
        <v>381</v>
      </c>
      <c r="L86" s="9" t="n">
        <f aca="false">INDEX(Parámetros!$D$5:$D$12,MATCH(G86,Parámetros!$A$5:$A$12,0))</f>
        <v>40.8</v>
      </c>
      <c r="M86" s="9" t="n">
        <f aca="false">INDEX(Parámetros!$D$5:$D$12,MATCH(IF(H86="",G86,H86),Parámetros!$A$5:$A$12,0))</f>
        <v>40.8</v>
      </c>
      <c r="N86" s="9" t="n">
        <f aca="false">INDEX(Parámetros!$E$5:$E$12,MATCH(G86,Parámetros!$A$5:$A$12,0))</f>
        <v>35</v>
      </c>
      <c r="O86" s="8"/>
      <c r="P86" s="17" t="n">
        <f aca="false">INDEX(Parámetros!$G$5:$G$12,MATCH(G86,Parámetros!$A$5:$A$12,0))</f>
        <v>0.021</v>
      </c>
      <c r="Q86" s="17" t="str">
        <f aca="false">IF(Z86="","",INDEX(Parámetros!$C$27:$C$31,MATCH(Z86,Parámetros!$A$27:$A$31,0))*P86)</f>
        <v/>
      </c>
      <c r="R86" s="11"/>
      <c r="S86" s="11"/>
      <c r="T86" s="11"/>
      <c r="U86" s="11"/>
      <c r="V86" s="13" t="s">
        <v>477</v>
      </c>
      <c r="W86" s="19" t="n">
        <v>1.68</v>
      </c>
      <c r="X86" s="18" t="s">
        <v>478</v>
      </c>
      <c r="Y86" s="7" t="s">
        <v>479</v>
      </c>
      <c r="Z86" s="7"/>
      <c r="AA86" s="7" t="s">
        <v>384</v>
      </c>
      <c r="AB86" s="16" t="n">
        <f aca="false">IF(COUNTIFS(Packs!$D$2:$D$70,A86,Packs!$F$2:$F$70,"&gt;0")=0,"",_xlfn.MINIFS(Packs!$F$2:$F$70,Packs!$D$2:$D$70,A86,Packs!$F$2:$F$70,"&gt;0"))</f>
        <v>5.4875</v>
      </c>
      <c r="AC86" s="13" t="n">
        <f aca="false">COUNTIF(Packs!$D$2:$D$70,A86)</f>
        <v>1</v>
      </c>
    </row>
    <row r="87" customFormat="false" ht="15" hidden="false" customHeight="false" outlineLevel="0" collapsed="false">
      <c r="A87" s="7" t="s">
        <v>157</v>
      </c>
      <c r="B87" s="7" t="s">
        <v>472</v>
      </c>
      <c r="C87" s="7" t="s">
        <v>473</v>
      </c>
      <c r="D87" s="7" t="s">
        <v>474</v>
      </c>
      <c r="E87" s="7" t="s">
        <v>475</v>
      </c>
      <c r="F87" s="7" t="s">
        <v>476</v>
      </c>
      <c r="G87" s="7" t="n">
        <v>63</v>
      </c>
      <c r="H87" s="7"/>
      <c r="I87" s="7"/>
      <c r="J87" s="7" t="n">
        <v>16</v>
      </c>
      <c r="K87" s="7" t="s">
        <v>381</v>
      </c>
      <c r="L87" s="9" t="n">
        <f aca="false">INDEX(Parámetros!$D$5:$D$12,MATCH(G87,Parámetros!$A$5:$A$12,0))</f>
        <v>51.4</v>
      </c>
      <c r="M87" s="9" t="n">
        <f aca="false">INDEX(Parámetros!$D$5:$D$12,MATCH(IF(H87="",G87,H87),Parámetros!$A$5:$A$12,0))</f>
        <v>51.4</v>
      </c>
      <c r="N87" s="9" t="n">
        <f aca="false">INDEX(Parámetros!$E$5:$E$12,MATCH(G87,Parámetros!$A$5:$A$12,0))</f>
        <v>45</v>
      </c>
      <c r="O87" s="8"/>
      <c r="P87" s="17" t="n">
        <f aca="false">INDEX(Parámetros!$G$5:$G$12,MATCH(G87,Parámetros!$A$5:$A$12,0))</f>
        <v>0.019</v>
      </c>
      <c r="Q87" s="17" t="str">
        <f aca="false">IF(Z87="","",INDEX(Parámetros!$C$27:$C$31,MATCH(Z87,Parámetros!$A$27:$A$31,0))*P87)</f>
        <v/>
      </c>
      <c r="R87" s="11"/>
      <c r="S87" s="11"/>
      <c r="T87" s="11"/>
      <c r="U87" s="11"/>
      <c r="V87" s="13" t="s">
        <v>477</v>
      </c>
      <c r="W87" s="19" t="n">
        <v>1.68</v>
      </c>
      <c r="X87" s="18" t="s">
        <v>478</v>
      </c>
      <c r="Y87" s="7" t="s">
        <v>479</v>
      </c>
      <c r="Z87" s="7"/>
      <c r="AA87" s="7" t="s">
        <v>384</v>
      </c>
      <c r="AB87" s="16" t="n">
        <f aca="false">IF(COUNTIFS(Packs!$D$2:$D$70,A87,Packs!$F$2:$F$70,"&gt;0")=0,"",_xlfn.MINIFS(Packs!$F$2:$F$70,Packs!$D$2:$D$70,A87,Packs!$F$2:$F$70,"&gt;0"))</f>
        <v>7.7375</v>
      </c>
      <c r="AC87" s="13" t="n">
        <f aca="false">COUNTIF(Packs!$D$2:$D$70,A87)</f>
        <v>1</v>
      </c>
    </row>
    <row r="88" customFormat="false" ht="15" hidden="false" customHeight="false" outlineLevel="0" collapsed="false">
      <c r="A88" s="7" t="s">
        <v>161</v>
      </c>
      <c r="B88" s="7" t="s">
        <v>472</v>
      </c>
      <c r="C88" s="7" t="s">
        <v>473</v>
      </c>
      <c r="D88" s="7" t="s">
        <v>474</v>
      </c>
      <c r="E88" s="7" t="s">
        <v>475</v>
      </c>
      <c r="F88" s="7" t="s">
        <v>476</v>
      </c>
      <c r="G88" s="7" t="n">
        <v>75</v>
      </c>
      <c r="H88" s="7"/>
      <c r="I88" s="7"/>
      <c r="J88" s="7" t="n">
        <v>16</v>
      </c>
      <c r="K88" s="7" t="s">
        <v>381</v>
      </c>
      <c r="L88" s="9" t="n">
        <f aca="false">INDEX(Parámetros!$D$5:$D$12,MATCH(G88,Parámetros!$A$5:$A$12,0))</f>
        <v>61.4</v>
      </c>
      <c r="M88" s="9" t="n">
        <f aca="false">INDEX(Parámetros!$D$5:$D$12,MATCH(IF(H88="",G88,H88),Parámetros!$A$5:$A$12,0))</f>
        <v>61.4</v>
      </c>
      <c r="N88" s="9" t="n">
        <f aca="false">INDEX(Parámetros!$E$5:$E$12,MATCH(G88,Parámetros!$A$5:$A$12,0))</f>
        <v>54</v>
      </c>
      <c r="O88" s="8"/>
      <c r="P88" s="17" t="n">
        <f aca="false">INDEX(Parámetros!$G$5:$G$12,MATCH(G88,Parámetros!$A$5:$A$12,0))</f>
        <v>0.018</v>
      </c>
      <c r="Q88" s="17" t="str">
        <f aca="false">IF(Z88="","",INDEX(Parámetros!$C$27:$C$31,MATCH(Z88,Parámetros!$A$27:$A$31,0))*P88)</f>
        <v/>
      </c>
      <c r="R88" s="11"/>
      <c r="S88" s="11"/>
      <c r="T88" s="11"/>
      <c r="U88" s="11"/>
      <c r="V88" s="13" t="s">
        <v>477</v>
      </c>
      <c r="W88" s="19" t="n">
        <v>1.68</v>
      </c>
      <c r="X88" s="18" t="s">
        <v>478</v>
      </c>
      <c r="Y88" s="7" t="s">
        <v>479</v>
      </c>
      <c r="Z88" s="7"/>
      <c r="AA88" s="7" t="s">
        <v>384</v>
      </c>
      <c r="AB88" s="16" t="n">
        <f aca="false">IF(COUNTIFS(Packs!$D$2:$D$70,A88,Packs!$F$2:$F$70,"&gt;0")=0,"",_xlfn.MINIFS(Packs!$F$2:$F$70,Packs!$D$2:$D$70,A88,Packs!$F$2:$F$70,"&gt;0"))</f>
        <v>12.7375</v>
      </c>
      <c r="AC88" s="13" t="n">
        <f aca="false">COUNTIF(Packs!$D$2:$D$70,A88)</f>
        <v>1</v>
      </c>
    </row>
    <row r="89" customFormat="false" ht="15" hidden="false" customHeight="false" outlineLevel="0" collapsed="false">
      <c r="A89" s="7" t="s">
        <v>480</v>
      </c>
      <c r="B89" s="7" t="s">
        <v>472</v>
      </c>
      <c r="C89" s="7" t="s">
        <v>473</v>
      </c>
      <c r="D89" s="7" t="s">
        <v>474</v>
      </c>
      <c r="E89" s="7" t="s">
        <v>475</v>
      </c>
      <c r="F89" s="7" t="s">
        <v>476</v>
      </c>
      <c r="G89" s="7" t="n">
        <v>90</v>
      </c>
      <c r="H89" s="7"/>
      <c r="I89" s="7"/>
      <c r="J89" s="7" t="n">
        <v>16</v>
      </c>
      <c r="K89" s="7" t="s">
        <v>381</v>
      </c>
      <c r="L89" s="9" t="n">
        <f aca="false">INDEX(Parámetros!$D$5:$D$12,MATCH(G89,Parámetros!$A$5:$A$12,0))</f>
        <v>73.6</v>
      </c>
      <c r="M89" s="9" t="n">
        <f aca="false">INDEX(Parámetros!$D$5:$D$12,MATCH(IF(H89="",G89,H89),Parámetros!$A$5:$A$12,0))</f>
        <v>73.6</v>
      </c>
      <c r="N89" s="9" t="n">
        <f aca="false">INDEX(Parámetros!$E$5:$E$12,MATCH(G89,Parámetros!$A$5:$A$12,0))</f>
        <v>66</v>
      </c>
      <c r="O89" s="8"/>
      <c r="P89" s="17" t="n">
        <f aca="false">INDEX(Parámetros!$G$5:$G$12,MATCH(G89,Parámetros!$A$5:$A$12,0))</f>
        <v>0.018</v>
      </c>
      <c r="Q89" s="17" t="str">
        <f aca="false">IF(Z89="","",INDEX(Parámetros!$C$27:$C$31,MATCH(Z89,Parámetros!$A$27:$A$31,0))*P89)</f>
        <v/>
      </c>
      <c r="R89" s="11"/>
      <c r="S89" s="11"/>
      <c r="T89" s="11"/>
      <c r="U89" s="11"/>
      <c r="V89" s="13" t="s">
        <v>477</v>
      </c>
      <c r="W89" s="19" t="n">
        <v>1.68</v>
      </c>
      <c r="X89" s="18" t="s">
        <v>478</v>
      </c>
      <c r="Y89" s="7" t="s">
        <v>479</v>
      </c>
      <c r="Z89" s="7"/>
      <c r="AA89" s="7" t="s">
        <v>384</v>
      </c>
      <c r="AB89" s="16" t="str">
        <f aca="false">IF(COUNTIFS(Packs!$D$2:$D$70,A89,Packs!$F$2:$F$70,"&gt;0")=0,"",_xlfn.MINIFS(Packs!$F$2:$F$70,Packs!$D$2:$D$70,A89,Packs!$F$2:$F$70,"&gt;0"))</f>
        <v/>
      </c>
      <c r="AC89" s="13" t="n">
        <f aca="false">COUNTIF(Packs!$D$2:$D$70,A89)</f>
        <v>0</v>
      </c>
    </row>
    <row r="90" customFormat="false" ht="15" hidden="false" customHeight="false" outlineLevel="0" collapsed="false">
      <c r="A90" s="7" t="s">
        <v>481</v>
      </c>
      <c r="B90" s="7" t="s">
        <v>482</v>
      </c>
      <c r="C90" s="7" t="s">
        <v>483</v>
      </c>
      <c r="D90" s="7" t="s">
        <v>405</v>
      </c>
      <c r="E90" s="7" t="s">
        <v>484</v>
      </c>
      <c r="F90" s="7" t="s">
        <v>395</v>
      </c>
      <c r="G90" s="7" t="n">
        <v>20</v>
      </c>
      <c r="H90" s="7"/>
      <c r="I90" s="20" t="s">
        <v>32</v>
      </c>
      <c r="J90" s="7" t="n">
        <v>16</v>
      </c>
      <c r="K90" s="7" t="s">
        <v>381</v>
      </c>
      <c r="L90" s="9" t="n">
        <f aca="false">INDEX(Parámetros!$D$5:$D$12,MATCH(G90,Parámetros!$A$5:$A$12,0))</f>
        <v>16</v>
      </c>
      <c r="M90" s="9" t="n">
        <f aca="false">INDEX(Parámetros!$D$5:$D$12,MATCH(IF(H90="",G90,H90),Parámetros!$A$5:$A$12,0))</f>
        <v>16</v>
      </c>
      <c r="N90" s="9" t="n">
        <f aca="false">INDEX(Parámetros!$E$5:$E$12,MATCH(G90,Parámetros!$A$5:$A$12,0))</f>
        <v>13</v>
      </c>
      <c r="O90" s="8"/>
      <c r="P90" s="17" t="n">
        <f aca="false">INDEX(Parámetros!$G$5:$G$12,MATCH(G90,Parámetros!$A$5:$A$12,0))</f>
        <v>0.027</v>
      </c>
      <c r="Q90" s="17" t="n">
        <f aca="false">IF(Z90="","",INDEX(Parámetros!$C$27:$C$31,MATCH(Z90,Parámetros!$A$27:$A$31,0))*P90)</f>
        <v>0.81</v>
      </c>
      <c r="R90" s="11"/>
      <c r="S90" s="17" t="n">
        <f aca="false">(Q90+0.5*(1-(N90/L90)^2)+(1-(N90/M90)^2)^2)*(M90/N90)^4+IF(Z90="",0,INDEX(Parámetros!$E$27:$E$31,MATCH(Z90,Parámetros!$A$27:$A$31,0)))</f>
        <v>2.51353804138511</v>
      </c>
      <c r="T90" s="11"/>
      <c r="U90" s="17" t="str">
        <f aca="false">IF(H90="","",(Q90+0.5*(1-(N90/M90)^2)+(1-(N90/L90)^2)^2)*(M90/N90)^4+IF(Z90="",0,INDEX(Parámetros!$E$27:$E$31,MATCH(Z90,Parámetros!$A$27:$A$31,0))))</f>
        <v/>
      </c>
      <c r="V90" s="13" t="s">
        <v>407</v>
      </c>
      <c r="W90" s="19" t="n">
        <v>3.57</v>
      </c>
      <c r="X90" s="18" t="s">
        <v>485</v>
      </c>
      <c r="Y90" s="7" t="s">
        <v>486</v>
      </c>
      <c r="Z90" s="7" t="s">
        <v>53</v>
      </c>
      <c r="AA90" s="7" t="s">
        <v>384</v>
      </c>
      <c r="AB90" s="16" t="str">
        <f aca="false">IF(COUNTIFS(Packs!$D$2:$D$70,A90,Packs!$F$2:$F$70,"&gt;0")=0,"",_xlfn.MINIFS(Packs!$F$2:$F$70,Packs!$D$2:$D$70,A90,Packs!$F$2:$F$70,"&gt;0"))</f>
        <v/>
      </c>
      <c r="AC90" s="13" t="n">
        <f aca="false">COUNTIF(Packs!$D$2:$D$70,A90)</f>
        <v>0</v>
      </c>
    </row>
    <row r="91" customFormat="false" ht="15" hidden="false" customHeight="false" outlineLevel="0" collapsed="false">
      <c r="A91" s="7" t="s">
        <v>487</v>
      </c>
      <c r="B91" s="7" t="s">
        <v>482</v>
      </c>
      <c r="C91" s="7" t="s">
        <v>483</v>
      </c>
      <c r="D91" s="7" t="s">
        <v>405</v>
      </c>
      <c r="E91" s="7" t="s">
        <v>484</v>
      </c>
      <c r="F91" s="7" t="s">
        <v>395</v>
      </c>
      <c r="G91" s="7" t="n">
        <v>25</v>
      </c>
      <c r="H91" s="7"/>
      <c r="I91" s="20" t="s">
        <v>33</v>
      </c>
      <c r="J91" s="7" t="n">
        <v>16</v>
      </c>
      <c r="K91" s="7" t="s">
        <v>381</v>
      </c>
      <c r="L91" s="9" t="n">
        <f aca="false">INDEX(Parámetros!$D$5:$D$12,MATCH(G91,Parámetros!$A$5:$A$12,0))</f>
        <v>20.4</v>
      </c>
      <c r="M91" s="9" t="n">
        <f aca="false">INDEX(Parámetros!$D$5:$D$12,MATCH(IF(H91="",G91,H91),Parámetros!$A$5:$A$12,0))</f>
        <v>20.4</v>
      </c>
      <c r="N91" s="9" t="n">
        <f aca="false">INDEX(Parámetros!$E$5:$E$12,MATCH(G91,Parámetros!$A$5:$A$12,0))</f>
        <v>17</v>
      </c>
      <c r="O91" s="8"/>
      <c r="P91" s="17" t="n">
        <f aca="false">INDEX(Parámetros!$G$5:$G$12,MATCH(G91,Parámetros!$A$5:$A$12,0))</f>
        <v>0.025</v>
      </c>
      <c r="Q91" s="17" t="n">
        <f aca="false">IF(Z91="","",INDEX(Parámetros!$C$27:$C$31,MATCH(Z91,Parámetros!$A$27:$A$31,0))*P91)</f>
        <v>0.75</v>
      </c>
      <c r="R91" s="11"/>
      <c r="S91" s="17" t="n">
        <f aca="false">(Q91+0.5*(1-(N91/L91)^2)+(1-(N91/M91)^2)^2)*(M91/N91)^4+IF(Z91="",0,INDEX(Parámetros!$E$27:$E$31,MATCH(Z91,Parámetros!$A$27:$A$31,0)))</f>
        <v>2.0656</v>
      </c>
      <c r="T91" s="11"/>
      <c r="U91" s="17" t="str">
        <f aca="false">IF(H91="","",(Q91+0.5*(1-(N91/M91)^2)+(1-(N91/L91)^2)^2)*(M91/N91)^4+IF(Z91="",0,INDEX(Parámetros!$E$27:$E$31,MATCH(Z91,Parámetros!$A$27:$A$31,0))))</f>
        <v/>
      </c>
      <c r="V91" s="13" t="s">
        <v>407</v>
      </c>
      <c r="W91" s="19" t="n">
        <v>3.57</v>
      </c>
      <c r="X91" s="18" t="s">
        <v>485</v>
      </c>
      <c r="Y91" s="7" t="s">
        <v>486</v>
      </c>
      <c r="Z91" s="7" t="s">
        <v>53</v>
      </c>
      <c r="AA91" s="7" t="s">
        <v>384</v>
      </c>
      <c r="AB91" s="16" t="str">
        <f aca="false">IF(COUNTIFS(Packs!$D$2:$D$70,A91,Packs!$F$2:$F$70,"&gt;0")=0,"",_xlfn.MINIFS(Packs!$F$2:$F$70,Packs!$D$2:$D$70,A91,Packs!$F$2:$F$70,"&gt;0"))</f>
        <v/>
      </c>
      <c r="AC91" s="13" t="n">
        <f aca="false">COUNTIF(Packs!$D$2:$D$70,A91)</f>
        <v>0</v>
      </c>
    </row>
    <row r="92" customFormat="false" ht="15" hidden="false" customHeight="false" outlineLevel="0" collapsed="false">
      <c r="A92" s="7" t="s">
        <v>488</v>
      </c>
      <c r="B92" s="7" t="s">
        <v>489</v>
      </c>
      <c r="C92" s="7" t="s">
        <v>490</v>
      </c>
      <c r="D92" s="7" t="s">
        <v>491</v>
      </c>
      <c r="E92" s="7" t="s">
        <v>492</v>
      </c>
      <c r="F92" s="7" t="s">
        <v>493</v>
      </c>
      <c r="G92" s="7" t="s">
        <v>32</v>
      </c>
      <c r="H92" s="7"/>
      <c r="I92" s="7" t="s">
        <v>32</v>
      </c>
      <c r="J92" s="7" t="n">
        <v>10</v>
      </c>
      <c r="K92" s="7" t="s">
        <v>494</v>
      </c>
      <c r="L92" s="9" t="n">
        <f aca="false">INDEX(Parámetros!$B$16:$B$23,MATCH(G92,Parámetros!$A$16:$A$23,0))</f>
        <v>15.8</v>
      </c>
      <c r="M92" s="9" t="n">
        <f aca="false">INDEX(Parámetros!$B$16:$B$23,MATCH(IF(H92="",G92,H92),Parámetros!$A$16:$A$23,0))</f>
        <v>15.8</v>
      </c>
      <c r="N92" s="9" t="n">
        <f aca="false">INDEX(Parámetros!$B$16:$B$23,MATCH(IF(H92="",G92,H92),Parámetros!$A$16:$A$23,0))</f>
        <v>15.8</v>
      </c>
      <c r="O92" s="8"/>
      <c r="P92" s="17" t="n">
        <f aca="false">INDEX(Parámetros!$C$16:$C$23,MATCH(G92,Parámetros!$A$16:$A$23,0))</f>
        <v>0.027</v>
      </c>
      <c r="Q92" s="17" t="n">
        <f aca="false">IF(Z92="","",INDEX(Parámetros!$C$27:$C$31,MATCH(Z92,Parámetros!$A$27:$A$31,0))*P92)</f>
        <v>0</v>
      </c>
      <c r="R92" s="11"/>
      <c r="S92" s="17" t="n">
        <f aca="false">(Q92+0.5*(1-(N92/L92)^2)+(1-(N92/M92)^2)^2)*(M92/N92)^4+IF(Z92="",0,INDEX(Parámetros!$E$27:$E$31,MATCH(Z92,Parámetros!$A$27:$A$31,0)))</f>
        <v>0.04</v>
      </c>
      <c r="T92" s="11"/>
      <c r="U92" s="17" t="str">
        <f aca="false">IF(H92="","",(Q92+0.5*(1-(N92/M92)^2)+(1-(N92/L92)^2)^2)*(M92/N92)^4+IF(Z92="",0,INDEX(Parámetros!$E$27:$E$31,MATCH(Z92,Parámetros!$A$27:$A$31,0))))</f>
        <v/>
      </c>
      <c r="V92" s="13" t="s">
        <v>495</v>
      </c>
      <c r="W92" s="19" t="n">
        <v>0.66</v>
      </c>
      <c r="X92" s="18" t="s">
        <v>496</v>
      </c>
      <c r="Y92" s="7"/>
      <c r="Z92" s="7" t="s">
        <v>59</v>
      </c>
      <c r="AA92" s="7" t="s">
        <v>497</v>
      </c>
      <c r="AB92" s="16" t="str">
        <f aca="false">IF(COUNTIFS(Packs!$D$2:$D$70,A92,Packs!$F$2:$F$70,"&gt;0")=0,"",_xlfn.MINIFS(Packs!$F$2:$F$70,Packs!$D$2:$D$70,A92,Packs!$F$2:$F$70,"&gt;0"))</f>
        <v/>
      </c>
      <c r="AC92" s="13" t="n">
        <f aca="false">COUNTIF(Packs!$D$2:$D$70,A92)</f>
        <v>0</v>
      </c>
    </row>
    <row r="93" customFormat="false" ht="15" hidden="false" customHeight="false" outlineLevel="0" collapsed="false">
      <c r="A93" s="7" t="s">
        <v>322</v>
      </c>
      <c r="B93" s="7" t="s">
        <v>489</v>
      </c>
      <c r="C93" s="7" t="s">
        <v>490</v>
      </c>
      <c r="D93" s="7" t="s">
        <v>491</v>
      </c>
      <c r="E93" s="7" t="s">
        <v>492</v>
      </c>
      <c r="F93" s="7" t="s">
        <v>493</v>
      </c>
      <c r="G93" s="7" t="s">
        <v>33</v>
      </c>
      <c r="H93" s="7"/>
      <c r="I93" s="7" t="s">
        <v>33</v>
      </c>
      <c r="J93" s="7" t="n">
        <v>10</v>
      </c>
      <c r="K93" s="7" t="s">
        <v>494</v>
      </c>
      <c r="L93" s="9" t="n">
        <f aca="false">INDEX(Parámetros!$B$16:$B$23,MATCH(G93,Parámetros!$A$16:$A$23,0))</f>
        <v>20.9</v>
      </c>
      <c r="M93" s="9" t="n">
        <f aca="false">INDEX(Parámetros!$B$16:$B$23,MATCH(IF(H93="",G93,H93),Parámetros!$A$16:$A$23,0))</f>
        <v>20.9</v>
      </c>
      <c r="N93" s="9" t="n">
        <f aca="false">INDEX(Parámetros!$B$16:$B$23,MATCH(IF(H93="",G93,H93),Parámetros!$A$16:$A$23,0))</f>
        <v>20.9</v>
      </c>
      <c r="O93" s="8"/>
      <c r="P93" s="17" t="n">
        <f aca="false">INDEX(Parámetros!$C$16:$C$23,MATCH(G93,Parámetros!$A$16:$A$23,0))</f>
        <v>0.025</v>
      </c>
      <c r="Q93" s="17" t="n">
        <f aca="false">IF(Z93="","",INDEX(Parámetros!$C$27:$C$31,MATCH(Z93,Parámetros!$A$27:$A$31,0))*P93)</f>
        <v>0</v>
      </c>
      <c r="R93" s="11"/>
      <c r="S93" s="17" t="n">
        <f aca="false">(Q93+0.5*(1-(N93/L93)^2)+(1-(N93/M93)^2)^2)*(M93/N93)^4+IF(Z93="",0,INDEX(Parámetros!$E$27:$E$31,MATCH(Z93,Parámetros!$A$27:$A$31,0)))</f>
        <v>0.04</v>
      </c>
      <c r="T93" s="11"/>
      <c r="U93" s="17" t="str">
        <f aca="false">IF(H93="","",(Q93+0.5*(1-(N93/M93)^2)+(1-(N93/L93)^2)^2)*(M93/N93)^4+IF(Z93="",0,INDEX(Parámetros!$E$27:$E$31,MATCH(Z93,Parámetros!$A$27:$A$31,0))))</f>
        <v/>
      </c>
      <c r="V93" s="13" t="s">
        <v>495</v>
      </c>
      <c r="W93" s="19" t="n">
        <v>0.66</v>
      </c>
      <c r="X93" s="18" t="s">
        <v>496</v>
      </c>
      <c r="Y93" s="7"/>
      <c r="Z93" s="7" t="s">
        <v>59</v>
      </c>
      <c r="AA93" s="7" t="s">
        <v>497</v>
      </c>
      <c r="AB93" s="16" t="str">
        <f aca="false">IF(COUNTIFS(Packs!$D$2:$D$70,A93,Packs!$F$2:$F$70,"&gt;0")=0,"",_xlfn.MINIFS(Packs!$F$2:$F$70,Packs!$D$2:$D$70,A93,Packs!$F$2:$F$70,"&gt;0"))</f>
        <v/>
      </c>
      <c r="AC93" s="13" t="n">
        <f aca="false">COUNTIF(Packs!$D$2:$D$70,A93)</f>
        <v>1</v>
      </c>
    </row>
    <row r="94" customFormat="false" ht="15" hidden="false" customHeight="false" outlineLevel="0" collapsed="false">
      <c r="A94" s="7" t="s">
        <v>327</v>
      </c>
      <c r="B94" s="7" t="s">
        <v>489</v>
      </c>
      <c r="C94" s="7" t="s">
        <v>490</v>
      </c>
      <c r="D94" s="7" t="s">
        <v>491</v>
      </c>
      <c r="E94" s="7" t="s">
        <v>492</v>
      </c>
      <c r="F94" s="7" t="s">
        <v>493</v>
      </c>
      <c r="G94" s="7" t="s">
        <v>34</v>
      </c>
      <c r="H94" s="7"/>
      <c r="I94" s="7" t="s">
        <v>34</v>
      </c>
      <c r="J94" s="7" t="n">
        <v>10</v>
      </c>
      <c r="K94" s="7" t="s">
        <v>494</v>
      </c>
      <c r="L94" s="9" t="n">
        <f aca="false">INDEX(Parámetros!$B$16:$B$23,MATCH(G94,Parámetros!$A$16:$A$23,0))</f>
        <v>26.6</v>
      </c>
      <c r="M94" s="9" t="n">
        <f aca="false">INDEX(Parámetros!$B$16:$B$23,MATCH(IF(H94="",G94,H94),Parámetros!$A$16:$A$23,0))</f>
        <v>26.6</v>
      </c>
      <c r="N94" s="9" t="n">
        <f aca="false">INDEX(Parámetros!$B$16:$B$23,MATCH(IF(H94="",G94,H94),Parámetros!$A$16:$A$23,0))</f>
        <v>26.6</v>
      </c>
      <c r="O94" s="8"/>
      <c r="P94" s="17" t="n">
        <f aca="false">INDEX(Parámetros!$C$16:$C$23,MATCH(G94,Parámetros!$A$16:$A$23,0))</f>
        <v>0.023</v>
      </c>
      <c r="Q94" s="17" t="n">
        <f aca="false">IF(Z94="","",INDEX(Parámetros!$C$27:$C$31,MATCH(Z94,Parámetros!$A$27:$A$31,0))*P94)</f>
        <v>0</v>
      </c>
      <c r="R94" s="11"/>
      <c r="S94" s="17" t="n">
        <f aca="false">(Q94+0.5*(1-(N94/L94)^2)+(1-(N94/M94)^2)^2)*(M94/N94)^4+IF(Z94="",0,INDEX(Parámetros!$E$27:$E$31,MATCH(Z94,Parámetros!$A$27:$A$31,0)))</f>
        <v>0.04</v>
      </c>
      <c r="T94" s="11"/>
      <c r="U94" s="17" t="str">
        <f aca="false">IF(H94="","",(Q94+0.5*(1-(N94/M94)^2)+(1-(N94/L94)^2)^2)*(M94/N94)^4+IF(Z94="",0,INDEX(Parámetros!$E$27:$E$31,MATCH(Z94,Parámetros!$A$27:$A$31,0))))</f>
        <v/>
      </c>
      <c r="V94" s="13" t="s">
        <v>495</v>
      </c>
      <c r="W94" s="19" t="n">
        <v>0.66</v>
      </c>
      <c r="X94" s="18" t="s">
        <v>496</v>
      </c>
      <c r="Y94" s="7"/>
      <c r="Z94" s="7" t="s">
        <v>59</v>
      </c>
      <c r="AA94" s="7" t="s">
        <v>497</v>
      </c>
      <c r="AB94" s="16" t="n">
        <f aca="false">IF(COUNTIFS(Packs!$D$2:$D$70,A94,Packs!$F$2:$F$70,"&gt;0")=0,"",_xlfn.MINIFS(Packs!$F$2:$F$70,Packs!$D$2:$D$70,A94,Packs!$F$2:$F$70,"&gt;0"))</f>
        <v>0.99</v>
      </c>
      <c r="AC94" s="13" t="n">
        <f aca="false">COUNTIF(Packs!$D$2:$D$70,A94)</f>
        <v>1</v>
      </c>
    </row>
    <row r="95" customFormat="false" ht="15" hidden="false" customHeight="false" outlineLevel="0" collapsed="false">
      <c r="A95" s="7" t="s">
        <v>330</v>
      </c>
      <c r="B95" s="7" t="s">
        <v>489</v>
      </c>
      <c r="C95" s="7" t="s">
        <v>490</v>
      </c>
      <c r="D95" s="7" t="s">
        <v>491</v>
      </c>
      <c r="E95" s="7" t="s">
        <v>492</v>
      </c>
      <c r="F95" s="7" t="s">
        <v>493</v>
      </c>
      <c r="G95" s="7" t="s">
        <v>35</v>
      </c>
      <c r="H95" s="7"/>
      <c r="I95" s="7" t="s">
        <v>35</v>
      </c>
      <c r="J95" s="7" t="n">
        <v>10</v>
      </c>
      <c r="K95" s="7" t="s">
        <v>494</v>
      </c>
      <c r="L95" s="9" t="n">
        <f aca="false">INDEX(Parámetros!$B$16:$B$23,MATCH(G95,Parámetros!$A$16:$A$23,0))</f>
        <v>35.1</v>
      </c>
      <c r="M95" s="9" t="n">
        <f aca="false">INDEX(Parámetros!$B$16:$B$23,MATCH(IF(H95="",G95,H95),Parámetros!$A$16:$A$23,0))</f>
        <v>35.1</v>
      </c>
      <c r="N95" s="9" t="n">
        <f aca="false">INDEX(Parámetros!$B$16:$B$23,MATCH(IF(H95="",G95,H95),Parámetros!$A$16:$A$23,0))</f>
        <v>35.1</v>
      </c>
      <c r="O95" s="8"/>
      <c r="P95" s="17" t="n">
        <f aca="false">INDEX(Parámetros!$C$16:$C$23,MATCH(G95,Parámetros!$A$16:$A$23,0))</f>
        <v>0.022</v>
      </c>
      <c r="Q95" s="17" t="n">
        <f aca="false">IF(Z95="","",INDEX(Parámetros!$C$27:$C$31,MATCH(Z95,Parámetros!$A$27:$A$31,0))*P95)</f>
        <v>0</v>
      </c>
      <c r="R95" s="11"/>
      <c r="S95" s="17" t="n">
        <f aca="false">(Q95+0.5*(1-(N95/L95)^2)+(1-(N95/M95)^2)^2)*(M95/N95)^4+IF(Z95="",0,INDEX(Parámetros!$E$27:$E$31,MATCH(Z95,Parámetros!$A$27:$A$31,0)))</f>
        <v>0.04</v>
      </c>
      <c r="T95" s="11"/>
      <c r="U95" s="17" t="str">
        <f aca="false">IF(H95="","",(Q95+0.5*(1-(N95/M95)^2)+(1-(N95/L95)^2)^2)*(M95/N95)^4+IF(Z95="",0,INDEX(Parámetros!$E$27:$E$31,MATCH(Z95,Parámetros!$A$27:$A$31,0))))</f>
        <v/>
      </c>
      <c r="V95" s="13" t="s">
        <v>495</v>
      </c>
      <c r="W95" s="19" t="n">
        <v>0.66</v>
      </c>
      <c r="X95" s="18" t="s">
        <v>496</v>
      </c>
      <c r="Y95" s="7"/>
      <c r="Z95" s="7" t="s">
        <v>59</v>
      </c>
      <c r="AA95" s="7" t="s">
        <v>497</v>
      </c>
      <c r="AB95" s="16" t="n">
        <f aca="false">IF(COUNTIFS(Packs!$D$2:$D$70,A95,Packs!$F$2:$F$70,"&gt;0")=0,"",_xlfn.MINIFS(Packs!$F$2:$F$70,Packs!$D$2:$D$70,A95,Packs!$F$2:$F$70,"&gt;0"))</f>
        <v>1.39</v>
      </c>
      <c r="AC95" s="13" t="n">
        <f aca="false">COUNTIF(Packs!$D$2:$D$70,A95)</f>
        <v>1</v>
      </c>
    </row>
    <row r="96" customFormat="false" ht="15" hidden="false" customHeight="false" outlineLevel="0" collapsed="false">
      <c r="A96" s="7" t="s">
        <v>334</v>
      </c>
      <c r="B96" s="7" t="s">
        <v>489</v>
      </c>
      <c r="C96" s="7" t="s">
        <v>490</v>
      </c>
      <c r="D96" s="7" t="s">
        <v>491</v>
      </c>
      <c r="E96" s="7" t="s">
        <v>492</v>
      </c>
      <c r="F96" s="7" t="s">
        <v>493</v>
      </c>
      <c r="G96" s="7" t="s">
        <v>36</v>
      </c>
      <c r="H96" s="7"/>
      <c r="I96" s="7" t="s">
        <v>36</v>
      </c>
      <c r="J96" s="7" t="n">
        <v>10</v>
      </c>
      <c r="K96" s="7" t="s">
        <v>494</v>
      </c>
      <c r="L96" s="9" t="n">
        <f aca="false">INDEX(Parámetros!$B$16:$B$23,MATCH(G96,Parámetros!$A$16:$A$23,0))</f>
        <v>40.9</v>
      </c>
      <c r="M96" s="9" t="n">
        <f aca="false">INDEX(Parámetros!$B$16:$B$23,MATCH(IF(H96="",G96,H96),Parámetros!$A$16:$A$23,0))</f>
        <v>40.9</v>
      </c>
      <c r="N96" s="9" t="n">
        <f aca="false">INDEX(Parámetros!$B$16:$B$23,MATCH(IF(H96="",G96,H96),Parámetros!$A$16:$A$23,0))</f>
        <v>40.9</v>
      </c>
      <c r="O96" s="8"/>
      <c r="P96" s="17" t="n">
        <f aca="false">INDEX(Parámetros!$C$16:$C$23,MATCH(G96,Parámetros!$A$16:$A$23,0))</f>
        <v>0.021</v>
      </c>
      <c r="Q96" s="17" t="n">
        <f aca="false">IF(Z96="","",INDEX(Parámetros!$C$27:$C$31,MATCH(Z96,Parámetros!$A$27:$A$31,0))*P96)</f>
        <v>0</v>
      </c>
      <c r="R96" s="11"/>
      <c r="S96" s="17" t="n">
        <f aca="false">(Q96+0.5*(1-(N96/L96)^2)+(1-(N96/M96)^2)^2)*(M96/N96)^4+IF(Z96="",0,INDEX(Parámetros!$E$27:$E$31,MATCH(Z96,Parámetros!$A$27:$A$31,0)))</f>
        <v>0.04</v>
      </c>
      <c r="T96" s="11"/>
      <c r="U96" s="17" t="str">
        <f aca="false">IF(H96="","",(Q96+0.5*(1-(N96/M96)^2)+(1-(N96/L96)^2)^2)*(M96/N96)^4+IF(Z96="",0,INDEX(Parámetros!$E$27:$E$31,MATCH(Z96,Parámetros!$A$27:$A$31,0))))</f>
        <v/>
      </c>
      <c r="V96" s="13" t="s">
        <v>495</v>
      </c>
      <c r="W96" s="19" t="n">
        <v>0.66</v>
      </c>
      <c r="X96" s="18" t="s">
        <v>496</v>
      </c>
      <c r="Y96" s="7"/>
      <c r="Z96" s="7" t="s">
        <v>59</v>
      </c>
      <c r="AA96" s="7" t="s">
        <v>497</v>
      </c>
      <c r="AB96" s="16" t="n">
        <f aca="false">IF(COUNTIFS(Packs!$D$2:$D$70,A96,Packs!$F$2:$F$70,"&gt;0")=0,"",_xlfn.MINIFS(Packs!$F$2:$F$70,Packs!$D$2:$D$70,A96,Packs!$F$2:$F$70,"&gt;0"))</f>
        <v>1.39</v>
      </c>
      <c r="AC96" s="13" t="n">
        <f aca="false">COUNTIF(Packs!$D$2:$D$70,A96)</f>
        <v>1</v>
      </c>
    </row>
    <row r="97" customFormat="false" ht="15" hidden="false" customHeight="false" outlineLevel="0" collapsed="false">
      <c r="A97" s="7" t="s">
        <v>337</v>
      </c>
      <c r="B97" s="7" t="s">
        <v>489</v>
      </c>
      <c r="C97" s="7" t="s">
        <v>490</v>
      </c>
      <c r="D97" s="7" t="s">
        <v>491</v>
      </c>
      <c r="E97" s="7" t="s">
        <v>492</v>
      </c>
      <c r="F97" s="7" t="s">
        <v>493</v>
      </c>
      <c r="G97" s="7" t="s">
        <v>37</v>
      </c>
      <c r="H97" s="7"/>
      <c r="I97" s="7" t="s">
        <v>37</v>
      </c>
      <c r="J97" s="7" t="n">
        <v>10</v>
      </c>
      <c r="K97" s="7" t="s">
        <v>494</v>
      </c>
      <c r="L97" s="9" t="n">
        <f aca="false">INDEX(Parámetros!$B$16:$B$23,MATCH(G97,Parámetros!$A$16:$A$23,0))</f>
        <v>52.5</v>
      </c>
      <c r="M97" s="9" t="n">
        <f aca="false">INDEX(Parámetros!$B$16:$B$23,MATCH(IF(H97="",G97,H97),Parámetros!$A$16:$A$23,0))</f>
        <v>52.5</v>
      </c>
      <c r="N97" s="9" t="n">
        <f aca="false">INDEX(Parámetros!$B$16:$B$23,MATCH(IF(H97="",G97,H97),Parámetros!$A$16:$A$23,0))</f>
        <v>52.5</v>
      </c>
      <c r="O97" s="8"/>
      <c r="P97" s="17" t="n">
        <f aca="false">INDEX(Parámetros!$C$16:$C$23,MATCH(G97,Parámetros!$A$16:$A$23,0))</f>
        <v>0.019</v>
      </c>
      <c r="Q97" s="17" t="n">
        <f aca="false">IF(Z97="","",INDEX(Parámetros!$C$27:$C$31,MATCH(Z97,Parámetros!$A$27:$A$31,0))*P97)</f>
        <v>0</v>
      </c>
      <c r="R97" s="11"/>
      <c r="S97" s="17" t="n">
        <f aca="false">(Q97+0.5*(1-(N97/L97)^2)+(1-(N97/M97)^2)^2)*(M97/N97)^4+IF(Z97="",0,INDEX(Parámetros!$E$27:$E$31,MATCH(Z97,Parámetros!$A$27:$A$31,0)))</f>
        <v>0.04</v>
      </c>
      <c r="T97" s="11"/>
      <c r="U97" s="17" t="str">
        <f aca="false">IF(H97="","",(Q97+0.5*(1-(N97/M97)^2)+(1-(N97/L97)^2)^2)*(M97/N97)^4+IF(Z97="",0,INDEX(Parámetros!$E$27:$E$31,MATCH(Z97,Parámetros!$A$27:$A$31,0))))</f>
        <v/>
      </c>
      <c r="V97" s="13" t="s">
        <v>495</v>
      </c>
      <c r="W97" s="19" t="n">
        <v>0.66</v>
      </c>
      <c r="X97" s="18" t="s">
        <v>496</v>
      </c>
      <c r="Y97" s="7"/>
      <c r="Z97" s="7" t="s">
        <v>59</v>
      </c>
      <c r="AA97" s="7" t="s">
        <v>497</v>
      </c>
      <c r="AB97" s="16" t="n">
        <f aca="false">IF(COUNTIFS(Packs!$D$2:$D$70,A97,Packs!$F$2:$F$70,"&gt;0")=0,"",_xlfn.MINIFS(Packs!$F$2:$F$70,Packs!$D$2:$D$70,A97,Packs!$F$2:$F$70,"&gt;0"))</f>
        <v>2.79</v>
      </c>
      <c r="AC97" s="13" t="n">
        <f aca="false">COUNTIF(Packs!$D$2:$D$70,A97)</f>
        <v>1</v>
      </c>
    </row>
    <row r="98" customFormat="false" ht="15" hidden="false" customHeight="false" outlineLevel="0" collapsed="false">
      <c r="A98" s="7" t="s">
        <v>498</v>
      </c>
      <c r="B98" s="7" t="s">
        <v>489</v>
      </c>
      <c r="C98" s="7" t="s">
        <v>490</v>
      </c>
      <c r="D98" s="7" t="s">
        <v>491</v>
      </c>
      <c r="E98" s="7" t="s">
        <v>492</v>
      </c>
      <c r="F98" s="7" t="s">
        <v>493</v>
      </c>
      <c r="G98" s="7" t="s">
        <v>38</v>
      </c>
      <c r="H98" s="7"/>
      <c r="I98" s="7" t="s">
        <v>38</v>
      </c>
      <c r="J98" s="7" t="n">
        <v>10</v>
      </c>
      <c r="K98" s="7" t="s">
        <v>494</v>
      </c>
      <c r="L98" s="9" t="n">
        <f aca="false">INDEX(Parámetros!$B$16:$B$23,MATCH(G98,Parámetros!$A$16:$A$23,0))</f>
        <v>62.7</v>
      </c>
      <c r="M98" s="9" t="n">
        <f aca="false">INDEX(Parámetros!$B$16:$B$23,MATCH(IF(H98="",G98,H98),Parámetros!$A$16:$A$23,0))</f>
        <v>62.7</v>
      </c>
      <c r="N98" s="9" t="n">
        <f aca="false">INDEX(Parámetros!$B$16:$B$23,MATCH(IF(H98="",G98,H98),Parámetros!$A$16:$A$23,0))</f>
        <v>62.7</v>
      </c>
      <c r="O98" s="8"/>
      <c r="P98" s="17" t="n">
        <f aca="false">INDEX(Parámetros!$C$16:$C$23,MATCH(G98,Parámetros!$A$16:$A$23,0))</f>
        <v>0.018</v>
      </c>
      <c r="Q98" s="17" t="n">
        <f aca="false">IF(Z98="","",INDEX(Parámetros!$C$27:$C$31,MATCH(Z98,Parámetros!$A$27:$A$31,0))*P98)</f>
        <v>0</v>
      </c>
      <c r="R98" s="11"/>
      <c r="S98" s="17" t="n">
        <f aca="false">(Q98+0.5*(1-(N98/L98)^2)+(1-(N98/M98)^2)^2)*(M98/N98)^4+IF(Z98="",0,INDEX(Parámetros!$E$27:$E$31,MATCH(Z98,Parámetros!$A$27:$A$31,0)))</f>
        <v>0.04</v>
      </c>
      <c r="T98" s="11"/>
      <c r="U98" s="17" t="str">
        <f aca="false">IF(H98="","",(Q98+0.5*(1-(N98/M98)^2)+(1-(N98/L98)^2)^2)*(M98/N98)^4+IF(Z98="",0,INDEX(Parámetros!$E$27:$E$31,MATCH(Z98,Parámetros!$A$27:$A$31,0))))</f>
        <v/>
      </c>
      <c r="V98" s="13" t="s">
        <v>495</v>
      </c>
      <c r="W98" s="19" t="n">
        <v>0.66</v>
      </c>
      <c r="X98" s="18" t="s">
        <v>496</v>
      </c>
      <c r="Y98" s="7"/>
      <c r="Z98" s="7" t="s">
        <v>59</v>
      </c>
      <c r="AA98" s="7" t="s">
        <v>497</v>
      </c>
      <c r="AB98" s="16" t="str">
        <f aca="false">IF(COUNTIFS(Packs!$D$2:$D$70,A98,Packs!$F$2:$F$70,"&gt;0")=0,"",_xlfn.MINIFS(Packs!$F$2:$F$70,Packs!$D$2:$D$70,A98,Packs!$F$2:$F$70,"&gt;0"))</f>
        <v/>
      </c>
      <c r="AC98" s="13" t="n">
        <f aca="false">COUNTIF(Packs!$D$2:$D$70,A98)</f>
        <v>0</v>
      </c>
    </row>
    <row r="99" customFormat="false" ht="15" hidden="false" customHeight="false" outlineLevel="0" collapsed="false">
      <c r="A99" s="7" t="s">
        <v>499</v>
      </c>
      <c r="B99" s="7" t="s">
        <v>489</v>
      </c>
      <c r="C99" s="7" t="s">
        <v>490</v>
      </c>
      <c r="D99" s="7" t="s">
        <v>491</v>
      </c>
      <c r="E99" s="7" t="s">
        <v>492</v>
      </c>
      <c r="F99" s="7" t="s">
        <v>493</v>
      </c>
      <c r="G99" s="7" t="s">
        <v>39</v>
      </c>
      <c r="H99" s="7"/>
      <c r="I99" s="7" t="s">
        <v>39</v>
      </c>
      <c r="J99" s="7" t="n">
        <v>10</v>
      </c>
      <c r="K99" s="7" t="s">
        <v>494</v>
      </c>
      <c r="L99" s="9" t="n">
        <f aca="false">INDEX(Parámetros!$B$16:$B$23,MATCH(G99,Parámetros!$A$16:$A$23,0))</f>
        <v>77.9</v>
      </c>
      <c r="M99" s="9" t="n">
        <f aca="false">INDEX(Parámetros!$B$16:$B$23,MATCH(IF(H99="",G99,H99),Parámetros!$A$16:$A$23,0))</f>
        <v>77.9</v>
      </c>
      <c r="N99" s="9" t="n">
        <f aca="false">INDEX(Parámetros!$B$16:$B$23,MATCH(IF(H99="",G99,H99),Parámetros!$A$16:$A$23,0))</f>
        <v>77.9</v>
      </c>
      <c r="O99" s="8"/>
      <c r="P99" s="17" t="n">
        <f aca="false">INDEX(Parámetros!$C$16:$C$23,MATCH(G99,Parámetros!$A$16:$A$23,0))</f>
        <v>0.018</v>
      </c>
      <c r="Q99" s="17" t="n">
        <f aca="false">IF(Z99="","",INDEX(Parámetros!$C$27:$C$31,MATCH(Z99,Parámetros!$A$27:$A$31,0))*P99)</f>
        <v>0</v>
      </c>
      <c r="R99" s="11"/>
      <c r="S99" s="17" t="n">
        <f aca="false">(Q99+0.5*(1-(N99/L99)^2)+(1-(N99/M99)^2)^2)*(M99/N99)^4+IF(Z99="",0,INDEX(Parámetros!$E$27:$E$31,MATCH(Z99,Parámetros!$A$27:$A$31,0)))</f>
        <v>0.04</v>
      </c>
      <c r="T99" s="11"/>
      <c r="U99" s="17" t="str">
        <f aca="false">IF(H99="","",(Q99+0.5*(1-(N99/M99)^2)+(1-(N99/L99)^2)^2)*(M99/N99)^4+IF(Z99="",0,INDEX(Parámetros!$E$27:$E$31,MATCH(Z99,Parámetros!$A$27:$A$31,0))))</f>
        <v/>
      </c>
      <c r="V99" s="13" t="s">
        <v>495</v>
      </c>
      <c r="W99" s="19" t="n">
        <v>0.66</v>
      </c>
      <c r="X99" s="18" t="s">
        <v>496</v>
      </c>
      <c r="Y99" s="7"/>
      <c r="Z99" s="7" t="s">
        <v>59</v>
      </c>
      <c r="AA99" s="7" t="s">
        <v>497</v>
      </c>
      <c r="AB99" s="16" t="str">
        <f aca="false">IF(COUNTIFS(Packs!$D$2:$D$70,A99,Packs!$F$2:$F$70,"&gt;0")=0,"",_xlfn.MINIFS(Packs!$F$2:$F$70,Packs!$D$2:$D$70,A99,Packs!$F$2:$F$70,"&gt;0"))</f>
        <v/>
      </c>
      <c r="AC99" s="13" t="n">
        <f aca="false">COUNTIF(Packs!$D$2:$D$70,A99)</f>
        <v>0</v>
      </c>
    </row>
    <row r="100" customFormat="false" ht="15" hidden="false" customHeight="false" outlineLevel="0" collapsed="false">
      <c r="A100" s="7" t="s">
        <v>306</v>
      </c>
      <c r="B100" s="7" t="s">
        <v>500</v>
      </c>
      <c r="C100" s="7" t="s">
        <v>501</v>
      </c>
      <c r="D100" s="7" t="s">
        <v>491</v>
      </c>
      <c r="E100" s="7" t="s">
        <v>502</v>
      </c>
      <c r="F100" s="7" t="s">
        <v>493</v>
      </c>
      <c r="G100" s="7" t="s">
        <v>33</v>
      </c>
      <c r="H100" s="7" t="s">
        <v>32</v>
      </c>
      <c r="I100" s="7" t="s">
        <v>503</v>
      </c>
      <c r="J100" s="7" t="n">
        <v>10</v>
      </c>
      <c r="K100" s="7" t="s">
        <v>494</v>
      </c>
      <c r="L100" s="9" t="n">
        <f aca="false">INDEX(Parámetros!$B$16:$B$23,MATCH(G100,Parámetros!$A$16:$A$23,0))</f>
        <v>20.9</v>
      </c>
      <c r="M100" s="9" t="n">
        <f aca="false">INDEX(Parámetros!$B$16:$B$23,MATCH(IF(H100="",G100,H100),Parámetros!$A$16:$A$23,0))</f>
        <v>15.8</v>
      </c>
      <c r="N100" s="9" t="n">
        <f aca="false">INDEX(Parámetros!$B$16:$B$23,MATCH(IF(H100="",G100,H100),Parámetros!$A$16:$A$23,0))</f>
        <v>15.8</v>
      </c>
      <c r="O100" s="8"/>
      <c r="P100" s="17" t="n">
        <f aca="false">INDEX(Parámetros!$C$16:$C$23,MATCH(G100,Parámetros!$A$16:$A$23,0))</f>
        <v>0.025</v>
      </c>
      <c r="Q100" s="17" t="n">
        <f aca="false">IF(Z100="","",INDEX(Parámetros!$C$27:$C$31,MATCH(Z100,Parámetros!$A$27:$A$31,0))*P100)</f>
        <v>0</v>
      </c>
      <c r="R100" s="11"/>
      <c r="S100" s="17" t="n">
        <f aca="false">(Q100+0.5*(1-(N100/L100)^2)+(1-(N100/M100)^2)^2)*(M100/N100)^4+IF(Z100="",0,INDEX(Parámetros!$E$27:$E$31,MATCH(Z100,Parámetros!$A$27:$A$31,0)))</f>
        <v>0.254246468716375</v>
      </c>
      <c r="T100" s="11"/>
      <c r="U100" s="17" t="n">
        <f aca="false">IF(H100="","",(Q100+0.5*(1-(N100/M100)^2)+(1-(N100/L100)^2)^2)*(M100/N100)^4+IF(Z100="",0,INDEX(Parámetros!$E$27:$E$31,MATCH(Z100,Parámetros!$A$27:$A$31,0))))</f>
        <v>0.223606197429747</v>
      </c>
      <c r="V100" s="13" t="s">
        <v>504</v>
      </c>
      <c r="W100" s="19" t="n">
        <v>0.68</v>
      </c>
      <c r="X100" s="18" t="s">
        <v>505</v>
      </c>
      <c r="Y100" s="7"/>
      <c r="Z100" s="7" t="s">
        <v>59</v>
      </c>
      <c r="AA100" s="7" t="s">
        <v>497</v>
      </c>
      <c r="AB100" s="16" t="n">
        <f aca="false">IF(COUNTIFS(Packs!$D$2:$D$70,A100,Packs!$F$2:$F$70,"&gt;0")=0,"",_xlfn.MINIFS(Packs!$F$2:$F$70,Packs!$D$2:$D$70,A100,Packs!$F$2:$F$70,"&gt;0"))</f>
        <v>0.59</v>
      </c>
      <c r="AC100" s="13" t="n">
        <f aca="false">COUNTIF(Packs!$D$2:$D$70,A100)</f>
        <v>1</v>
      </c>
    </row>
    <row r="101" customFormat="false" ht="15" hidden="false" customHeight="false" outlineLevel="0" collapsed="false">
      <c r="A101" s="7" t="s">
        <v>310</v>
      </c>
      <c r="B101" s="7" t="s">
        <v>500</v>
      </c>
      <c r="C101" s="7" t="s">
        <v>501</v>
      </c>
      <c r="D101" s="7" t="s">
        <v>491</v>
      </c>
      <c r="E101" s="7" t="s">
        <v>502</v>
      </c>
      <c r="F101" s="7" t="s">
        <v>493</v>
      </c>
      <c r="G101" s="7" t="s">
        <v>34</v>
      </c>
      <c r="H101" s="7" t="s">
        <v>32</v>
      </c>
      <c r="I101" s="7" t="s">
        <v>506</v>
      </c>
      <c r="J101" s="7" t="n">
        <v>10</v>
      </c>
      <c r="K101" s="7" t="s">
        <v>494</v>
      </c>
      <c r="L101" s="9" t="n">
        <f aca="false">INDEX(Parámetros!$B$16:$B$23,MATCH(G101,Parámetros!$A$16:$A$23,0))</f>
        <v>26.6</v>
      </c>
      <c r="M101" s="9" t="n">
        <f aca="false">INDEX(Parámetros!$B$16:$B$23,MATCH(IF(H101="",G101,H101),Parámetros!$A$16:$A$23,0))</f>
        <v>15.8</v>
      </c>
      <c r="N101" s="9" t="n">
        <f aca="false">INDEX(Parámetros!$B$16:$B$23,MATCH(IF(H101="",G101,H101),Parámetros!$A$16:$A$23,0))</f>
        <v>15.8</v>
      </c>
      <c r="O101" s="8"/>
      <c r="P101" s="17" t="n">
        <f aca="false">INDEX(Parámetros!$C$16:$C$23,MATCH(G101,Parámetros!$A$16:$A$23,0))</f>
        <v>0.023</v>
      </c>
      <c r="Q101" s="17" t="n">
        <f aca="false">IF(Z101="","",INDEX(Parámetros!$C$27:$C$31,MATCH(Z101,Parámetros!$A$27:$A$31,0))*P101)</f>
        <v>0</v>
      </c>
      <c r="R101" s="11"/>
      <c r="S101" s="17" t="n">
        <f aca="false">(Q101+0.5*(1-(N101/L101)^2)+(1-(N101/M101)^2)^2)*(M101/N101)^4+IF(Z101="",0,INDEX(Parámetros!$E$27:$E$31,MATCH(Z101,Parámetros!$A$27:$A$31,0)))</f>
        <v>0.363590932217762</v>
      </c>
      <c r="T101" s="11"/>
      <c r="U101" s="17" t="n">
        <f aca="false">IF(H101="","",(Q101+0.5*(1-(N101/M101)^2)+(1-(N101/L101)^2)^2)*(M101/N101)^4+IF(Z101="",0,INDEX(Parámetros!$E$27:$E$31,MATCH(Z101,Parámetros!$A$27:$A$31,0))))</f>
        <v>0.458844365654242</v>
      </c>
      <c r="V101" s="13" t="s">
        <v>504</v>
      </c>
      <c r="W101" s="19" t="n">
        <v>0.68</v>
      </c>
      <c r="X101" s="18" t="s">
        <v>505</v>
      </c>
      <c r="Y101" s="7"/>
      <c r="Z101" s="7" t="s">
        <v>59</v>
      </c>
      <c r="AA101" s="7" t="s">
        <v>497</v>
      </c>
      <c r="AB101" s="16" t="n">
        <f aca="false">IF(COUNTIFS(Packs!$D$2:$D$70,A101,Packs!$F$2:$F$70,"&gt;0")=0,"",_xlfn.MINIFS(Packs!$F$2:$F$70,Packs!$D$2:$D$70,A101,Packs!$F$2:$F$70,"&gt;0"))</f>
        <v>0.99</v>
      </c>
      <c r="AC101" s="13" t="n">
        <f aca="false">COUNTIF(Packs!$D$2:$D$70,A101)</f>
        <v>1</v>
      </c>
    </row>
    <row r="102" customFormat="false" ht="15" hidden="false" customHeight="false" outlineLevel="0" collapsed="false">
      <c r="A102" s="7" t="s">
        <v>314</v>
      </c>
      <c r="B102" s="7" t="s">
        <v>500</v>
      </c>
      <c r="C102" s="7" t="s">
        <v>501</v>
      </c>
      <c r="D102" s="7" t="s">
        <v>491</v>
      </c>
      <c r="E102" s="7" t="s">
        <v>502</v>
      </c>
      <c r="F102" s="7" t="s">
        <v>493</v>
      </c>
      <c r="G102" s="7" t="s">
        <v>34</v>
      </c>
      <c r="H102" s="7" t="s">
        <v>33</v>
      </c>
      <c r="I102" s="7" t="s">
        <v>507</v>
      </c>
      <c r="J102" s="7" t="n">
        <v>10</v>
      </c>
      <c r="K102" s="7" t="s">
        <v>494</v>
      </c>
      <c r="L102" s="9" t="n">
        <f aca="false">INDEX(Parámetros!$B$16:$B$23,MATCH(G102,Parámetros!$A$16:$A$23,0))</f>
        <v>26.6</v>
      </c>
      <c r="M102" s="9" t="n">
        <f aca="false">INDEX(Parámetros!$B$16:$B$23,MATCH(IF(H102="",G102,H102),Parámetros!$A$16:$A$23,0))</f>
        <v>20.9</v>
      </c>
      <c r="N102" s="9" t="n">
        <f aca="false">INDEX(Parámetros!$B$16:$B$23,MATCH(IF(H102="",G102,H102),Parámetros!$A$16:$A$23,0))</f>
        <v>20.9</v>
      </c>
      <c r="O102" s="8"/>
      <c r="P102" s="17" t="n">
        <f aca="false">INDEX(Parámetros!$C$16:$C$23,MATCH(G102,Parámetros!$A$16:$A$23,0))</f>
        <v>0.023</v>
      </c>
      <c r="Q102" s="17" t="n">
        <f aca="false">IF(Z102="","",INDEX(Parámetros!$C$27:$C$31,MATCH(Z102,Parámetros!$A$27:$A$31,0))*P102)</f>
        <v>0</v>
      </c>
      <c r="R102" s="11"/>
      <c r="S102" s="17" t="n">
        <f aca="false">(Q102+0.5*(1-(N102/L102)^2)+(1-(N102/M102)^2)^2)*(M102/N102)^4+IF(Z102="",0,INDEX(Parámetros!$E$27:$E$31,MATCH(Z102,Parámetros!$A$27:$A$31,0)))</f>
        <v>0.231326530612245</v>
      </c>
      <c r="T102" s="11"/>
      <c r="U102" s="17" t="n">
        <f aca="false">IF(H102="","",(Q102+0.5*(1-(N102/M102)^2)+(1-(N102/L102)^2)^2)*(M102/N102)^4+IF(Z102="",0,INDEX(Parámetros!$E$27:$E$31,MATCH(Z102,Parámetros!$A$27:$A$31,0))))</f>
        <v>0.186423365264473</v>
      </c>
      <c r="V102" s="13" t="s">
        <v>504</v>
      </c>
      <c r="W102" s="19" t="n">
        <v>0.68</v>
      </c>
      <c r="X102" s="18" t="s">
        <v>505</v>
      </c>
      <c r="Y102" s="7"/>
      <c r="Z102" s="7" t="s">
        <v>59</v>
      </c>
      <c r="AA102" s="7" t="s">
        <v>497</v>
      </c>
      <c r="AB102" s="16" t="n">
        <f aca="false">IF(COUNTIFS(Packs!$D$2:$D$70,A102,Packs!$F$2:$F$70,"&gt;0")=0,"",_xlfn.MINIFS(Packs!$F$2:$F$70,Packs!$D$2:$D$70,A102,Packs!$F$2:$F$70,"&gt;0"))</f>
        <v>0.99</v>
      </c>
      <c r="AC102" s="13" t="n">
        <f aca="false">COUNTIF(Packs!$D$2:$D$70,A102)</f>
        <v>1</v>
      </c>
    </row>
    <row r="103" customFormat="false" ht="15" hidden="false" customHeight="false" outlineLevel="0" collapsed="false">
      <c r="A103" s="7" t="s">
        <v>508</v>
      </c>
      <c r="B103" s="7" t="s">
        <v>500</v>
      </c>
      <c r="C103" s="7" t="s">
        <v>501</v>
      </c>
      <c r="D103" s="7" t="s">
        <v>491</v>
      </c>
      <c r="E103" s="7" t="s">
        <v>502</v>
      </c>
      <c r="F103" s="7" t="s">
        <v>493</v>
      </c>
      <c r="G103" s="7" t="s">
        <v>35</v>
      </c>
      <c r="H103" s="7" t="s">
        <v>33</v>
      </c>
      <c r="I103" s="7" t="s">
        <v>509</v>
      </c>
      <c r="J103" s="7" t="n">
        <v>10</v>
      </c>
      <c r="K103" s="7" t="s">
        <v>494</v>
      </c>
      <c r="L103" s="9" t="n">
        <f aca="false">INDEX(Parámetros!$B$16:$B$23,MATCH(G103,Parámetros!$A$16:$A$23,0))</f>
        <v>35.1</v>
      </c>
      <c r="M103" s="9" t="n">
        <f aca="false">INDEX(Parámetros!$B$16:$B$23,MATCH(IF(H103="",G103,H103),Parámetros!$A$16:$A$23,0))</f>
        <v>20.9</v>
      </c>
      <c r="N103" s="9" t="n">
        <f aca="false">INDEX(Parámetros!$B$16:$B$23,MATCH(IF(H103="",G103,H103),Parámetros!$A$16:$A$23,0))</f>
        <v>20.9</v>
      </c>
      <c r="O103" s="8"/>
      <c r="P103" s="17" t="n">
        <f aca="false">INDEX(Parámetros!$C$16:$C$23,MATCH(G103,Parámetros!$A$16:$A$23,0))</f>
        <v>0.022</v>
      </c>
      <c r="Q103" s="17" t="n">
        <f aca="false">IF(Z103="","",INDEX(Parámetros!$C$27:$C$31,MATCH(Z103,Parámetros!$A$27:$A$31,0))*P103)</f>
        <v>0</v>
      </c>
      <c r="R103" s="11"/>
      <c r="S103" s="17" t="n">
        <f aca="false">(Q103+0.5*(1-(N103/L103)^2)+(1-(N103/M103)^2)^2)*(M103/N103)^4+IF(Z103="",0,INDEX(Parámetros!$E$27:$E$31,MATCH(Z103,Parámetros!$A$27:$A$31,0)))</f>
        <v>0.362724653208984</v>
      </c>
      <c r="T103" s="11"/>
      <c r="U103" s="17" t="n">
        <f aca="false">IF(H103="","",(Q103+0.5*(1-(N103/M103)^2)+(1-(N103/L103)^2)^2)*(M103/N103)^4+IF(Z103="",0,INDEX(Parámetros!$E$27:$E$31,MATCH(Z103,Parámetros!$A$27:$A$31,0))))</f>
        <v>0.456604807155435</v>
      </c>
      <c r="V103" s="13" t="s">
        <v>504</v>
      </c>
      <c r="W103" s="19" t="n">
        <v>0.68</v>
      </c>
      <c r="X103" s="18" t="s">
        <v>505</v>
      </c>
      <c r="Y103" s="7"/>
      <c r="Z103" s="7" t="s">
        <v>59</v>
      </c>
      <c r="AA103" s="7" t="s">
        <v>497</v>
      </c>
      <c r="AB103" s="16" t="str">
        <f aca="false">IF(COUNTIFS(Packs!$D$2:$D$70,A103,Packs!$F$2:$F$70,"&gt;0")=0,"",_xlfn.MINIFS(Packs!$F$2:$F$70,Packs!$D$2:$D$70,A103,Packs!$F$2:$F$70,"&gt;0"))</f>
        <v/>
      </c>
      <c r="AC103" s="13" t="n">
        <f aca="false">COUNTIF(Packs!$D$2:$D$70,A103)</f>
        <v>0</v>
      </c>
    </row>
    <row r="104" customFormat="false" ht="15" hidden="false" customHeight="false" outlineLevel="0" collapsed="false">
      <c r="A104" s="7" t="s">
        <v>510</v>
      </c>
      <c r="B104" s="7" t="s">
        <v>500</v>
      </c>
      <c r="C104" s="7" t="s">
        <v>501</v>
      </c>
      <c r="D104" s="7" t="s">
        <v>491</v>
      </c>
      <c r="E104" s="7" t="s">
        <v>502</v>
      </c>
      <c r="F104" s="7" t="s">
        <v>493</v>
      </c>
      <c r="G104" s="7" t="s">
        <v>35</v>
      </c>
      <c r="H104" s="7" t="s">
        <v>34</v>
      </c>
      <c r="I104" s="7" t="s">
        <v>511</v>
      </c>
      <c r="J104" s="7" t="n">
        <v>10</v>
      </c>
      <c r="K104" s="7" t="s">
        <v>494</v>
      </c>
      <c r="L104" s="9" t="n">
        <f aca="false">INDEX(Parámetros!$B$16:$B$23,MATCH(G104,Parámetros!$A$16:$A$23,0))</f>
        <v>35.1</v>
      </c>
      <c r="M104" s="9" t="n">
        <f aca="false">INDEX(Parámetros!$B$16:$B$23,MATCH(IF(H104="",G104,H104),Parámetros!$A$16:$A$23,0))</f>
        <v>26.6</v>
      </c>
      <c r="N104" s="9" t="n">
        <f aca="false">INDEX(Parámetros!$B$16:$B$23,MATCH(IF(H104="",G104,H104),Parámetros!$A$16:$A$23,0))</f>
        <v>26.6</v>
      </c>
      <c r="O104" s="8"/>
      <c r="P104" s="17" t="n">
        <f aca="false">INDEX(Parámetros!$C$16:$C$23,MATCH(G104,Parámetros!$A$16:$A$23,0))</f>
        <v>0.022</v>
      </c>
      <c r="Q104" s="17" t="n">
        <f aca="false">IF(Z104="","",INDEX(Parámetros!$C$27:$C$31,MATCH(Z104,Parámetros!$A$27:$A$31,0))*P104)</f>
        <v>0</v>
      </c>
      <c r="R104" s="11"/>
      <c r="S104" s="17" t="n">
        <f aca="false">(Q104+0.5*(1-(N104/L104)^2)+(1-(N104/M104)^2)^2)*(M104/N104)^4+IF(Z104="",0,INDEX(Parámetros!$E$27:$E$31,MATCH(Z104,Parámetros!$A$27:$A$31,0)))</f>
        <v>0.252843239908767</v>
      </c>
      <c r="T104" s="11"/>
      <c r="U104" s="17" t="n">
        <f aca="false">IF(H104="","",(Q104+0.5*(1-(N104/M104)^2)+(1-(N104/L104)^2)^2)*(M104/N104)^4+IF(Z104="",0,INDEX(Parámetros!$E$27:$E$31,MATCH(Z104,Parámetros!$A$27:$A$31,0))))</f>
        <v>0.221208979099444</v>
      </c>
      <c r="V104" s="13" t="s">
        <v>504</v>
      </c>
      <c r="W104" s="19" t="n">
        <v>0.68</v>
      </c>
      <c r="X104" s="18" t="s">
        <v>505</v>
      </c>
      <c r="Y104" s="7"/>
      <c r="Z104" s="7" t="s">
        <v>59</v>
      </c>
      <c r="AA104" s="7" t="s">
        <v>497</v>
      </c>
      <c r="AB104" s="16" t="str">
        <f aca="false">IF(COUNTIFS(Packs!$D$2:$D$70,A104,Packs!$F$2:$F$70,"&gt;0")=0,"",_xlfn.MINIFS(Packs!$F$2:$F$70,Packs!$D$2:$D$70,A104,Packs!$F$2:$F$70,"&gt;0"))</f>
        <v/>
      </c>
      <c r="AC104" s="13" t="n">
        <f aca="false">COUNTIF(Packs!$D$2:$D$70,A104)</f>
        <v>0</v>
      </c>
    </row>
    <row r="105" customFormat="false" ht="15" hidden="false" customHeight="false" outlineLevel="0" collapsed="false">
      <c r="A105" s="7" t="s">
        <v>512</v>
      </c>
      <c r="B105" s="7" t="s">
        <v>500</v>
      </c>
      <c r="C105" s="7" t="s">
        <v>501</v>
      </c>
      <c r="D105" s="7" t="s">
        <v>491</v>
      </c>
      <c r="E105" s="7" t="s">
        <v>502</v>
      </c>
      <c r="F105" s="7" t="s">
        <v>493</v>
      </c>
      <c r="G105" s="7" t="s">
        <v>36</v>
      </c>
      <c r="H105" s="7" t="s">
        <v>33</v>
      </c>
      <c r="I105" s="7" t="s">
        <v>513</v>
      </c>
      <c r="J105" s="7" t="n">
        <v>10</v>
      </c>
      <c r="K105" s="7" t="s">
        <v>494</v>
      </c>
      <c r="L105" s="9" t="n">
        <f aca="false">INDEX(Parámetros!$B$16:$B$23,MATCH(G105,Parámetros!$A$16:$A$23,0))</f>
        <v>40.9</v>
      </c>
      <c r="M105" s="9" t="n">
        <f aca="false">INDEX(Parámetros!$B$16:$B$23,MATCH(IF(H105="",G105,H105),Parámetros!$A$16:$A$23,0))</f>
        <v>20.9</v>
      </c>
      <c r="N105" s="9" t="n">
        <f aca="false">INDEX(Parámetros!$B$16:$B$23,MATCH(IF(H105="",G105,H105),Parámetros!$A$16:$A$23,0))</f>
        <v>20.9</v>
      </c>
      <c r="O105" s="8"/>
      <c r="P105" s="17" t="n">
        <f aca="false">INDEX(Parámetros!$C$16:$C$23,MATCH(G105,Parámetros!$A$16:$A$23,0))</f>
        <v>0.021</v>
      </c>
      <c r="Q105" s="17" t="n">
        <f aca="false">IF(Z105="","",INDEX(Parámetros!$C$27:$C$31,MATCH(Z105,Parámetros!$A$27:$A$31,0))*P105)</f>
        <v>0</v>
      </c>
      <c r="R105" s="11"/>
      <c r="S105" s="17" t="n">
        <f aca="false">(Q105+0.5*(1-(N105/L105)^2)+(1-(N105/M105)^2)^2)*(M105/N105)^4+IF(Z105="",0,INDEX(Parámetros!$E$27:$E$31,MATCH(Z105,Parámetros!$A$27:$A$31,0)))</f>
        <v>0.409438250608258</v>
      </c>
      <c r="T105" s="11"/>
      <c r="U105" s="17" t="n">
        <f aca="false">IF(H105="","",(Q105+0.5*(1-(N105/M105)^2)+(1-(N105/L105)^2)^2)*(M105/N105)^4+IF(Z105="",0,INDEX(Parámetros!$E$27:$E$31,MATCH(Z105,Parámetros!$A$27:$A$31,0))))</f>
        <v>0.58593848404996</v>
      </c>
      <c r="V105" s="13" t="s">
        <v>504</v>
      </c>
      <c r="W105" s="19" t="n">
        <v>0.68</v>
      </c>
      <c r="X105" s="18" t="s">
        <v>505</v>
      </c>
      <c r="Y105" s="7"/>
      <c r="Z105" s="7" t="s">
        <v>59</v>
      </c>
      <c r="AA105" s="7" t="s">
        <v>497</v>
      </c>
      <c r="AB105" s="16" t="str">
        <f aca="false">IF(COUNTIFS(Packs!$D$2:$D$70,A105,Packs!$F$2:$F$70,"&gt;0")=0,"",_xlfn.MINIFS(Packs!$F$2:$F$70,Packs!$D$2:$D$70,A105,Packs!$F$2:$F$70,"&gt;0"))</f>
        <v/>
      </c>
      <c r="AC105" s="13" t="n">
        <f aca="false">COUNTIF(Packs!$D$2:$D$70,A105)</f>
        <v>0</v>
      </c>
    </row>
    <row r="106" customFormat="false" ht="15" hidden="false" customHeight="false" outlineLevel="0" collapsed="false">
      <c r="A106" s="7" t="s">
        <v>514</v>
      </c>
      <c r="B106" s="7" t="s">
        <v>500</v>
      </c>
      <c r="C106" s="7" t="s">
        <v>501</v>
      </c>
      <c r="D106" s="7" t="s">
        <v>491</v>
      </c>
      <c r="E106" s="7" t="s">
        <v>502</v>
      </c>
      <c r="F106" s="7" t="s">
        <v>493</v>
      </c>
      <c r="G106" s="7" t="s">
        <v>37</v>
      </c>
      <c r="H106" s="7" t="s">
        <v>34</v>
      </c>
      <c r="I106" s="7" t="s">
        <v>515</v>
      </c>
      <c r="J106" s="7" t="n">
        <v>10</v>
      </c>
      <c r="K106" s="7" t="s">
        <v>494</v>
      </c>
      <c r="L106" s="9" t="n">
        <f aca="false">INDEX(Parámetros!$B$16:$B$23,MATCH(G106,Parámetros!$A$16:$A$23,0))</f>
        <v>52.5</v>
      </c>
      <c r="M106" s="9" t="n">
        <f aca="false">INDEX(Parámetros!$B$16:$B$23,MATCH(IF(H106="",G106,H106),Parámetros!$A$16:$A$23,0))</f>
        <v>26.6</v>
      </c>
      <c r="N106" s="9" t="n">
        <f aca="false">INDEX(Parámetros!$B$16:$B$23,MATCH(IF(H106="",G106,H106),Parámetros!$A$16:$A$23,0))</f>
        <v>26.6</v>
      </c>
      <c r="O106" s="8"/>
      <c r="P106" s="17" t="n">
        <f aca="false">INDEX(Parámetros!$C$16:$C$23,MATCH(G106,Parámetros!$A$16:$A$23,0))</f>
        <v>0.019</v>
      </c>
      <c r="Q106" s="17" t="n">
        <f aca="false">IF(Z106="","",INDEX(Parámetros!$C$27:$C$31,MATCH(Z106,Parámetros!$A$27:$A$31,0))*P106)</f>
        <v>0</v>
      </c>
      <c r="R106" s="11"/>
      <c r="S106" s="17" t="n">
        <f aca="false">(Q106+0.5*(1-(N106/L106)^2)+(1-(N106/M106)^2)^2)*(M106/N106)^4+IF(Z106="",0,INDEX(Parámetros!$E$27:$E$31,MATCH(Z106,Parámetros!$A$27:$A$31,0)))</f>
        <v>0.411644444444444</v>
      </c>
      <c r="T106" s="11"/>
      <c r="U106" s="17" t="n">
        <f aca="false">IF(H106="","",(Q106+0.5*(1-(N106/M106)^2)+(1-(N106/L106)^2)^2)*(M106/N106)^4+IF(Z106="",0,INDEX(Parámetros!$E$27:$E$31,MATCH(Z106,Parámetros!$A$27:$A$31,0))))</f>
        <v>0.592478372345679</v>
      </c>
      <c r="V106" s="13" t="s">
        <v>504</v>
      </c>
      <c r="W106" s="19" t="n">
        <v>0.68</v>
      </c>
      <c r="X106" s="18" t="s">
        <v>505</v>
      </c>
      <c r="Y106" s="7"/>
      <c r="Z106" s="7" t="s">
        <v>59</v>
      </c>
      <c r="AA106" s="7" t="s">
        <v>497</v>
      </c>
      <c r="AB106" s="16" t="str">
        <f aca="false">IF(COUNTIFS(Packs!$D$2:$D$70,A106,Packs!$F$2:$F$70,"&gt;0")=0,"",_xlfn.MINIFS(Packs!$F$2:$F$70,Packs!$D$2:$D$70,A106,Packs!$F$2:$F$70,"&gt;0"))</f>
        <v/>
      </c>
      <c r="AC106" s="13" t="n">
        <f aca="false">COUNTIF(Packs!$D$2:$D$70,A106)</f>
        <v>0</v>
      </c>
    </row>
    <row r="107" customFormat="false" ht="15" hidden="false" customHeight="false" outlineLevel="0" collapsed="false">
      <c r="A107" s="7" t="s">
        <v>318</v>
      </c>
      <c r="B107" s="7" t="s">
        <v>500</v>
      </c>
      <c r="C107" s="7" t="s">
        <v>501</v>
      </c>
      <c r="D107" s="7" t="s">
        <v>491</v>
      </c>
      <c r="E107" s="7" t="s">
        <v>502</v>
      </c>
      <c r="F107" s="7" t="s">
        <v>493</v>
      </c>
      <c r="G107" s="7" t="s">
        <v>37</v>
      </c>
      <c r="H107" s="7" t="s">
        <v>36</v>
      </c>
      <c r="I107" s="7" t="s">
        <v>516</v>
      </c>
      <c r="J107" s="7" t="n">
        <v>10</v>
      </c>
      <c r="K107" s="7" t="s">
        <v>494</v>
      </c>
      <c r="L107" s="9" t="n">
        <f aca="false">INDEX(Parámetros!$B$16:$B$23,MATCH(G107,Parámetros!$A$16:$A$23,0))</f>
        <v>52.5</v>
      </c>
      <c r="M107" s="9" t="n">
        <f aca="false">INDEX(Parámetros!$B$16:$B$23,MATCH(IF(H107="",G107,H107),Parámetros!$A$16:$A$23,0))</f>
        <v>40.9</v>
      </c>
      <c r="N107" s="9" t="n">
        <f aca="false">INDEX(Parámetros!$B$16:$B$23,MATCH(IF(H107="",G107,H107),Parámetros!$A$16:$A$23,0))</f>
        <v>40.9</v>
      </c>
      <c r="O107" s="8"/>
      <c r="P107" s="17" t="n">
        <f aca="false">INDEX(Parámetros!$C$16:$C$23,MATCH(G107,Parámetros!$A$16:$A$23,0))</f>
        <v>0.019</v>
      </c>
      <c r="Q107" s="17" t="n">
        <f aca="false">IF(Z107="","",INDEX(Parámetros!$C$27:$C$31,MATCH(Z107,Parámetros!$A$27:$A$31,0))*P107)</f>
        <v>0</v>
      </c>
      <c r="R107" s="11"/>
      <c r="S107" s="17" t="n">
        <f aca="false">(Q107+0.5*(1-(N107/L107)^2)+(1-(N107/M107)^2)^2)*(M107/N107)^4+IF(Z107="",0,INDEX(Parámetros!$E$27:$E$31,MATCH(Z107,Parámetros!$A$27:$A$31,0)))</f>
        <v>0.236542403628118</v>
      </c>
      <c r="T107" s="11"/>
      <c r="U107" s="17" t="n">
        <f aca="false">IF(H107="","",(Q107+0.5*(1-(N107/M107)^2)+(1-(N107/L107)^2)^2)*(M107/N107)^4+IF(Z107="",0,INDEX(Parámetros!$E$27:$E$31,MATCH(Z107,Parámetros!$A$27:$A$31,0))))</f>
        <v>0.194515665695672</v>
      </c>
      <c r="V107" s="13" t="s">
        <v>504</v>
      </c>
      <c r="W107" s="19" t="n">
        <v>0.68</v>
      </c>
      <c r="X107" s="18" t="s">
        <v>505</v>
      </c>
      <c r="Y107" s="7"/>
      <c r="Z107" s="7" t="s">
        <v>59</v>
      </c>
      <c r="AA107" s="7" t="s">
        <v>497</v>
      </c>
      <c r="AB107" s="16" t="n">
        <f aca="false">IF(COUNTIFS(Packs!$D$2:$D$70,A107,Packs!$F$2:$F$70,"&gt;0")=0,"",_xlfn.MINIFS(Packs!$F$2:$F$70,Packs!$D$2:$D$70,A107,Packs!$F$2:$F$70,"&gt;0"))</f>
        <v>2.79</v>
      </c>
      <c r="AC107" s="13" t="n">
        <f aca="false">COUNTIF(Packs!$D$2:$D$70,A107)</f>
        <v>1</v>
      </c>
    </row>
    <row r="108" customFormat="false" ht="15" hidden="false" customHeight="false" outlineLevel="0" collapsed="false">
      <c r="A108" s="7" t="s">
        <v>517</v>
      </c>
      <c r="B108" s="7" t="s">
        <v>500</v>
      </c>
      <c r="C108" s="7" t="s">
        <v>501</v>
      </c>
      <c r="D108" s="7" t="s">
        <v>491</v>
      </c>
      <c r="E108" s="7" t="s">
        <v>502</v>
      </c>
      <c r="F108" s="7" t="s">
        <v>493</v>
      </c>
      <c r="G108" s="7" t="s">
        <v>38</v>
      </c>
      <c r="H108" s="7" t="s">
        <v>37</v>
      </c>
      <c r="I108" s="7" t="s">
        <v>518</v>
      </c>
      <c r="J108" s="7" t="n">
        <v>10</v>
      </c>
      <c r="K108" s="7" t="s">
        <v>494</v>
      </c>
      <c r="L108" s="9" t="n">
        <f aca="false">INDEX(Parámetros!$B$16:$B$23,MATCH(G108,Parámetros!$A$16:$A$23,0))</f>
        <v>62.7</v>
      </c>
      <c r="M108" s="9" t="n">
        <f aca="false">INDEX(Parámetros!$B$16:$B$23,MATCH(IF(H108="",G108,H108),Parámetros!$A$16:$A$23,0))</f>
        <v>52.5</v>
      </c>
      <c r="N108" s="9" t="n">
        <f aca="false">INDEX(Parámetros!$B$16:$B$23,MATCH(IF(H108="",G108,H108),Parámetros!$A$16:$A$23,0))</f>
        <v>52.5</v>
      </c>
      <c r="O108" s="8"/>
      <c r="P108" s="17" t="n">
        <f aca="false">INDEX(Parámetros!$C$16:$C$23,MATCH(G108,Parámetros!$A$16:$A$23,0))</f>
        <v>0.018</v>
      </c>
      <c r="Q108" s="17" t="n">
        <f aca="false">IF(Z108="","",INDEX(Parámetros!$C$27:$C$31,MATCH(Z108,Parámetros!$A$27:$A$31,0))*P108)</f>
        <v>0</v>
      </c>
      <c r="R108" s="11"/>
      <c r="S108" s="17" t="n">
        <f aca="false">(Q108+0.5*(1-(N108/L108)^2)+(1-(N108/M108)^2)^2)*(M108/N108)^4+IF(Z108="",0,INDEX(Parámetros!$E$27:$E$31,MATCH(Z108,Parámetros!$A$27:$A$31,0)))</f>
        <v>0.189447128041941</v>
      </c>
      <c r="T108" s="11"/>
      <c r="U108" s="17" t="n">
        <f aca="false">IF(H108="","",(Q108+0.5*(1-(N108/M108)^2)+(1-(N108/L108)^2)^2)*(M108/N108)^4+IF(Z108="",0,INDEX(Parámetros!$E$27:$E$31,MATCH(Z108,Parámetros!$A$27:$A$31,0))))</f>
        <v>0.129337776319937</v>
      </c>
      <c r="V108" s="13" t="s">
        <v>504</v>
      </c>
      <c r="W108" s="19" t="n">
        <v>0.68</v>
      </c>
      <c r="X108" s="18" t="s">
        <v>505</v>
      </c>
      <c r="Y108" s="7"/>
      <c r="Z108" s="7" t="s">
        <v>59</v>
      </c>
      <c r="AA108" s="7" t="s">
        <v>497</v>
      </c>
      <c r="AB108" s="16" t="str">
        <f aca="false">IF(COUNTIFS(Packs!$D$2:$D$70,A108,Packs!$F$2:$F$70,"&gt;0")=0,"",_xlfn.MINIFS(Packs!$F$2:$F$70,Packs!$D$2:$D$70,A108,Packs!$F$2:$F$70,"&gt;0"))</f>
        <v/>
      </c>
      <c r="AC108" s="13" t="n">
        <f aca="false">COUNTIF(Packs!$D$2:$D$70,A108)</f>
        <v>0</v>
      </c>
    </row>
    <row r="109" customFormat="false" ht="15" hidden="false" customHeight="false" outlineLevel="0" collapsed="false">
      <c r="A109" s="7" t="s">
        <v>519</v>
      </c>
      <c r="B109" s="7" t="s">
        <v>500</v>
      </c>
      <c r="C109" s="7" t="s">
        <v>501</v>
      </c>
      <c r="D109" s="7" t="s">
        <v>491</v>
      </c>
      <c r="E109" s="7" t="s">
        <v>502</v>
      </c>
      <c r="F109" s="7" t="s">
        <v>493</v>
      </c>
      <c r="G109" s="7" t="s">
        <v>39</v>
      </c>
      <c r="H109" s="7" t="s">
        <v>38</v>
      </c>
      <c r="I109" s="7" t="s">
        <v>520</v>
      </c>
      <c r="J109" s="7" t="n">
        <v>10</v>
      </c>
      <c r="K109" s="7" t="s">
        <v>494</v>
      </c>
      <c r="L109" s="9" t="n">
        <f aca="false">INDEX(Parámetros!$B$16:$B$23,MATCH(G109,Parámetros!$A$16:$A$23,0))</f>
        <v>77.9</v>
      </c>
      <c r="M109" s="9" t="n">
        <f aca="false">INDEX(Parámetros!$B$16:$B$23,MATCH(IF(H109="",G109,H109),Parámetros!$A$16:$A$23,0))</f>
        <v>62.7</v>
      </c>
      <c r="N109" s="9" t="n">
        <f aca="false">INDEX(Parámetros!$B$16:$B$23,MATCH(IF(H109="",G109,H109),Parámetros!$A$16:$A$23,0))</f>
        <v>62.7</v>
      </c>
      <c r="O109" s="8"/>
      <c r="P109" s="17" t="n">
        <f aca="false">INDEX(Parámetros!$C$16:$C$23,MATCH(G109,Parámetros!$A$16:$A$23,0))</f>
        <v>0.018</v>
      </c>
      <c r="Q109" s="17" t="n">
        <f aca="false">IF(Z109="","",INDEX(Parámetros!$C$27:$C$31,MATCH(Z109,Parámetros!$A$27:$A$31,0))*P109)</f>
        <v>0</v>
      </c>
      <c r="R109" s="11"/>
      <c r="S109" s="17" t="n">
        <f aca="false">(Q109+0.5*(1-(N109/L109)^2)+(1-(N109/M109)^2)^2)*(M109/N109)^4+IF(Z109="",0,INDEX(Parámetros!$E$27:$E$31,MATCH(Z109,Parámetros!$A$27:$A$31,0)))</f>
        <v>0.216085663295657</v>
      </c>
      <c r="T109" s="11"/>
      <c r="U109" s="17" t="n">
        <f aca="false">IF(H109="","",(Q109+0.5*(1-(N109/M109)^2)+(1-(N109/L109)^2)^2)*(M109/N109)^4+IF(Z109="",0,INDEX(Parámetros!$E$27:$E$31,MATCH(Z109,Parámetros!$A$27:$A$31,0))))</f>
        <v>0.164024643273087</v>
      </c>
      <c r="V109" s="13" t="s">
        <v>504</v>
      </c>
      <c r="W109" s="19" t="n">
        <v>0.68</v>
      </c>
      <c r="X109" s="18" t="s">
        <v>505</v>
      </c>
      <c r="Y109" s="7"/>
      <c r="Z109" s="7" t="s">
        <v>59</v>
      </c>
      <c r="AA109" s="7" t="s">
        <v>497</v>
      </c>
      <c r="AB109" s="16" t="str">
        <f aca="false">IF(COUNTIFS(Packs!$D$2:$D$70,A109,Packs!$F$2:$F$70,"&gt;0")=0,"",_xlfn.MINIFS(Packs!$F$2:$F$70,Packs!$D$2:$D$70,A109,Packs!$F$2:$F$70,"&gt;0"))</f>
        <v/>
      </c>
      <c r="AC109" s="13" t="n">
        <f aca="false">COUNTIF(Packs!$D$2:$D$70,A109)</f>
        <v>0</v>
      </c>
    </row>
    <row r="110" customFormat="false" ht="15" hidden="false" customHeight="false" outlineLevel="0" collapsed="false">
      <c r="A110" s="7" t="s">
        <v>521</v>
      </c>
      <c r="B110" s="7" t="s">
        <v>522</v>
      </c>
      <c r="C110" s="7" t="s">
        <v>523</v>
      </c>
      <c r="D110" s="7" t="s">
        <v>524</v>
      </c>
      <c r="E110" s="7" t="s">
        <v>525</v>
      </c>
      <c r="F110" s="7" t="s">
        <v>526</v>
      </c>
      <c r="G110" s="7" t="s">
        <v>33</v>
      </c>
      <c r="H110" s="7" t="s">
        <v>32</v>
      </c>
      <c r="I110" s="7" t="s">
        <v>503</v>
      </c>
      <c r="J110" s="7" t="n">
        <v>16</v>
      </c>
      <c r="K110" s="7" t="s">
        <v>494</v>
      </c>
      <c r="L110" s="9" t="n">
        <f aca="false">INDEX(Parámetros!$B$16:$B$23,MATCH(G110,Parámetros!$A$16:$A$23,0))</f>
        <v>20.9</v>
      </c>
      <c r="M110" s="9" t="n">
        <f aca="false">INDEX(Parámetros!$B$16:$B$23,MATCH(IF(H110="",G110,H110),Parámetros!$A$16:$A$23,0))</f>
        <v>15.8</v>
      </c>
      <c r="N110" s="9" t="n">
        <f aca="false">INDEX(Parámetros!$B$16:$B$23,MATCH(IF(H110="",G110,H110),Parámetros!$A$16:$A$23,0))</f>
        <v>15.8</v>
      </c>
      <c r="O110" s="8"/>
      <c r="P110" s="17" t="n">
        <f aca="false">INDEX(Parámetros!$C$16:$C$23,MATCH(G110,Parámetros!$A$16:$A$23,0))</f>
        <v>0.025</v>
      </c>
      <c r="Q110" s="17" t="n">
        <f aca="false">IF(Z110="","",INDEX(Parámetros!$C$27:$C$31,MATCH(Z110,Parámetros!$A$27:$A$31,0))*P110)</f>
        <v>0</v>
      </c>
      <c r="R110" s="11"/>
      <c r="S110" s="17" t="n">
        <f aca="false">(Q110+0.5*(1-(N110/L110)^2)+(1-(N110/M110)^2)^2)*(M110/N110)^4+IF(Z110="",0,INDEX(Parámetros!$E$27:$E$31,MATCH(Z110,Parámetros!$A$27:$A$31,0)))</f>
        <v>0.254246468716375</v>
      </c>
      <c r="T110" s="11"/>
      <c r="U110" s="17" t="n">
        <f aca="false">IF(H110="","",(Q110+0.5*(1-(N110/M110)^2)+(1-(N110/L110)^2)^2)*(M110/N110)^4+IF(Z110="",0,INDEX(Parámetros!$E$27:$E$31,MATCH(Z110,Parámetros!$A$27:$A$31,0))))</f>
        <v>0.223606197429747</v>
      </c>
      <c r="V110" s="13" t="s">
        <v>504</v>
      </c>
      <c r="W110" s="19" t="n">
        <v>0.61</v>
      </c>
      <c r="X110" s="18" t="s">
        <v>527</v>
      </c>
      <c r="Y110" s="7"/>
      <c r="Z110" s="7" t="s">
        <v>59</v>
      </c>
      <c r="AA110" s="7" t="s">
        <v>497</v>
      </c>
      <c r="AB110" s="16" t="str">
        <f aca="false">IF(COUNTIFS(Packs!$D$2:$D$70,A110,Packs!$F$2:$F$70,"&gt;0")=0,"",_xlfn.MINIFS(Packs!$F$2:$F$70,Packs!$D$2:$D$70,A110,Packs!$F$2:$F$70,"&gt;0"))</f>
        <v/>
      </c>
      <c r="AC110" s="13" t="n">
        <f aca="false">COUNTIF(Packs!$D$2:$D$70,A110)</f>
        <v>0</v>
      </c>
    </row>
    <row r="111" customFormat="false" ht="15" hidden="false" customHeight="false" outlineLevel="0" collapsed="false">
      <c r="A111" s="7" t="s">
        <v>528</v>
      </c>
      <c r="B111" s="7" t="s">
        <v>522</v>
      </c>
      <c r="C111" s="7" t="s">
        <v>523</v>
      </c>
      <c r="D111" s="7" t="s">
        <v>524</v>
      </c>
      <c r="E111" s="7" t="s">
        <v>525</v>
      </c>
      <c r="F111" s="7" t="s">
        <v>526</v>
      </c>
      <c r="G111" s="7" t="s">
        <v>34</v>
      </c>
      <c r="H111" s="7" t="s">
        <v>32</v>
      </c>
      <c r="I111" s="7" t="s">
        <v>506</v>
      </c>
      <c r="J111" s="7" t="n">
        <v>16</v>
      </c>
      <c r="K111" s="7" t="s">
        <v>494</v>
      </c>
      <c r="L111" s="9" t="n">
        <f aca="false">INDEX(Parámetros!$B$16:$B$23,MATCH(G111,Parámetros!$A$16:$A$23,0))</f>
        <v>26.6</v>
      </c>
      <c r="M111" s="9" t="n">
        <f aca="false">INDEX(Parámetros!$B$16:$B$23,MATCH(IF(H111="",G111,H111),Parámetros!$A$16:$A$23,0))</f>
        <v>15.8</v>
      </c>
      <c r="N111" s="9" t="n">
        <f aca="false">INDEX(Parámetros!$B$16:$B$23,MATCH(IF(H111="",G111,H111),Parámetros!$A$16:$A$23,0))</f>
        <v>15.8</v>
      </c>
      <c r="O111" s="8"/>
      <c r="P111" s="17" t="n">
        <f aca="false">INDEX(Parámetros!$C$16:$C$23,MATCH(G111,Parámetros!$A$16:$A$23,0))</f>
        <v>0.023</v>
      </c>
      <c r="Q111" s="17" t="n">
        <f aca="false">IF(Z111="","",INDEX(Parámetros!$C$27:$C$31,MATCH(Z111,Parámetros!$A$27:$A$31,0))*P111)</f>
        <v>0</v>
      </c>
      <c r="R111" s="11"/>
      <c r="S111" s="17" t="n">
        <f aca="false">(Q111+0.5*(1-(N111/L111)^2)+(1-(N111/M111)^2)^2)*(M111/N111)^4+IF(Z111="",0,INDEX(Parámetros!$E$27:$E$31,MATCH(Z111,Parámetros!$A$27:$A$31,0)))</f>
        <v>0.363590932217762</v>
      </c>
      <c r="T111" s="11"/>
      <c r="U111" s="17" t="n">
        <f aca="false">IF(H111="","",(Q111+0.5*(1-(N111/M111)^2)+(1-(N111/L111)^2)^2)*(M111/N111)^4+IF(Z111="",0,INDEX(Parámetros!$E$27:$E$31,MATCH(Z111,Parámetros!$A$27:$A$31,0))))</f>
        <v>0.458844365654242</v>
      </c>
      <c r="V111" s="13" t="s">
        <v>504</v>
      </c>
      <c r="W111" s="19" t="n">
        <v>0.61</v>
      </c>
      <c r="X111" s="18" t="s">
        <v>527</v>
      </c>
      <c r="Y111" s="7"/>
      <c r="Z111" s="7" t="s">
        <v>59</v>
      </c>
      <c r="AA111" s="7" t="s">
        <v>497</v>
      </c>
      <c r="AB111" s="16" t="str">
        <f aca="false">IF(COUNTIFS(Packs!$D$2:$D$70,A111,Packs!$F$2:$F$70,"&gt;0")=0,"",_xlfn.MINIFS(Packs!$F$2:$F$70,Packs!$D$2:$D$70,A111,Packs!$F$2:$F$70,"&gt;0"))</f>
        <v/>
      </c>
      <c r="AC111" s="13" t="n">
        <f aca="false">COUNTIF(Packs!$D$2:$D$70,A111)</f>
        <v>0</v>
      </c>
    </row>
    <row r="112" customFormat="false" ht="15" hidden="false" customHeight="false" outlineLevel="0" collapsed="false">
      <c r="A112" s="7" t="s">
        <v>529</v>
      </c>
      <c r="B112" s="7" t="s">
        <v>522</v>
      </c>
      <c r="C112" s="7" t="s">
        <v>523</v>
      </c>
      <c r="D112" s="7" t="s">
        <v>524</v>
      </c>
      <c r="E112" s="7" t="s">
        <v>525</v>
      </c>
      <c r="F112" s="7" t="s">
        <v>526</v>
      </c>
      <c r="G112" s="7" t="s">
        <v>34</v>
      </c>
      <c r="H112" s="7" t="s">
        <v>33</v>
      </c>
      <c r="I112" s="7" t="s">
        <v>507</v>
      </c>
      <c r="J112" s="7" t="n">
        <v>16</v>
      </c>
      <c r="K112" s="7" t="s">
        <v>494</v>
      </c>
      <c r="L112" s="9" t="n">
        <f aca="false">INDEX(Parámetros!$B$16:$B$23,MATCH(G112,Parámetros!$A$16:$A$23,0))</f>
        <v>26.6</v>
      </c>
      <c r="M112" s="9" t="n">
        <f aca="false">INDEX(Parámetros!$B$16:$B$23,MATCH(IF(H112="",G112,H112),Parámetros!$A$16:$A$23,0))</f>
        <v>20.9</v>
      </c>
      <c r="N112" s="9" t="n">
        <f aca="false">INDEX(Parámetros!$B$16:$B$23,MATCH(IF(H112="",G112,H112),Parámetros!$A$16:$A$23,0))</f>
        <v>20.9</v>
      </c>
      <c r="O112" s="8"/>
      <c r="P112" s="17" t="n">
        <f aca="false">INDEX(Parámetros!$C$16:$C$23,MATCH(G112,Parámetros!$A$16:$A$23,0))</f>
        <v>0.023</v>
      </c>
      <c r="Q112" s="17" t="n">
        <f aca="false">IF(Z112="","",INDEX(Parámetros!$C$27:$C$31,MATCH(Z112,Parámetros!$A$27:$A$31,0))*P112)</f>
        <v>0</v>
      </c>
      <c r="R112" s="11"/>
      <c r="S112" s="17" t="n">
        <f aca="false">(Q112+0.5*(1-(N112/L112)^2)+(1-(N112/M112)^2)^2)*(M112/N112)^4+IF(Z112="",0,INDEX(Parámetros!$E$27:$E$31,MATCH(Z112,Parámetros!$A$27:$A$31,0)))</f>
        <v>0.231326530612245</v>
      </c>
      <c r="T112" s="11"/>
      <c r="U112" s="17" t="n">
        <f aca="false">IF(H112="","",(Q112+0.5*(1-(N112/M112)^2)+(1-(N112/L112)^2)^2)*(M112/N112)^4+IF(Z112="",0,INDEX(Parámetros!$E$27:$E$31,MATCH(Z112,Parámetros!$A$27:$A$31,0))))</f>
        <v>0.186423365264473</v>
      </c>
      <c r="V112" s="13" t="s">
        <v>504</v>
      </c>
      <c r="W112" s="19" t="n">
        <v>0.61</v>
      </c>
      <c r="X112" s="18" t="s">
        <v>527</v>
      </c>
      <c r="Y112" s="7"/>
      <c r="Z112" s="7" t="s">
        <v>59</v>
      </c>
      <c r="AA112" s="7" t="s">
        <v>497</v>
      </c>
      <c r="AB112" s="16" t="str">
        <f aca="false">IF(COUNTIFS(Packs!$D$2:$D$70,A112,Packs!$F$2:$F$70,"&gt;0")=0,"",_xlfn.MINIFS(Packs!$F$2:$F$70,Packs!$D$2:$D$70,A112,Packs!$F$2:$F$70,"&gt;0"))</f>
        <v/>
      </c>
      <c r="AC112" s="13" t="n">
        <f aca="false">COUNTIF(Packs!$D$2:$D$70,A112)</f>
        <v>0</v>
      </c>
    </row>
    <row r="113" customFormat="false" ht="15" hidden="false" customHeight="false" outlineLevel="0" collapsed="false">
      <c r="A113" s="7" t="s">
        <v>530</v>
      </c>
      <c r="B113" s="7" t="s">
        <v>522</v>
      </c>
      <c r="C113" s="7" t="s">
        <v>523</v>
      </c>
      <c r="D113" s="7" t="s">
        <v>524</v>
      </c>
      <c r="E113" s="7" t="s">
        <v>525</v>
      </c>
      <c r="F113" s="7" t="s">
        <v>526</v>
      </c>
      <c r="G113" s="7" t="s">
        <v>35</v>
      </c>
      <c r="H113" s="7" t="s">
        <v>33</v>
      </c>
      <c r="I113" s="7" t="s">
        <v>509</v>
      </c>
      <c r="J113" s="7" t="n">
        <v>16</v>
      </c>
      <c r="K113" s="7" t="s">
        <v>494</v>
      </c>
      <c r="L113" s="9" t="n">
        <f aca="false">INDEX(Parámetros!$B$16:$B$23,MATCH(G113,Parámetros!$A$16:$A$23,0))</f>
        <v>35.1</v>
      </c>
      <c r="M113" s="9" t="n">
        <f aca="false">INDEX(Parámetros!$B$16:$B$23,MATCH(IF(H113="",G113,H113),Parámetros!$A$16:$A$23,0))</f>
        <v>20.9</v>
      </c>
      <c r="N113" s="9" t="n">
        <f aca="false">INDEX(Parámetros!$B$16:$B$23,MATCH(IF(H113="",G113,H113),Parámetros!$A$16:$A$23,0))</f>
        <v>20.9</v>
      </c>
      <c r="O113" s="8"/>
      <c r="P113" s="17" t="n">
        <f aca="false">INDEX(Parámetros!$C$16:$C$23,MATCH(G113,Parámetros!$A$16:$A$23,0))</f>
        <v>0.022</v>
      </c>
      <c r="Q113" s="17" t="n">
        <f aca="false">IF(Z113="","",INDEX(Parámetros!$C$27:$C$31,MATCH(Z113,Parámetros!$A$27:$A$31,0))*P113)</f>
        <v>0</v>
      </c>
      <c r="R113" s="11"/>
      <c r="S113" s="17" t="n">
        <f aca="false">(Q113+0.5*(1-(N113/L113)^2)+(1-(N113/M113)^2)^2)*(M113/N113)^4+IF(Z113="",0,INDEX(Parámetros!$E$27:$E$31,MATCH(Z113,Parámetros!$A$27:$A$31,0)))</f>
        <v>0.362724653208984</v>
      </c>
      <c r="T113" s="11"/>
      <c r="U113" s="17" t="n">
        <f aca="false">IF(H113="","",(Q113+0.5*(1-(N113/M113)^2)+(1-(N113/L113)^2)^2)*(M113/N113)^4+IF(Z113="",0,INDEX(Parámetros!$E$27:$E$31,MATCH(Z113,Parámetros!$A$27:$A$31,0))))</f>
        <v>0.456604807155435</v>
      </c>
      <c r="V113" s="13" t="s">
        <v>504</v>
      </c>
      <c r="W113" s="19" t="n">
        <v>0.61</v>
      </c>
      <c r="X113" s="18" t="s">
        <v>527</v>
      </c>
      <c r="Y113" s="7"/>
      <c r="Z113" s="7" t="s">
        <v>59</v>
      </c>
      <c r="AA113" s="7" t="s">
        <v>497</v>
      </c>
      <c r="AB113" s="16" t="str">
        <f aca="false">IF(COUNTIFS(Packs!$D$2:$D$70,A113,Packs!$F$2:$F$70,"&gt;0")=0,"",_xlfn.MINIFS(Packs!$F$2:$F$70,Packs!$D$2:$D$70,A113,Packs!$F$2:$F$70,"&gt;0"))</f>
        <v/>
      </c>
      <c r="AC113" s="13" t="n">
        <f aca="false">COUNTIF(Packs!$D$2:$D$70,A113)</f>
        <v>0</v>
      </c>
    </row>
    <row r="114" customFormat="false" ht="15" hidden="false" customHeight="false" outlineLevel="0" collapsed="false">
      <c r="A114" s="7" t="s">
        <v>531</v>
      </c>
      <c r="B114" s="7" t="s">
        <v>522</v>
      </c>
      <c r="C114" s="7" t="s">
        <v>523</v>
      </c>
      <c r="D114" s="7" t="s">
        <v>524</v>
      </c>
      <c r="E114" s="7" t="s">
        <v>525</v>
      </c>
      <c r="F114" s="7" t="s">
        <v>526</v>
      </c>
      <c r="G114" s="7" t="s">
        <v>35</v>
      </c>
      <c r="H114" s="7" t="s">
        <v>34</v>
      </c>
      <c r="I114" s="7" t="s">
        <v>511</v>
      </c>
      <c r="J114" s="7" t="n">
        <v>16</v>
      </c>
      <c r="K114" s="7" t="s">
        <v>494</v>
      </c>
      <c r="L114" s="9" t="n">
        <f aca="false">INDEX(Parámetros!$B$16:$B$23,MATCH(G114,Parámetros!$A$16:$A$23,0))</f>
        <v>35.1</v>
      </c>
      <c r="M114" s="9" t="n">
        <f aca="false">INDEX(Parámetros!$B$16:$B$23,MATCH(IF(H114="",G114,H114),Parámetros!$A$16:$A$23,0))</f>
        <v>26.6</v>
      </c>
      <c r="N114" s="9" t="n">
        <f aca="false">INDEX(Parámetros!$B$16:$B$23,MATCH(IF(H114="",G114,H114),Parámetros!$A$16:$A$23,0))</f>
        <v>26.6</v>
      </c>
      <c r="O114" s="8"/>
      <c r="P114" s="17" t="n">
        <f aca="false">INDEX(Parámetros!$C$16:$C$23,MATCH(G114,Parámetros!$A$16:$A$23,0))</f>
        <v>0.022</v>
      </c>
      <c r="Q114" s="17" t="n">
        <f aca="false">IF(Z114="","",INDEX(Parámetros!$C$27:$C$31,MATCH(Z114,Parámetros!$A$27:$A$31,0))*P114)</f>
        <v>0</v>
      </c>
      <c r="R114" s="11"/>
      <c r="S114" s="17" t="n">
        <f aca="false">(Q114+0.5*(1-(N114/L114)^2)+(1-(N114/M114)^2)^2)*(M114/N114)^4+IF(Z114="",0,INDEX(Parámetros!$E$27:$E$31,MATCH(Z114,Parámetros!$A$27:$A$31,0)))</f>
        <v>0.252843239908767</v>
      </c>
      <c r="T114" s="11"/>
      <c r="U114" s="17" t="n">
        <f aca="false">IF(H114="","",(Q114+0.5*(1-(N114/M114)^2)+(1-(N114/L114)^2)^2)*(M114/N114)^4+IF(Z114="",0,INDEX(Parámetros!$E$27:$E$31,MATCH(Z114,Parámetros!$A$27:$A$31,0))))</f>
        <v>0.221208979099444</v>
      </c>
      <c r="V114" s="13" t="s">
        <v>504</v>
      </c>
      <c r="W114" s="19" t="n">
        <v>0.61</v>
      </c>
      <c r="X114" s="18" t="s">
        <v>527</v>
      </c>
      <c r="Y114" s="7"/>
      <c r="Z114" s="7" t="s">
        <v>59</v>
      </c>
      <c r="AA114" s="7" t="s">
        <v>497</v>
      </c>
      <c r="AB114" s="16" t="str">
        <f aca="false">IF(COUNTIFS(Packs!$D$2:$D$70,A114,Packs!$F$2:$F$70,"&gt;0")=0,"",_xlfn.MINIFS(Packs!$F$2:$F$70,Packs!$D$2:$D$70,A114,Packs!$F$2:$F$70,"&gt;0"))</f>
        <v/>
      </c>
      <c r="AC114" s="13" t="n">
        <f aca="false">COUNTIF(Packs!$D$2:$D$70,A114)</f>
        <v>0</v>
      </c>
    </row>
    <row r="115" customFormat="false" ht="15" hidden="false" customHeight="false" outlineLevel="0" collapsed="false">
      <c r="A115" s="7" t="s">
        <v>532</v>
      </c>
      <c r="B115" s="7" t="s">
        <v>522</v>
      </c>
      <c r="C115" s="7" t="s">
        <v>523</v>
      </c>
      <c r="D115" s="7" t="s">
        <v>524</v>
      </c>
      <c r="E115" s="7" t="s">
        <v>525</v>
      </c>
      <c r="F115" s="7" t="s">
        <v>526</v>
      </c>
      <c r="G115" s="7" t="s">
        <v>36</v>
      </c>
      <c r="H115" s="7" t="s">
        <v>33</v>
      </c>
      <c r="I115" s="7" t="s">
        <v>513</v>
      </c>
      <c r="J115" s="7" t="n">
        <v>16</v>
      </c>
      <c r="K115" s="7" t="s">
        <v>494</v>
      </c>
      <c r="L115" s="9" t="n">
        <f aca="false">INDEX(Parámetros!$B$16:$B$23,MATCH(G115,Parámetros!$A$16:$A$23,0))</f>
        <v>40.9</v>
      </c>
      <c r="M115" s="9" t="n">
        <f aca="false">INDEX(Parámetros!$B$16:$B$23,MATCH(IF(H115="",G115,H115),Parámetros!$A$16:$A$23,0))</f>
        <v>20.9</v>
      </c>
      <c r="N115" s="9" t="n">
        <f aca="false">INDEX(Parámetros!$B$16:$B$23,MATCH(IF(H115="",G115,H115),Parámetros!$A$16:$A$23,0))</f>
        <v>20.9</v>
      </c>
      <c r="O115" s="8"/>
      <c r="P115" s="17" t="n">
        <f aca="false">INDEX(Parámetros!$C$16:$C$23,MATCH(G115,Parámetros!$A$16:$A$23,0))</f>
        <v>0.021</v>
      </c>
      <c r="Q115" s="17" t="n">
        <f aca="false">IF(Z115="","",INDEX(Parámetros!$C$27:$C$31,MATCH(Z115,Parámetros!$A$27:$A$31,0))*P115)</f>
        <v>0</v>
      </c>
      <c r="R115" s="11"/>
      <c r="S115" s="17" t="n">
        <f aca="false">(Q115+0.5*(1-(N115/L115)^2)+(1-(N115/M115)^2)^2)*(M115/N115)^4+IF(Z115="",0,INDEX(Parámetros!$E$27:$E$31,MATCH(Z115,Parámetros!$A$27:$A$31,0)))</f>
        <v>0.409438250608258</v>
      </c>
      <c r="T115" s="11"/>
      <c r="U115" s="17" t="n">
        <f aca="false">IF(H115="","",(Q115+0.5*(1-(N115/M115)^2)+(1-(N115/L115)^2)^2)*(M115/N115)^4+IF(Z115="",0,INDEX(Parámetros!$E$27:$E$31,MATCH(Z115,Parámetros!$A$27:$A$31,0))))</f>
        <v>0.58593848404996</v>
      </c>
      <c r="V115" s="13" t="s">
        <v>504</v>
      </c>
      <c r="W115" s="19" t="n">
        <v>0.61</v>
      </c>
      <c r="X115" s="18" t="s">
        <v>527</v>
      </c>
      <c r="Y115" s="7"/>
      <c r="Z115" s="7" t="s">
        <v>59</v>
      </c>
      <c r="AA115" s="7" t="s">
        <v>497</v>
      </c>
      <c r="AB115" s="16" t="str">
        <f aca="false">IF(COUNTIFS(Packs!$D$2:$D$70,A115,Packs!$F$2:$F$70,"&gt;0")=0,"",_xlfn.MINIFS(Packs!$F$2:$F$70,Packs!$D$2:$D$70,A115,Packs!$F$2:$F$70,"&gt;0"))</f>
        <v/>
      </c>
      <c r="AC115" s="13" t="n">
        <f aca="false">COUNTIF(Packs!$D$2:$D$70,A115)</f>
        <v>0</v>
      </c>
    </row>
    <row r="116" customFormat="false" ht="15" hidden="false" customHeight="false" outlineLevel="0" collapsed="false">
      <c r="A116" s="7" t="s">
        <v>533</v>
      </c>
      <c r="B116" s="7" t="s">
        <v>522</v>
      </c>
      <c r="C116" s="7" t="s">
        <v>523</v>
      </c>
      <c r="D116" s="7" t="s">
        <v>524</v>
      </c>
      <c r="E116" s="7" t="s">
        <v>525</v>
      </c>
      <c r="F116" s="7" t="s">
        <v>526</v>
      </c>
      <c r="G116" s="7" t="s">
        <v>36</v>
      </c>
      <c r="H116" s="7" t="s">
        <v>34</v>
      </c>
      <c r="I116" s="7" t="s">
        <v>534</v>
      </c>
      <c r="J116" s="7" t="n">
        <v>16</v>
      </c>
      <c r="K116" s="7" t="s">
        <v>494</v>
      </c>
      <c r="L116" s="9" t="n">
        <f aca="false">INDEX(Parámetros!$B$16:$B$23,MATCH(G116,Parámetros!$A$16:$A$23,0))</f>
        <v>40.9</v>
      </c>
      <c r="M116" s="9" t="n">
        <f aca="false">INDEX(Parámetros!$B$16:$B$23,MATCH(IF(H116="",G116,H116),Parámetros!$A$16:$A$23,0))</f>
        <v>26.6</v>
      </c>
      <c r="N116" s="9" t="n">
        <f aca="false">INDEX(Parámetros!$B$16:$B$23,MATCH(IF(H116="",G116,H116),Parámetros!$A$16:$A$23,0))</f>
        <v>26.6</v>
      </c>
      <c r="O116" s="8"/>
      <c r="P116" s="17" t="n">
        <f aca="false">INDEX(Parámetros!$C$16:$C$23,MATCH(G116,Parámetros!$A$16:$A$23,0))</f>
        <v>0.021</v>
      </c>
      <c r="Q116" s="17" t="n">
        <f aca="false">IF(Z116="","",INDEX(Parámetros!$C$27:$C$31,MATCH(Z116,Parámetros!$A$27:$A$31,0))*P116)</f>
        <v>0</v>
      </c>
      <c r="R116" s="11"/>
      <c r="S116" s="17" t="n">
        <f aca="false">(Q116+0.5*(1-(N116/L116)^2)+(1-(N116/M116)^2)^2)*(M116/N116)^4+IF(Z116="",0,INDEX(Parámetros!$E$27:$E$31,MATCH(Z116,Parámetros!$A$27:$A$31,0)))</f>
        <v>0.328511546439823</v>
      </c>
      <c r="T116" s="11"/>
      <c r="U116" s="17" t="n">
        <f aca="false">IF(H116="","",(Q116+0.5*(1-(N116/M116)^2)+(1-(N116/L116)^2)^2)*(M116/N116)^4+IF(Z116="",0,INDEX(Parámetros!$E$27:$E$31,MATCH(Z116,Parámetros!$A$27:$A$31,0))))</f>
        <v>0.372955649716392</v>
      </c>
      <c r="V116" s="13" t="s">
        <v>504</v>
      </c>
      <c r="W116" s="19" t="n">
        <v>0.61</v>
      </c>
      <c r="X116" s="18" t="s">
        <v>527</v>
      </c>
      <c r="Y116" s="7"/>
      <c r="Z116" s="7" t="s">
        <v>59</v>
      </c>
      <c r="AA116" s="7" t="s">
        <v>497</v>
      </c>
      <c r="AB116" s="16" t="str">
        <f aca="false">IF(COUNTIFS(Packs!$D$2:$D$70,A116,Packs!$F$2:$F$70,"&gt;0")=0,"",_xlfn.MINIFS(Packs!$F$2:$F$70,Packs!$D$2:$D$70,A116,Packs!$F$2:$F$70,"&gt;0"))</f>
        <v/>
      </c>
      <c r="AC116" s="13" t="n">
        <f aca="false">COUNTIF(Packs!$D$2:$D$70,A116)</f>
        <v>0</v>
      </c>
    </row>
    <row r="117" customFormat="false" ht="15" hidden="false" customHeight="false" outlineLevel="0" collapsed="false">
      <c r="A117" s="7" t="s">
        <v>535</v>
      </c>
      <c r="B117" s="7" t="s">
        <v>522</v>
      </c>
      <c r="C117" s="7" t="s">
        <v>523</v>
      </c>
      <c r="D117" s="7" t="s">
        <v>524</v>
      </c>
      <c r="E117" s="7" t="s">
        <v>525</v>
      </c>
      <c r="F117" s="7" t="s">
        <v>526</v>
      </c>
      <c r="G117" s="7" t="s">
        <v>36</v>
      </c>
      <c r="H117" s="7" t="s">
        <v>35</v>
      </c>
      <c r="I117" s="7" t="s">
        <v>536</v>
      </c>
      <c r="J117" s="7" t="n">
        <v>16</v>
      </c>
      <c r="K117" s="7" t="s">
        <v>494</v>
      </c>
      <c r="L117" s="9" t="n">
        <f aca="false">INDEX(Parámetros!$B$16:$B$23,MATCH(G117,Parámetros!$A$16:$A$23,0))</f>
        <v>40.9</v>
      </c>
      <c r="M117" s="9" t="n">
        <f aca="false">INDEX(Parámetros!$B$16:$B$23,MATCH(IF(H117="",G117,H117),Parámetros!$A$16:$A$23,0))</f>
        <v>35.1</v>
      </c>
      <c r="N117" s="9" t="n">
        <f aca="false">INDEX(Parámetros!$B$16:$B$23,MATCH(IF(H117="",G117,H117),Parámetros!$A$16:$A$23,0))</f>
        <v>35.1</v>
      </c>
      <c r="O117" s="8"/>
      <c r="P117" s="17" t="n">
        <f aca="false">INDEX(Parámetros!$C$16:$C$23,MATCH(G117,Parámetros!$A$16:$A$23,0))</f>
        <v>0.021</v>
      </c>
      <c r="Q117" s="17" t="n">
        <f aca="false">IF(Z117="","",INDEX(Parámetros!$C$27:$C$31,MATCH(Z117,Parámetros!$A$27:$A$31,0))*P117)</f>
        <v>0</v>
      </c>
      <c r="R117" s="11"/>
      <c r="S117" s="17" t="n">
        <f aca="false">(Q117+0.5*(1-(N117/L117)^2)+(1-(N117/M117)^2)^2)*(M117/N117)^4+IF(Z117="",0,INDEX(Parámetros!$E$27:$E$31,MATCH(Z117,Parámetros!$A$27:$A$31,0)))</f>
        <v>0.171754353453172</v>
      </c>
      <c r="T117" s="11"/>
      <c r="U117" s="17" t="n">
        <f aca="false">IF(H117="","",(Q117+0.5*(1-(N117/M117)^2)+(1-(N117/L117)^2)^2)*(M117/N117)^4+IF(Z117="",0,INDEX(Parámetros!$E$27:$E$31,MATCH(Z117,Parámetros!$A$27:$A$31,0))))</f>
        <v>0.109436838615453</v>
      </c>
      <c r="V117" s="13" t="s">
        <v>504</v>
      </c>
      <c r="W117" s="19" t="n">
        <v>0.61</v>
      </c>
      <c r="X117" s="18" t="s">
        <v>527</v>
      </c>
      <c r="Y117" s="7"/>
      <c r="Z117" s="7" t="s">
        <v>59</v>
      </c>
      <c r="AA117" s="7" t="s">
        <v>497</v>
      </c>
      <c r="AB117" s="16" t="str">
        <f aca="false">IF(COUNTIFS(Packs!$D$2:$D$70,A117,Packs!$F$2:$F$70,"&gt;0")=0,"",_xlfn.MINIFS(Packs!$F$2:$F$70,Packs!$D$2:$D$70,A117,Packs!$F$2:$F$70,"&gt;0"))</f>
        <v/>
      </c>
      <c r="AC117" s="13" t="n">
        <f aca="false">COUNTIF(Packs!$D$2:$D$70,A117)</f>
        <v>0</v>
      </c>
    </row>
    <row r="118" customFormat="false" ht="15" hidden="false" customHeight="false" outlineLevel="0" collapsed="false">
      <c r="A118" s="7" t="s">
        <v>537</v>
      </c>
      <c r="B118" s="7" t="s">
        <v>522</v>
      </c>
      <c r="C118" s="7" t="s">
        <v>523</v>
      </c>
      <c r="D118" s="7" t="s">
        <v>524</v>
      </c>
      <c r="E118" s="7" t="s">
        <v>525</v>
      </c>
      <c r="F118" s="7" t="s">
        <v>526</v>
      </c>
      <c r="G118" s="7" t="s">
        <v>37</v>
      </c>
      <c r="H118" s="7" t="s">
        <v>34</v>
      </c>
      <c r="I118" s="7" t="s">
        <v>515</v>
      </c>
      <c r="J118" s="7" t="n">
        <v>16</v>
      </c>
      <c r="K118" s="7" t="s">
        <v>494</v>
      </c>
      <c r="L118" s="9" t="n">
        <f aca="false">INDEX(Parámetros!$B$16:$B$23,MATCH(G118,Parámetros!$A$16:$A$23,0))</f>
        <v>52.5</v>
      </c>
      <c r="M118" s="9" t="n">
        <f aca="false">INDEX(Parámetros!$B$16:$B$23,MATCH(IF(H118="",G118,H118),Parámetros!$A$16:$A$23,0))</f>
        <v>26.6</v>
      </c>
      <c r="N118" s="9" t="n">
        <f aca="false">INDEX(Parámetros!$B$16:$B$23,MATCH(IF(H118="",G118,H118),Parámetros!$A$16:$A$23,0))</f>
        <v>26.6</v>
      </c>
      <c r="O118" s="8"/>
      <c r="P118" s="17" t="n">
        <f aca="false">INDEX(Parámetros!$C$16:$C$23,MATCH(G118,Parámetros!$A$16:$A$23,0))</f>
        <v>0.019</v>
      </c>
      <c r="Q118" s="17" t="n">
        <f aca="false">IF(Z118="","",INDEX(Parámetros!$C$27:$C$31,MATCH(Z118,Parámetros!$A$27:$A$31,0))*P118)</f>
        <v>0</v>
      </c>
      <c r="R118" s="11"/>
      <c r="S118" s="17" t="n">
        <f aca="false">(Q118+0.5*(1-(N118/L118)^2)+(1-(N118/M118)^2)^2)*(M118/N118)^4+IF(Z118="",0,INDEX(Parámetros!$E$27:$E$31,MATCH(Z118,Parámetros!$A$27:$A$31,0)))</f>
        <v>0.411644444444444</v>
      </c>
      <c r="T118" s="11"/>
      <c r="U118" s="17" t="n">
        <f aca="false">IF(H118="","",(Q118+0.5*(1-(N118/M118)^2)+(1-(N118/L118)^2)^2)*(M118/N118)^4+IF(Z118="",0,INDEX(Parámetros!$E$27:$E$31,MATCH(Z118,Parámetros!$A$27:$A$31,0))))</f>
        <v>0.592478372345679</v>
      </c>
      <c r="V118" s="13" t="s">
        <v>504</v>
      </c>
      <c r="W118" s="19" t="n">
        <v>0.61</v>
      </c>
      <c r="X118" s="18" t="s">
        <v>527</v>
      </c>
      <c r="Y118" s="7"/>
      <c r="Z118" s="7" t="s">
        <v>59</v>
      </c>
      <c r="AA118" s="7" t="s">
        <v>497</v>
      </c>
      <c r="AB118" s="16" t="str">
        <f aca="false">IF(COUNTIFS(Packs!$D$2:$D$70,A118,Packs!$F$2:$F$70,"&gt;0")=0,"",_xlfn.MINIFS(Packs!$F$2:$F$70,Packs!$D$2:$D$70,A118,Packs!$F$2:$F$70,"&gt;0"))</f>
        <v/>
      </c>
      <c r="AC118" s="13" t="n">
        <f aca="false">COUNTIF(Packs!$D$2:$D$70,A118)</f>
        <v>0</v>
      </c>
    </row>
    <row r="119" customFormat="false" ht="15" hidden="false" customHeight="false" outlineLevel="0" collapsed="false">
      <c r="A119" s="7" t="s">
        <v>538</v>
      </c>
      <c r="B119" s="7" t="s">
        <v>522</v>
      </c>
      <c r="C119" s="7" t="s">
        <v>523</v>
      </c>
      <c r="D119" s="7" t="s">
        <v>524</v>
      </c>
      <c r="E119" s="7" t="s">
        <v>525</v>
      </c>
      <c r="F119" s="7" t="s">
        <v>526</v>
      </c>
      <c r="G119" s="7" t="s">
        <v>37</v>
      </c>
      <c r="H119" s="7" t="s">
        <v>36</v>
      </c>
      <c r="I119" s="7" t="s">
        <v>516</v>
      </c>
      <c r="J119" s="7" t="n">
        <v>16</v>
      </c>
      <c r="K119" s="7" t="s">
        <v>494</v>
      </c>
      <c r="L119" s="9" t="n">
        <f aca="false">INDEX(Parámetros!$B$16:$B$23,MATCH(G119,Parámetros!$A$16:$A$23,0))</f>
        <v>52.5</v>
      </c>
      <c r="M119" s="9" t="n">
        <f aca="false">INDEX(Parámetros!$B$16:$B$23,MATCH(IF(H119="",G119,H119),Parámetros!$A$16:$A$23,0))</f>
        <v>40.9</v>
      </c>
      <c r="N119" s="9" t="n">
        <f aca="false">INDEX(Parámetros!$B$16:$B$23,MATCH(IF(H119="",G119,H119),Parámetros!$A$16:$A$23,0))</f>
        <v>40.9</v>
      </c>
      <c r="O119" s="8"/>
      <c r="P119" s="17" t="n">
        <f aca="false">INDEX(Parámetros!$C$16:$C$23,MATCH(G119,Parámetros!$A$16:$A$23,0))</f>
        <v>0.019</v>
      </c>
      <c r="Q119" s="17" t="n">
        <f aca="false">IF(Z119="","",INDEX(Parámetros!$C$27:$C$31,MATCH(Z119,Parámetros!$A$27:$A$31,0))*P119)</f>
        <v>0</v>
      </c>
      <c r="R119" s="11"/>
      <c r="S119" s="17" t="n">
        <f aca="false">(Q119+0.5*(1-(N119/L119)^2)+(1-(N119/M119)^2)^2)*(M119/N119)^4+IF(Z119="",0,INDEX(Parámetros!$E$27:$E$31,MATCH(Z119,Parámetros!$A$27:$A$31,0)))</f>
        <v>0.236542403628118</v>
      </c>
      <c r="T119" s="11"/>
      <c r="U119" s="17" t="n">
        <f aca="false">IF(H119="","",(Q119+0.5*(1-(N119/M119)^2)+(1-(N119/L119)^2)^2)*(M119/N119)^4+IF(Z119="",0,INDEX(Parámetros!$E$27:$E$31,MATCH(Z119,Parámetros!$A$27:$A$31,0))))</f>
        <v>0.194515665695672</v>
      </c>
      <c r="V119" s="13" t="s">
        <v>504</v>
      </c>
      <c r="W119" s="19" t="n">
        <v>0.61</v>
      </c>
      <c r="X119" s="18" t="s">
        <v>527</v>
      </c>
      <c r="Y119" s="7"/>
      <c r="Z119" s="7" t="s">
        <v>59</v>
      </c>
      <c r="AA119" s="7" t="s">
        <v>497</v>
      </c>
      <c r="AB119" s="16" t="str">
        <f aca="false">IF(COUNTIFS(Packs!$D$2:$D$70,A119,Packs!$F$2:$F$70,"&gt;0")=0,"",_xlfn.MINIFS(Packs!$F$2:$F$70,Packs!$D$2:$D$70,A119,Packs!$F$2:$F$70,"&gt;0"))</f>
        <v/>
      </c>
      <c r="AC119" s="13" t="n">
        <f aca="false">COUNTIF(Packs!$D$2:$D$70,A119)</f>
        <v>0</v>
      </c>
    </row>
    <row r="120" customFormat="false" ht="15" hidden="false" customHeight="false" outlineLevel="0" collapsed="false">
      <c r="A120" s="7" t="s">
        <v>539</v>
      </c>
      <c r="B120" s="7" t="s">
        <v>522</v>
      </c>
      <c r="C120" s="7" t="s">
        <v>523</v>
      </c>
      <c r="D120" s="7" t="s">
        <v>524</v>
      </c>
      <c r="E120" s="7" t="s">
        <v>525</v>
      </c>
      <c r="F120" s="7" t="s">
        <v>526</v>
      </c>
      <c r="G120" s="7" t="s">
        <v>38</v>
      </c>
      <c r="H120" s="7" t="s">
        <v>37</v>
      </c>
      <c r="I120" s="7" t="s">
        <v>518</v>
      </c>
      <c r="J120" s="7" t="n">
        <v>16</v>
      </c>
      <c r="K120" s="7" t="s">
        <v>494</v>
      </c>
      <c r="L120" s="9" t="n">
        <f aca="false">INDEX(Parámetros!$B$16:$B$23,MATCH(G120,Parámetros!$A$16:$A$23,0))</f>
        <v>62.7</v>
      </c>
      <c r="M120" s="9" t="n">
        <f aca="false">INDEX(Parámetros!$B$16:$B$23,MATCH(IF(H120="",G120,H120),Parámetros!$A$16:$A$23,0))</f>
        <v>52.5</v>
      </c>
      <c r="N120" s="9" t="n">
        <f aca="false">INDEX(Parámetros!$B$16:$B$23,MATCH(IF(H120="",G120,H120),Parámetros!$A$16:$A$23,0))</f>
        <v>52.5</v>
      </c>
      <c r="O120" s="8"/>
      <c r="P120" s="17" t="n">
        <f aca="false">INDEX(Parámetros!$C$16:$C$23,MATCH(G120,Parámetros!$A$16:$A$23,0))</f>
        <v>0.018</v>
      </c>
      <c r="Q120" s="17" t="n">
        <f aca="false">IF(Z120="","",INDEX(Parámetros!$C$27:$C$31,MATCH(Z120,Parámetros!$A$27:$A$31,0))*P120)</f>
        <v>0</v>
      </c>
      <c r="R120" s="11"/>
      <c r="S120" s="17" t="n">
        <f aca="false">(Q120+0.5*(1-(N120/L120)^2)+(1-(N120/M120)^2)^2)*(M120/N120)^4+IF(Z120="",0,INDEX(Parámetros!$E$27:$E$31,MATCH(Z120,Parámetros!$A$27:$A$31,0)))</f>
        <v>0.189447128041941</v>
      </c>
      <c r="T120" s="11"/>
      <c r="U120" s="17" t="n">
        <f aca="false">IF(H120="","",(Q120+0.5*(1-(N120/M120)^2)+(1-(N120/L120)^2)^2)*(M120/N120)^4+IF(Z120="",0,INDEX(Parámetros!$E$27:$E$31,MATCH(Z120,Parámetros!$A$27:$A$31,0))))</f>
        <v>0.129337776319937</v>
      </c>
      <c r="V120" s="13" t="s">
        <v>504</v>
      </c>
      <c r="W120" s="19" t="n">
        <v>0.61</v>
      </c>
      <c r="X120" s="18" t="s">
        <v>527</v>
      </c>
      <c r="Y120" s="7"/>
      <c r="Z120" s="7" t="s">
        <v>59</v>
      </c>
      <c r="AA120" s="7" t="s">
        <v>497</v>
      </c>
      <c r="AB120" s="16" t="str">
        <f aca="false">IF(COUNTIFS(Packs!$D$2:$D$70,A120,Packs!$F$2:$F$70,"&gt;0")=0,"",_xlfn.MINIFS(Packs!$F$2:$F$70,Packs!$D$2:$D$70,A120,Packs!$F$2:$F$70,"&gt;0"))</f>
        <v/>
      </c>
      <c r="AC120" s="13" t="n">
        <f aca="false">COUNTIF(Packs!$D$2:$D$70,A120)</f>
        <v>0</v>
      </c>
    </row>
    <row r="121" customFormat="false" ht="15" hidden="false" customHeight="false" outlineLevel="0" collapsed="false">
      <c r="A121" s="7" t="s">
        <v>540</v>
      </c>
      <c r="B121" s="7" t="s">
        <v>522</v>
      </c>
      <c r="C121" s="7" t="s">
        <v>523</v>
      </c>
      <c r="D121" s="7" t="s">
        <v>524</v>
      </c>
      <c r="E121" s="7" t="s">
        <v>525</v>
      </c>
      <c r="F121" s="7" t="s">
        <v>526</v>
      </c>
      <c r="G121" s="7" t="s">
        <v>39</v>
      </c>
      <c r="H121" s="7" t="s">
        <v>38</v>
      </c>
      <c r="I121" s="7" t="s">
        <v>520</v>
      </c>
      <c r="J121" s="7" t="n">
        <v>16</v>
      </c>
      <c r="K121" s="7" t="s">
        <v>494</v>
      </c>
      <c r="L121" s="9" t="n">
        <f aca="false">INDEX(Parámetros!$B$16:$B$23,MATCH(G121,Parámetros!$A$16:$A$23,0))</f>
        <v>77.9</v>
      </c>
      <c r="M121" s="9" t="n">
        <f aca="false">INDEX(Parámetros!$B$16:$B$23,MATCH(IF(H121="",G121,H121),Parámetros!$A$16:$A$23,0))</f>
        <v>62.7</v>
      </c>
      <c r="N121" s="9" t="n">
        <f aca="false">INDEX(Parámetros!$B$16:$B$23,MATCH(IF(H121="",G121,H121),Parámetros!$A$16:$A$23,0))</f>
        <v>62.7</v>
      </c>
      <c r="O121" s="8"/>
      <c r="P121" s="17" t="n">
        <f aca="false">INDEX(Parámetros!$C$16:$C$23,MATCH(G121,Parámetros!$A$16:$A$23,0))</f>
        <v>0.018</v>
      </c>
      <c r="Q121" s="17" t="n">
        <f aca="false">IF(Z121="","",INDEX(Parámetros!$C$27:$C$31,MATCH(Z121,Parámetros!$A$27:$A$31,0))*P121)</f>
        <v>0</v>
      </c>
      <c r="R121" s="11"/>
      <c r="S121" s="17" t="n">
        <f aca="false">(Q121+0.5*(1-(N121/L121)^2)+(1-(N121/M121)^2)^2)*(M121/N121)^4+IF(Z121="",0,INDEX(Parámetros!$E$27:$E$31,MATCH(Z121,Parámetros!$A$27:$A$31,0)))</f>
        <v>0.216085663295657</v>
      </c>
      <c r="T121" s="11"/>
      <c r="U121" s="17" t="n">
        <f aca="false">IF(H121="","",(Q121+0.5*(1-(N121/M121)^2)+(1-(N121/L121)^2)^2)*(M121/N121)^4+IF(Z121="",0,INDEX(Parámetros!$E$27:$E$31,MATCH(Z121,Parámetros!$A$27:$A$31,0))))</f>
        <v>0.164024643273087</v>
      </c>
      <c r="V121" s="13" t="s">
        <v>504</v>
      </c>
      <c r="W121" s="19" t="n">
        <v>0.61</v>
      </c>
      <c r="X121" s="18" t="s">
        <v>527</v>
      </c>
      <c r="Y121" s="7"/>
      <c r="Z121" s="7" t="s">
        <v>59</v>
      </c>
      <c r="AA121" s="7" t="s">
        <v>497</v>
      </c>
      <c r="AB121" s="16" t="str">
        <f aca="false">IF(COUNTIFS(Packs!$D$2:$D$70,A121,Packs!$F$2:$F$70,"&gt;0")=0,"",_xlfn.MINIFS(Packs!$F$2:$F$70,Packs!$D$2:$D$70,A121,Packs!$F$2:$F$70,"&gt;0"))</f>
        <v/>
      </c>
      <c r="AC121" s="13" t="n">
        <f aca="false">COUNTIF(Packs!$D$2:$D$70,A121)</f>
        <v>0</v>
      </c>
    </row>
    <row r="122" customFormat="false" ht="15" hidden="false" customHeight="false" outlineLevel="0" collapsed="false">
      <c r="A122" s="7" t="s">
        <v>541</v>
      </c>
      <c r="B122" s="7" t="s">
        <v>542</v>
      </c>
      <c r="C122" s="7" t="s">
        <v>543</v>
      </c>
      <c r="D122" s="7" t="s">
        <v>378</v>
      </c>
      <c r="E122" s="7" t="s">
        <v>544</v>
      </c>
      <c r="F122" s="7" t="s">
        <v>545</v>
      </c>
      <c r="G122" s="7" t="s">
        <v>32</v>
      </c>
      <c r="H122" s="7"/>
      <c r="I122" s="7" t="s">
        <v>32</v>
      </c>
      <c r="J122" s="7" t="n">
        <v>16</v>
      </c>
      <c r="K122" s="7" t="s">
        <v>546</v>
      </c>
      <c r="L122" s="9" t="n">
        <f aca="false">INDEX(Parámetros!$B$16:$B$23,MATCH(G122,Parámetros!$A$16:$A$23,0))</f>
        <v>15.8</v>
      </c>
      <c r="M122" s="9" t="n">
        <f aca="false">INDEX(Parámetros!$B$16:$B$23,MATCH(IF(H122="",G122,H122),Parámetros!$A$16:$A$23,0))</f>
        <v>15.8</v>
      </c>
      <c r="N122" s="9" t="n">
        <f aca="false">INDEX(Parámetros!$B$16:$B$23,MATCH(IF(H122="",G122,H122),Parámetros!$A$16:$A$23,0))</f>
        <v>15.8</v>
      </c>
      <c r="O122" s="8"/>
      <c r="P122" s="17" t="n">
        <f aca="false">INDEX(Parámetros!$C$16:$C$23,MATCH(G122,Parámetros!$A$16:$A$23,0))</f>
        <v>0.027</v>
      </c>
      <c r="Q122" s="17" t="n">
        <f aca="false">IF(Z122="","",INDEX(Parámetros!$C$27:$C$31,MATCH(Z122,Parámetros!$A$27:$A$31,0))*P122)</f>
        <v>0</v>
      </c>
      <c r="R122" s="11"/>
      <c r="S122" s="17" t="n">
        <f aca="false">(Q122+0.5*(1-(N122/L122)^2)+(1-(N122/M122)^2)^2)*(M122/N122)^4+IF(Z122="",0,INDEX(Parámetros!$E$27:$E$31,MATCH(Z122,Parámetros!$A$27:$A$31,0)))</f>
        <v>0.04</v>
      </c>
      <c r="T122" s="11"/>
      <c r="U122" s="17" t="str">
        <f aca="false">IF(H122="","",(Q122+0.5*(1-(N122/M122)^2)+(1-(N122/L122)^2)^2)*(M122/N122)^4+IF(Z122="",0,INDEX(Parámetros!$E$27:$E$31,MATCH(Z122,Parámetros!$A$27:$A$31,0))))</f>
        <v/>
      </c>
      <c r="V122" s="13" t="s">
        <v>495</v>
      </c>
      <c r="W122" s="19" t="n">
        <v>1.06</v>
      </c>
      <c r="X122" s="18" t="s">
        <v>547</v>
      </c>
      <c r="Y122" s="7"/>
      <c r="Z122" s="7" t="s">
        <v>59</v>
      </c>
      <c r="AA122" s="7" t="s">
        <v>497</v>
      </c>
      <c r="AB122" s="16" t="str">
        <f aca="false">IF(COUNTIFS(Packs!$D$2:$D$70,A122,Packs!$F$2:$F$70,"&gt;0")=0,"",_xlfn.MINIFS(Packs!$F$2:$F$70,Packs!$D$2:$D$70,A122,Packs!$F$2:$F$70,"&gt;0"))</f>
        <v/>
      </c>
      <c r="AC122" s="13" t="n">
        <f aca="false">COUNTIF(Packs!$D$2:$D$70,A122)</f>
        <v>0</v>
      </c>
    </row>
    <row r="123" customFormat="false" ht="15" hidden="false" customHeight="false" outlineLevel="0" collapsed="false">
      <c r="A123" s="7" t="s">
        <v>548</v>
      </c>
      <c r="B123" s="7" t="s">
        <v>542</v>
      </c>
      <c r="C123" s="7" t="s">
        <v>543</v>
      </c>
      <c r="D123" s="7" t="s">
        <v>378</v>
      </c>
      <c r="E123" s="7" t="s">
        <v>544</v>
      </c>
      <c r="F123" s="7" t="s">
        <v>545</v>
      </c>
      <c r="G123" s="7" t="s">
        <v>33</v>
      </c>
      <c r="H123" s="7"/>
      <c r="I123" s="7" t="s">
        <v>33</v>
      </c>
      <c r="J123" s="7" t="n">
        <v>16</v>
      </c>
      <c r="K123" s="7" t="s">
        <v>546</v>
      </c>
      <c r="L123" s="9" t="n">
        <f aca="false">INDEX(Parámetros!$B$16:$B$23,MATCH(G123,Parámetros!$A$16:$A$23,0))</f>
        <v>20.9</v>
      </c>
      <c r="M123" s="9" t="n">
        <f aca="false">INDEX(Parámetros!$B$16:$B$23,MATCH(IF(H123="",G123,H123),Parámetros!$A$16:$A$23,0))</f>
        <v>20.9</v>
      </c>
      <c r="N123" s="9" t="n">
        <f aca="false">INDEX(Parámetros!$B$16:$B$23,MATCH(IF(H123="",G123,H123),Parámetros!$A$16:$A$23,0))</f>
        <v>20.9</v>
      </c>
      <c r="O123" s="8"/>
      <c r="P123" s="17" t="n">
        <f aca="false">INDEX(Parámetros!$C$16:$C$23,MATCH(G123,Parámetros!$A$16:$A$23,0))</f>
        <v>0.025</v>
      </c>
      <c r="Q123" s="17" t="n">
        <f aca="false">IF(Z123="","",INDEX(Parámetros!$C$27:$C$31,MATCH(Z123,Parámetros!$A$27:$A$31,0))*P123)</f>
        <v>0</v>
      </c>
      <c r="R123" s="11"/>
      <c r="S123" s="17" t="n">
        <f aca="false">(Q123+0.5*(1-(N123/L123)^2)+(1-(N123/M123)^2)^2)*(M123/N123)^4+IF(Z123="",0,INDEX(Parámetros!$E$27:$E$31,MATCH(Z123,Parámetros!$A$27:$A$31,0)))</f>
        <v>0.04</v>
      </c>
      <c r="T123" s="11"/>
      <c r="U123" s="17" t="str">
        <f aca="false">IF(H123="","",(Q123+0.5*(1-(N123/M123)^2)+(1-(N123/L123)^2)^2)*(M123/N123)^4+IF(Z123="",0,INDEX(Parámetros!$E$27:$E$31,MATCH(Z123,Parámetros!$A$27:$A$31,0))))</f>
        <v/>
      </c>
      <c r="V123" s="13" t="s">
        <v>495</v>
      </c>
      <c r="W123" s="19" t="n">
        <v>1.06</v>
      </c>
      <c r="X123" s="18" t="s">
        <v>547</v>
      </c>
      <c r="Y123" s="7"/>
      <c r="Z123" s="7" t="s">
        <v>59</v>
      </c>
      <c r="AA123" s="7" t="s">
        <v>497</v>
      </c>
      <c r="AB123" s="16" t="str">
        <f aca="false">IF(COUNTIFS(Packs!$D$2:$D$70,A123,Packs!$F$2:$F$70,"&gt;0")=0,"",_xlfn.MINIFS(Packs!$F$2:$F$70,Packs!$D$2:$D$70,A123,Packs!$F$2:$F$70,"&gt;0"))</f>
        <v/>
      </c>
      <c r="AC123" s="13" t="n">
        <f aca="false">COUNTIF(Packs!$D$2:$D$70,A123)</f>
        <v>0</v>
      </c>
    </row>
    <row r="124" customFormat="false" ht="15" hidden="false" customHeight="false" outlineLevel="0" collapsed="false">
      <c r="A124" s="7" t="s">
        <v>549</v>
      </c>
      <c r="B124" s="7" t="s">
        <v>542</v>
      </c>
      <c r="C124" s="7" t="s">
        <v>543</v>
      </c>
      <c r="D124" s="7" t="s">
        <v>378</v>
      </c>
      <c r="E124" s="7" t="s">
        <v>544</v>
      </c>
      <c r="F124" s="7" t="s">
        <v>545</v>
      </c>
      <c r="G124" s="7" t="s">
        <v>34</v>
      </c>
      <c r="H124" s="7"/>
      <c r="I124" s="7" t="s">
        <v>34</v>
      </c>
      <c r="J124" s="7" t="n">
        <v>16</v>
      </c>
      <c r="K124" s="7" t="s">
        <v>546</v>
      </c>
      <c r="L124" s="9" t="n">
        <f aca="false">INDEX(Parámetros!$B$16:$B$23,MATCH(G124,Parámetros!$A$16:$A$23,0))</f>
        <v>26.6</v>
      </c>
      <c r="M124" s="9" t="n">
        <f aca="false">INDEX(Parámetros!$B$16:$B$23,MATCH(IF(H124="",G124,H124),Parámetros!$A$16:$A$23,0))</f>
        <v>26.6</v>
      </c>
      <c r="N124" s="9" t="n">
        <f aca="false">INDEX(Parámetros!$B$16:$B$23,MATCH(IF(H124="",G124,H124),Parámetros!$A$16:$A$23,0))</f>
        <v>26.6</v>
      </c>
      <c r="O124" s="8"/>
      <c r="P124" s="17" t="n">
        <f aca="false">INDEX(Parámetros!$C$16:$C$23,MATCH(G124,Parámetros!$A$16:$A$23,0))</f>
        <v>0.023</v>
      </c>
      <c r="Q124" s="17" t="n">
        <f aca="false">IF(Z124="","",INDEX(Parámetros!$C$27:$C$31,MATCH(Z124,Parámetros!$A$27:$A$31,0))*P124)</f>
        <v>0</v>
      </c>
      <c r="R124" s="11"/>
      <c r="S124" s="17" t="n">
        <f aca="false">(Q124+0.5*(1-(N124/L124)^2)+(1-(N124/M124)^2)^2)*(M124/N124)^4+IF(Z124="",0,INDEX(Parámetros!$E$27:$E$31,MATCH(Z124,Parámetros!$A$27:$A$31,0)))</f>
        <v>0.04</v>
      </c>
      <c r="T124" s="11"/>
      <c r="U124" s="17" t="str">
        <f aca="false">IF(H124="","",(Q124+0.5*(1-(N124/M124)^2)+(1-(N124/L124)^2)^2)*(M124/N124)^4+IF(Z124="",0,INDEX(Parámetros!$E$27:$E$31,MATCH(Z124,Parámetros!$A$27:$A$31,0))))</f>
        <v/>
      </c>
      <c r="V124" s="13" t="s">
        <v>495</v>
      </c>
      <c r="W124" s="19" t="n">
        <v>1.06</v>
      </c>
      <c r="X124" s="18" t="s">
        <v>547</v>
      </c>
      <c r="Y124" s="7"/>
      <c r="Z124" s="7" t="s">
        <v>59</v>
      </c>
      <c r="AA124" s="7" t="s">
        <v>497</v>
      </c>
      <c r="AB124" s="16" t="str">
        <f aca="false">IF(COUNTIFS(Packs!$D$2:$D$70,A124,Packs!$F$2:$F$70,"&gt;0")=0,"",_xlfn.MINIFS(Packs!$F$2:$F$70,Packs!$D$2:$D$70,A124,Packs!$F$2:$F$70,"&gt;0"))</f>
        <v/>
      </c>
      <c r="AC124" s="13" t="n">
        <f aca="false">COUNTIF(Packs!$D$2:$D$70,A124)</f>
        <v>0</v>
      </c>
    </row>
    <row r="125" customFormat="false" ht="15" hidden="false" customHeight="false" outlineLevel="0" collapsed="false">
      <c r="A125" s="7" t="s">
        <v>550</v>
      </c>
      <c r="B125" s="7" t="s">
        <v>542</v>
      </c>
      <c r="C125" s="7" t="s">
        <v>543</v>
      </c>
      <c r="D125" s="7" t="s">
        <v>378</v>
      </c>
      <c r="E125" s="7" t="s">
        <v>544</v>
      </c>
      <c r="F125" s="7" t="s">
        <v>545</v>
      </c>
      <c r="G125" s="7" t="s">
        <v>35</v>
      </c>
      <c r="H125" s="7"/>
      <c r="I125" s="7" t="s">
        <v>35</v>
      </c>
      <c r="J125" s="7" t="n">
        <v>16</v>
      </c>
      <c r="K125" s="7" t="s">
        <v>546</v>
      </c>
      <c r="L125" s="9" t="n">
        <f aca="false">INDEX(Parámetros!$B$16:$B$23,MATCH(G125,Parámetros!$A$16:$A$23,0))</f>
        <v>35.1</v>
      </c>
      <c r="M125" s="9" t="n">
        <f aca="false">INDEX(Parámetros!$B$16:$B$23,MATCH(IF(H125="",G125,H125),Parámetros!$A$16:$A$23,0))</f>
        <v>35.1</v>
      </c>
      <c r="N125" s="9" t="n">
        <f aca="false">INDEX(Parámetros!$B$16:$B$23,MATCH(IF(H125="",G125,H125),Parámetros!$A$16:$A$23,0))</f>
        <v>35.1</v>
      </c>
      <c r="O125" s="8"/>
      <c r="P125" s="17" t="n">
        <f aca="false">INDEX(Parámetros!$C$16:$C$23,MATCH(G125,Parámetros!$A$16:$A$23,0))</f>
        <v>0.022</v>
      </c>
      <c r="Q125" s="17" t="n">
        <f aca="false">IF(Z125="","",INDEX(Parámetros!$C$27:$C$31,MATCH(Z125,Parámetros!$A$27:$A$31,0))*P125)</f>
        <v>0</v>
      </c>
      <c r="R125" s="11"/>
      <c r="S125" s="17" t="n">
        <f aca="false">(Q125+0.5*(1-(N125/L125)^2)+(1-(N125/M125)^2)^2)*(M125/N125)^4+IF(Z125="",0,INDEX(Parámetros!$E$27:$E$31,MATCH(Z125,Parámetros!$A$27:$A$31,0)))</f>
        <v>0.04</v>
      </c>
      <c r="T125" s="11"/>
      <c r="U125" s="17" t="str">
        <f aca="false">IF(H125="","",(Q125+0.5*(1-(N125/M125)^2)+(1-(N125/L125)^2)^2)*(M125/N125)^4+IF(Z125="",0,INDEX(Parámetros!$E$27:$E$31,MATCH(Z125,Parámetros!$A$27:$A$31,0))))</f>
        <v/>
      </c>
      <c r="V125" s="13" t="s">
        <v>495</v>
      </c>
      <c r="W125" s="19" t="n">
        <v>1.06</v>
      </c>
      <c r="X125" s="18" t="s">
        <v>547</v>
      </c>
      <c r="Y125" s="7"/>
      <c r="Z125" s="7" t="s">
        <v>59</v>
      </c>
      <c r="AA125" s="7" t="s">
        <v>497</v>
      </c>
      <c r="AB125" s="16" t="str">
        <f aca="false">IF(COUNTIFS(Packs!$D$2:$D$70,A125,Packs!$F$2:$F$70,"&gt;0")=0,"",_xlfn.MINIFS(Packs!$F$2:$F$70,Packs!$D$2:$D$70,A125,Packs!$F$2:$F$70,"&gt;0"))</f>
        <v/>
      </c>
      <c r="AC125" s="13" t="n">
        <f aca="false">COUNTIF(Packs!$D$2:$D$70,A125)</f>
        <v>0</v>
      </c>
    </row>
    <row r="126" customFormat="false" ht="15" hidden="false" customHeight="false" outlineLevel="0" collapsed="false">
      <c r="A126" s="7" t="s">
        <v>551</v>
      </c>
      <c r="B126" s="7" t="s">
        <v>542</v>
      </c>
      <c r="C126" s="7" t="s">
        <v>543</v>
      </c>
      <c r="D126" s="7" t="s">
        <v>378</v>
      </c>
      <c r="E126" s="7" t="s">
        <v>544</v>
      </c>
      <c r="F126" s="7" t="s">
        <v>545</v>
      </c>
      <c r="G126" s="7" t="s">
        <v>36</v>
      </c>
      <c r="H126" s="7"/>
      <c r="I126" s="7" t="s">
        <v>36</v>
      </c>
      <c r="J126" s="7" t="n">
        <v>16</v>
      </c>
      <c r="K126" s="7" t="s">
        <v>546</v>
      </c>
      <c r="L126" s="9" t="n">
        <f aca="false">INDEX(Parámetros!$B$16:$B$23,MATCH(G126,Parámetros!$A$16:$A$23,0))</f>
        <v>40.9</v>
      </c>
      <c r="M126" s="9" t="n">
        <f aca="false">INDEX(Parámetros!$B$16:$B$23,MATCH(IF(H126="",G126,H126),Parámetros!$A$16:$A$23,0))</f>
        <v>40.9</v>
      </c>
      <c r="N126" s="9" t="n">
        <f aca="false">INDEX(Parámetros!$B$16:$B$23,MATCH(IF(H126="",G126,H126),Parámetros!$A$16:$A$23,0))</f>
        <v>40.9</v>
      </c>
      <c r="O126" s="8"/>
      <c r="P126" s="17" t="n">
        <f aca="false">INDEX(Parámetros!$C$16:$C$23,MATCH(G126,Parámetros!$A$16:$A$23,0))</f>
        <v>0.021</v>
      </c>
      <c r="Q126" s="17" t="n">
        <f aca="false">IF(Z126="","",INDEX(Parámetros!$C$27:$C$31,MATCH(Z126,Parámetros!$A$27:$A$31,0))*P126)</f>
        <v>0</v>
      </c>
      <c r="R126" s="11"/>
      <c r="S126" s="17" t="n">
        <f aca="false">(Q126+0.5*(1-(N126/L126)^2)+(1-(N126/M126)^2)^2)*(M126/N126)^4+IF(Z126="",0,INDEX(Parámetros!$E$27:$E$31,MATCH(Z126,Parámetros!$A$27:$A$31,0)))</f>
        <v>0.04</v>
      </c>
      <c r="T126" s="11"/>
      <c r="U126" s="17" t="str">
        <f aca="false">IF(H126="","",(Q126+0.5*(1-(N126/M126)^2)+(1-(N126/L126)^2)^2)*(M126/N126)^4+IF(Z126="",0,INDEX(Parámetros!$E$27:$E$31,MATCH(Z126,Parámetros!$A$27:$A$31,0))))</f>
        <v/>
      </c>
      <c r="V126" s="13" t="s">
        <v>495</v>
      </c>
      <c r="W126" s="19" t="n">
        <v>1.06</v>
      </c>
      <c r="X126" s="18" t="s">
        <v>547</v>
      </c>
      <c r="Y126" s="7"/>
      <c r="Z126" s="7" t="s">
        <v>59</v>
      </c>
      <c r="AA126" s="7" t="s">
        <v>497</v>
      </c>
      <c r="AB126" s="16" t="str">
        <f aca="false">IF(COUNTIFS(Packs!$D$2:$D$70,A126,Packs!$F$2:$F$70,"&gt;0")=0,"",_xlfn.MINIFS(Packs!$F$2:$F$70,Packs!$D$2:$D$70,A126,Packs!$F$2:$F$70,"&gt;0"))</f>
        <v/>
      </c>
      <c r="AC126" s="13" t="n">
        <f aca="false">COUNTIF(Packs!$D$2:$D$70,A126)</f>
        <v>0</v>
      </c>
    </row>
    <row r="127" customFormat="false" ht="15" hidden="false" customHeight="false" outlineLevel="0" collapsed="false">
      <c r="A127" s="7" t="s">
        <v>552</v>
      </c>
      <c r="B127" s="7" t="s">
        <v>542</v>
      </c>
      <c r="C127" s="7" t="s">
        <v>543</v>
      </c>
      <c r="D127" s="7" t="s">
        <v>378</v>
      </c>
      <c r="E127" s="7" t="s">
        <v>544</v>
      </c>
      <c r="F127" s="7" t="s">
        <v>545</v>
      </c>
      <c r="G127" s="7" t="s">
        <v>37</v>
      </c>
      <c r="H127" s="7"/>
      <c r="I127" s="7" t="s">
        <v>37</v>
      </c>
      <c r="J127" s="7" t="n">
        <v>16</v>
      </c>
      <c r="K127" s="7" t="s">
        <v>546</v>
      </c>
      <c r="L127" s="9" t="n">
        <f aca="false">INDEX(Parámetros!$B$16:$B$23,MATCH(G127,Parámetros!$A$16:$A$23,0))</f>
        <v>52.5</v>
      </c>
      <c r="M127" s="9" t="n">
        <f aca="false">INDEX(Parámetros!$B$16:$B$23,MATCH(IF(H127="",G127,H127),Parámetros!$A$16:$A$23,0))</f>
        <v>52.5</v>
      </c>
      <c r="N127" s="9" t="n">
        <f aca="false">INDEX(Parámetros!$B$16:$B$23,MATCH(IF(H127="",G127,H127),Parámetros!$A$16:$A$23,0))</f>
        <v>52.5</v>
      </c>
      <c r="O127" s="8"/>
      <c r="P127" s="17" t="n">
        <f aca="false">INDEX(Parámetros!$C$16:$C$23,MATCH(G127,Parámetros!$A$16:$A$23,0))</f>
        <v>0.019</v>
      </c>
      <c r="Q127" s="17" t="n">
        <f aca="false">IF(Z127="","",INDEX(Parámetros!$C$27:$C$31,MATCH(Z127,Parámetros!$A$27:$A$31,0))*P127)</f>
        <v>0</v>
      </c>
      <c r="R127" s="11"/>
      <c r="S127" s="17" t="n">
        <f aca="false">(Q127+0.5*(1-(N127/L127)^2)+(1-(N127/M127)^2)^2)*(M127/N127)^4+IF(Z127="",0,INDEX(Parámetros!$E$27:$E$31,MATCH(Z127,Parámetros!$A$27:$A$31,0)))</f>
        <v>0.04</v>
      </c>
      <c r="T127" s="11"/>
      <c r="U127" s="17" t="str">
        <f aca="false">IF(H127="","",(Q127+0.5*(1-(N127/M127)^2)+(1-(N127/L127)^2)^2)*(M127/N127)^4+IF(Z127="",0,INDEX(Parámetros!$E$27:$E$31,MATCH(Z127,Parámetros!$A$27:$A$31,0))))</f>
        <v/>
      </c>
      <c r="V127" s="13" t="s">
        <v>495</v>
      </c>
      <c r="W127" s="19" t="n">
        <v>1.06</v>
      </c>
      <c r="X127" s="18" t="s">
        <v>547</v>
      </c>
      <c r="Y127" s="7"/>
      <c r="Z127" s="7" t="s">
        <v>59</v>
      </c>
      <c r="AA127" s="7" t="s">
        <v>497</v>
      </c>
      <c r="AB127" s="16" t="str">
        <f aca="false">IF(COUNTIFS(Packs!$D$2:$D$70,A127,Packs!$F$2:$F$70,"&gt;0")=0,"",_xlfn.MINIFS(Packs!$F$2:$F$70,Packs!$D$2:$D$70,A127,Packs!$F$2:$F$70,"&gt;0"))</f>
        <v/>
      </c>
      <c r="AC127" s="13" t="n">
        <f aca="false">COUNTIF(Packs!$D$2:$D$70,A127)</f>
        <v>0</v>
      </c>
    </row>
    <row r="128" customFormat="false" ht="15" hidden="false" customHeight="false" outlineLevel="0" collapsed="false">
      <c r="A128" s="7" t="s">
        <v>553</v>
      </c>
      <c r="B128" s="7" t="s">
        <v>554</v>
      </c>
      <c r="C128" s="7" t="s">
        <v>555</v>
      </c>
      <c r="D128" s="7" t="s">
        <v>378</v>
      </c>
      <c r="E128" s="7" t="s">
        <v>556</v>
      </c>
      <c r="F128" s="7" t="s">
        <v>557</v>
      </c>
      <c r="G128" s="7" t="s">
        <v>34</v>
      </c>
      <c r="H128" s="7"/>
      <c r="I128" s="7" t="s">
        <v>34</v>
      </c>
      <c r="J128" s="7"/>
      <c r="K128" s="7" t="s">
        <v>558</v>
      </c>
      <c r="L128" s="9" t="n">
        <f aca="false">INDEX(Parámetros!$B$16:$B$23,MATCH(G128,Parámetros!$A$16:$A$23,0))</f>
        <v>26.6</v>
      </c>
      <c r="M128" s="9" t="n">
        <f aca="false">INDEX(Parámetros!$B$16:$B$23,MATCH(IF(H128="",G128,H128),Parámetros!$A$16:$A$23,0))</f>
        <v>26.6</v>
      </c>
      <c r="N128" s="9" t="n">
        <f aca="false">INDEX(Parámetros!$B$16:$B$23,MATCH(IF(H128="",G128,H128),Parámetros!$A$16:$A$23,0))</f>
        <v>26.6</v>
      </c>
      <c r="O128" s="8"/>
      <c r="P128" s="17" t="n">
        <f aca="false">INDEX(Parámetros!$C$16:$C$23,MATCH(G128,Parámetros!$A$16:$A$23,0))</f>
        <v>0.023</v>
      </c>
      <c r="Q128" s="17" t="n">
        <f aca="false">IF(Z128="","",INDEX(Parámetros!$C$27:$C$31,MATCH(Z128,Parámetros!$A$27:$A$31,0))*P128)</f>
        <v>0</v>
      </c>
      <c r="R128" s="11"/>
      <c r="S128" s="11" t="n">
        <v>0.5</v>
      </c>
      <c r="T128" s="11"/>
      <c r="U128" s="11" t="n">
        <v>1</v>
      </c>
      <c r="V128" s="13" t="s">
        <v>559</v>
      </c>
      <c r="W128" s="19" t="n">
        <v>10.7</v>
      </c>
      <c r="X128" s="18" t="s">
        <v>560</v>
      </c>
      <c r="Y128" s="7" t="s">
        <v>561</v>
      </c>
      <c r="Z128" s="7" t="s">
        <v>62</v>
      </c>
      <c r="AA128" s="7" t="s">
        <v>497</v>
      </c>
      <c r="AB128" s="16" t="str">
        <f aca="false">IF(COUNTIFS(Packs!$D$2:$D$70,A128,Packs!$F$2:$F$70,"&gt;0")=0,"",_xlfn.MINIFS(Packs!$F$2:$F$70,Packs!$D$2:$D$70,A128,Packs!$F$2:$F$70,"&gt;0"))</f>
        <v/>
      </c>
      <c r="AC128" s="13" t="n">
        <f aca="false">COUNTIF(Packs!$D$2:$D$70,A128)</f>
        <v>0</v>
      </c>
    </row>
    <row r="129" customFormat="false" ht="15" hidden="false" customHeight="false" outlineLevel="0" collapsed="false">
      <c r="A129" s="7" t="s">
        <v>562</v>
      </c>
      <c r="B129" s="7" t="s">
        <v>563</v>
      </c>
      <c r="C129" s="7" t="s">
        <v>555</v>
      </c>
      <c r="D129" s="7" t="s">
        <v>378</v>
      </c>
      <c r="E129" s="7" t="s">
        <v>564</v>
      </c>
      <c r="F129" s="7" t="s">
        <v>565</v>
      </c>
      <c r="G129" s="7" t="s">
        <v>34</v>
      </c>
      <c r="H129" s="7"/>
      <c r="I129" s="7" t="s">
        <v>34</v>
      </c>
      <c r="J129" s="7"/>
      <c r="K129" s="7" t="s">
        <v>558</v>
      </c>
      <c r="L129" s="9" t="n">
        <f aca="false">INDEX(Parámetros!$B$16:$B$23,MATCH(G129,Parámetros!$A$16:$A$23,0))</f>
        <v>26.6</v>
      </c>
      <c r="M129" s="9" t="n">
        <f aca="false">INDEX(Parámetros!$B$16:$B$23,MATCH(IF(H129="",G129,H129),Parámetros!$A$16:$A$23,0))</f>
        <v>26.6</v>
      </c>
      <c r="N129" s="9" t="n">
        <f aca="false">INDEX(Parámetros!$B$16:$B$23,MATCH(IF(H129="",G129,H129),Parámetros!$A$16:$A$23,0))</f>
        <v>26.6</v>
      </c>
      <c r="O129" s="8"/>
      <c r="P129" s="17" t="n">
        <f aca="false">INDEX(Parámetros!$C$16:$C$23,MATCH(G129,Parámetros!$A$16:$A$23,0))</f>
        <v>0.023</v>
      </c>
      <c r="Q129" s="17" t="n">
        <f aca="false">IF(Z129="","",INDEX(Parámetros!$C$27:$C$31,MATCH(Z129,Parámetros!$A$27:$A$31,0))*P129)</f>
        <v>0</v>
      </c>
      <c r="R129" s="11"/>
      <c r="S129" s="11" t="n">
        <v>0.5</v>
      </c>
      <c r="T129" s="11"/>
      <c r="U129" s="11" t="n">
        <v>1</v>
      </c>
      <c r="V129" s="13" t="s">
        <v>559</v>
      </c>
      <c r="W129" s="19" t="n">
        <v>13.41</v>
      </c>
      <c r="X129" s="18" t="s">
        <v>566</v>
      </c>
      <c r="Y129" s="7" t="s">
        <v>567</v>
      </c>
      <c r="Z129" s="7" t="s">
        <v>62</v>
      </c>
      <c r="AA129" s="7" t="s">
        <v>497</v>
      </c>
      <c r="AB129" s="16" t="str">
        <f aca="false">IF(COUNTIFS(Packs!$D$2:$D$70,A129,Packs!$F$2:$F$70,"&gt;0")=0,"",_xlfn.MINIFS(Packs!$F$2:$F$70,Packs!$D$2:$D$70,A129,Packs!$F$2:$F$70,"&gt;0"))</f>
        <v/>
      </c>
      <c r="AC129" s="13" t="n">
        <f aca="false">COUNTIF(Packs!$D$2:$D$70,A129)</f>
        <v>0</v>
      </c>
    </row>
  </sheetData>
  <autoFilter ref="A1:AC129"/>
  <hyperlinks>
    <hyperlink ref="X2" r:id="rId1" display="https://latiendadeljardin.com/es/piezas-de-polietileno/443-663-manguito-igual-pe.html"/>
    <hyperlink ref="X3" r:id="rId2" display="https://latiendadeljardin.com/es/piezas-de-polietileno/443-663-manguito-igual-pe.html"/>
    <hyperlink ref="X4" r:id="rId3" display="https://latiendadeljardin.com/es/piezas-de-polietileno/443-663-manguito-igual-pe.html"/>
    <hyperlink ref="X5" r:id="rId4" display="https://latiendadeljardin.com/es/piezas-de-polietileno/443-663-manguito-igual-pe.html"/>
    <hyperlink ref="X6" r:id="rId5" display="https://latiendadeljardin.com/es/piezas-de-polietileno/443-663-manguito-igual-pe.html"/>
    <hyperlink ref="X7" r:id="rId6" display="https://latiendadeljardin.com/es/piezas-de-polietileno/443-663-manguito-igual-pe.html"/>
    <hyperlink ref="X8" r:id="rId7" display="https://latiendadeljardin.com/es/piezas-de-polietileno/443-663-manguito-igual-pe.html"/>
    <hyperlink ref="X9" r:id="rId8" display="https://latiendadeljardin.com/es/piezas-de-polietileno/443-663-manguito-igual-pe.html"/>
    <hyperlink ref="X10" r:id="rId9" display="https://latiendadeljardin.com/es/piezas-de-polietileno/444-679-manguito-reducido-pe.html"/>
    <hyperlink ref="X11" r:id="rId10" display="https://latiendadeljardin.com/es/piezas-de-polietileno/444-679-manguito-reducido-pe.html"/>
    <hyperlink ref="X12" r:id="rId11" display="https://latiendadeljardin.com/es/piezas-de-polietileno/444-679-manguito-reducido-pe.html"/>
    <hyperlink ref="X13" r:id="rId12" display="https://latiendadeljardin.com/es/piezas-de-polietileno/444-679-manguito-reducido-pe.html"/>
    <hyperlink ref="X14" r:id="rId13" display="https://latiendadeljardin.com/es/piezas-de-polietileno/444-679-manguito-reducido-pe.html"/>
    <hyperlink ref="X15" r:id="rId14" display="https://latiendadeljardin.com/es/piezas-de-polietileno/444-679-manguito-reducido-pe.html"/>
    <hyperlink ref="X16" r:id="rId15" display="https://latiendadeljardin.com/es/piezas-de-polietileno/444-679-manguito-reducido-pe.html"/>
    <hyperlink ref="X17" r:id="rId16" display="https://latiendadeljardin.com/es/piezas-de-polietileno/445-693-enlace-hembra-pe.html"/>
    <hyperlink ref="X18" r:id="rId17" display="https://latiendadeljardin.com/es/piezas-de-polietileno/445-693-enlace-hembra-pe.html"/>
    <hyperlink ref="X19" r:id="rId18" display="https://latiendadeljardin.com/es/piezas-de-polietileno/445-693-enlace-hembra-pe.html"/>
    <hyperlink ref="X20" r:id="rId19" display="https://latiendadeljardin.com/es/piezas-de-polietileno/445-693-enlace-hembra-pe.html"/>
    <hyperlink ref="X21" r:id="rId20" display="https://latiendadeljardin.com/es/piezas-de-polietileno/445-693-enlace-hembra-pe.html"/>
    <hyperlink ref="X22" r:id="rId21" display="https://latiendadeljardin.com/es/piezas-de-polietileno/445-693-enlace-hembra-pe.html"/>
    <hyperlink ref="X23" r:id="rId22" display="https://latiendadeljardin.com/es/piezas-de-polietileno/445-693-enlace-hembra-pe.html"/>
    <hyperlink ref="X24" r:id="rId23" display="https://latiendadeljardin.com/es/piezas-de-polietileno/445-693-enlace-hembra-pe.html"/>
    <hyperlink ref="X25" r:id="rId24" display="https://latiendadeljardin.com/es/piezas-de-polietileno/446-701-enlace-macho-pe.html"/>
    <hyperlink ref="X26" r:id="rId25" display="https://latiendadeljardin.com/es/piezas-de-polietileno/446-701-enlace-macho-pe.html"/>
    <hyperlink ref="X27" r:id="rId26" display="https://latiendadeljardin.com/es/piezas-de-polietileno/446-701-enlace-macho-pe.html"/>
    <hyperlink ref="X28" r:id="rId27" display="https://latiendadeljardin.com/es/piezas-de-polietileno/446-701-enlace-macho-pe.html"/>
    <hyperlink ref="X29" r:id="rId28" display="https://latiendadeljardin.com/es/piezas-de-polietileno/446-701-enlace-macho-pe.html"/>
    <hyperlink ref="X30" r:id="rId29" display="https://latiendadeljardin.com/es/piezas-de-polietileno/446-701-enlace-macho-pe.html"/>
    <hyperlink ref="X31" r:id="rId30" display="https://latiendadeljardin.com/es/piezas-de-polietileno/446-701-enlace-macho-pe.html"/>
    <hyperlink ref="X32" r:id="rId31" display="https://latiendadeljardin.com/es/piezas-de-polietileno/446-701-enlace-macho-pe.html"/>
    <hyperlink ref="X33" r:id="rId32" display="https://latiendadeljardin.com/es/piezas-de-polietileno/447-709-Codo-igual-pe.html"/>
    <hyperlink ref="X34" r:id="rId33" display="https://latiendadeljardin.com/es/piezas-de-polietileno/447-709-Codo-igual-pe.html"/>
    <hyperlink ref="X35" r:id="rId34" display="https://latiendadeljardin.com/es/piezas-de-polietileno/447-709-Codo-igual-pe.html"/>
    <hyperlink ref="X36" r:id="rId35" display="https://latiendadeljardin.com/es/piezas-de-polietileno/447-709-Codo-igual-pe.html"/>
    <hyperlink ref="X37" r:id="rId36" display="https://latiendadeljardin.com/es/piezas-de-polietileno/447-709-Codo-igual-pe.html"/>
    <hyperlink ref="X38" r:id="rId37" display="https://latiendadeljardin.com/es/piezas-de-polietileno/447-709-Codo-igual-pe.html"/>
    <hyperlink ref="X39" r:id="rId38" display="https://latiendadeljardin.com/es/piezas-de-polietileno/447-709-Codo-igual-pe.html"/>
    <hyperlink ref="X40" r:id="rId39" display="https://latiendadeljardin.com/es/piezas-de-polietileno/447-709-Codo-igual-pe.html"/>
    <hyperlink ref="X41" r:id="rId40" display="https://latiendadeljardin.com/es/piezas-de-polietileno/448-717-codo-hembra-pe.html"/>
    <hyperlink ref="X42" r:id="rId41" display="https://latiendadeljardin.com/es/piezas-de-polietileno/448-717-codo-hembra-pe.html"/>
    <hyperlink ref="X43" r:id="rId42" display="https://latiendadeljardin.com/es/piezas-de-polietileno/448-717-codo-hembra-pe.html"/>
    <hyperlink ref="X44" r:id="rId43" display="https://latiendadeljardin.com/es/piezas-de-polietileno/448-717-codo-hembra-pe.html"/>
    <hyperlink ref="X45" r:id="rId44" display="https://latiendadeljardin.com/es/piezas-de-polietileno/448-717-codo-hembra-pe.html"/>
    <hyperlink ref="X46" r:id="rId45" display="https://latiendadeljardin.com/es/piezas-de-polietileno/448-717-codo-hembra-pe.html"/>
    <hyperlink ref="X47" r:id="rId46" display="https://latiendadeljardin.com/es/piezas-de-polietileno/448-717-codo-hembra-pe.html"/>
    <hyperlink ref="X48" r:id="rId47" display="https://latiendadeljardin.com/es/piezas-de-polietileno/448-717-codo-hembra-pe.html"/>
    <hyperlink ref="X49" r:id="rId48" display="https://latiendadeljardin.com/es/piezas-de-polietileno/449-725-codo-macho-pe.html"/>
    <hyperlink ref="X50" r:id="rId49" display="https://latiendadeljardin.com/es/piezas-de-polietileno/449-725-codo-macho-pe.html"/>
    <hyperlink ref="X51" r:id="rId50" display="https://latiendadeljardin.com/es/piezas-de-polietileno/449-725-codo-macho-pe.html"/>
    <hyperlink ref="X52" r:id="rId51" display="https://latiendadeljardin.com/es/piezas-de-polietileno/449-725-codo-macho-pe.html"/>
    <hyperlink ref="X53" r:id="rId52" display="https://latiendadeljardin.com/es/piezas-de-polietileno/449-725-codo-macho-pe.html"/>
    <hyperlink ref="X54" r:id="rId53" display="https://latiendadeljardin.com/es/piezas-de-polietileno/449-725-codo-macho-pe.html"/>
    <hyperlink ref="X55" r:id="rId54" display="https://latiendadeljardin.com/es/piezas-de-polietileno/450-733-Te-igual-pe.html"/>
    <hyperlink ref="X56" r:id="rId55" display="https://latiendadeljardin.com/es/piezas-de-polietileno/450-733-Te-igual-pe.html"/>
    <hyperlink ref="X57" r:id="rId56" display="https://latiendadeljardin.com/es/piezas-de-polietileno/450-733-Te-igual-pe.html"/>
    <hyperlink ref="X58" r:id="rId57" display="https://latiendadeljardin.com/es/piezas-de-polietileno/450-733-Te-igual-pe.html"/>
    <hyperlink ref="X59" r:id="rId58" display="https://latiendadeljardin.com/es/piezas-de-polietileno/450-733-Te-igual-pe.html"/>
    <hyperlink ref="X60" r:id="rId59" display="https://latiendadeljardin.com/es/piezas-de-polietileno/450-733-Te-igual-pe.html"/>
    <hyperlink ref="X61" r:id="rId60" display="https://latiendadeljardin.com/es/piezas-de-polietileno/450-733-Te-igual-pe.html"/>
    <hyperlink ref="X62" r:id="rId61" display="https://latiendadeljardin.com/es/piezas-de-polietileno/450-733-Te-igual-pe.html"/>
    <hyperlink ref="X63" r:id="rId62" display="https://latiendadeljardin.com/es/piezas-de-polietileno/451-740-te-reducida-pe.html"/>
    <hyperlink ref="X64" r:id="rId63" display="https://latiendadeljardin.com/es/piezas-de-polietileno/451-740-te-reducida-pe.html"/>
    <hyperlink ref="X65" r:id="rId64" display="https://latiendadeljardin.com/es/piezas-de-polietileno/451-740-te-reducida-pe.html"/>
    <hyperlink ref="X66" r:id="rId65" display="https://latiendadeljardin.com/es/piezas-de-polietileno/451-740-te-reducida-pe.html"/>
    <hyperlink ref="X67" r:id="rId66" display="https://latiendadeljardin.com/es/piezas-de-polietileno/451-740-te-reducida-pe.html"/>
    <hyperlink ref="X68" r:id="rId67" display="https://latiendadeljardin.com/es/piezas-de-polietileno/452-748-Te-hembra-pe.html"/>
    <hyperlink ref="X69" r:id="rId68" display="https://latiendadeljardin.com/es/piezas-de-polietileno/452-748-Te-hembra-pe.html"/>
    <hyperlink ref="X70" r:id="rId69" display="https://latiendadeljardin.com/es/piezas-de-polietileno/452-748-Te-hembra-pe.html"/>
    <hyperlink ref="X71" r:id="rId70" display="https://latiendadeljardin.com/es/piezas-de-polietileno/452-748-Te-hembra-pe.html"/>
    <hyperlink ref="X72" r:id="rId71" display="https://latiendadeljardin.com/es/piezas-de-polietileno/452-748-Te-hembra-pe.html"/>
    <hyperlink ref="X73" r:id="rId72" display="https://latiendadeljardin.com/es/piezas-de-polietileno/452-748-Te-hembra-pe.html"/>
    <hyperlink ref="X74" r:id="rId73" display="https://latiendadeljardin.com/es/piezas-de-polietileno/452-748-Te-hembra-pe.html"/>
    <hyperlink ref="X75" r:id="rId74" display="https://latiendadeljardin.com/es/piezas-de-polietileno/452-748-Te-hembra-pe.html"/>
    <hyperlink ref="X76" r:id="rId75" display="https://latiendadeljardin.com/es/piezas-de-polietileno/453-756-Te-macho-pe.html"/>
    <hyperlink ref="X77" r:id="rId76" display="https://latiendadeljardin.com/es/piezas-de-polietileno/453-756-Te-macho-pe.html"/>
    <hyperlink ref="X78" r:id="rId77" display="https://latiendadeljardin.com/es/piezas-de-polietileno/453-756-Te-macho-pe.html"/>
    <hyperlink ref="X79" r:id="rId78" display="https://latiendadeljardin.com/es/piezas-de-polietileno/453-756-Te-macho-pe.html"/>
    <hyperlink ref="X80" r:id="rId79" display="https://latiendadeljardin.com/es/piezas-de-polietileno/453-756-Te-macho-pe.html"/>
    <hyperlink ref="X81" r:id="rId80" display="https://latiendadeljardin.com/es/piezas-de-polietileno/453-756-Te-macho-pe.html"/>
    <hyperlink ref="X82" r:id="rId81" display="https://latiendadeljardin.com/es/piezas-de-polietileno/454-764-tapon-final-pe.html"/>
    <hyperlink ref="X83" r:id="rId82" display="https://latiendadeljardin.com/es/piezas-de-polietileno/454-764-tapon-final-pe.html"/>
    <hyperlink ref="X84" r:id="rId83" display="https://latiendadeljardin.com/es/piezas-de-polietileno/454-764-tapon-final-pe.html"/>
    <hyperlink ref="X85" r:id="rId84" display="https://latiendadeljardin.com/es/piezas-de-polietileno/454-764-tapon-final-pe.html"/>
    <hyperlink ref="X86" r:id="rId85" display="https://latiendadeljardin.com/es/piezas-de-polietileno/454-764-tapon-final-pe.html"/>
    <hyperlink ref="X87" r:id="rId86" display="https://latiendadeljardin.com/es/piezas-de-polietileno/454-764-tapon-final-pe.html"/>
    <hyperlink ref="X88" r:id="rId87" display="https://latiendadeljardin.com/es/piezas-de-polietileno/454-764-tapon-final-pe.html"/>
    <hyperlink ref="X89" r:id="rId88" display="https://latiendadeljardin.com/es/piezas-de-polietileno/454-764-tapon-final-pe.html"/>
    <hyperlink ref="X90" r:id="rId89" display="https://latiendadeljardin.com/es/piezas-de-polietileno/455-772-codo-grifo-pe.html"/>
    <hyperlink ref="X91" r:id="rId90" display="https://latiendadeljardin.com/es/piezas-de-polietileno/455-772-codo-grifo-pe.html"/>
    <hyperlink ref="X92" r:id="rId91" display="https://latiendadeljardin.com/es/piezas-de-polietileno/663-1076-machon-igual-polietileno.html"/>
    <hyperlink ref="X93" r:id="rId92" display="https://latiendadeljardin.com/es/piezas-de-polietileno/663-1076-machon-igual-polietileno.html"/>
    <hyperlink ref="X94" r:id="rId93" display="https://latiendadeljardin.com/es/piezas-de-polietileno/663-1076-machon-igual-polietileno.html"/>
    <hyperlink ref="X95" r:id="rId94" display="https://latiendadeljardin.com/es/piezas-de-polietileno/663-1076-machon-igual-polietileno.html"/>
    <hyperlink ref="X96" r:id="rId95" display="https://latiendadeljardin.com/es/piezas-de-polietileno/663-1076-machon-igual-polietileno.html"/>
    <hyperlink ref="X97" r:id="rId96" display="https://latiendadeljardin.com/es/piezas-de-polietileno/663-1076-machon-igual-polietileno.html"/>
    <hyperlink ref="X98" r:id="rId97" display="https://latiendadeljardin.com/es/piezas-de-polietileno/663-1076-machon-igual-polietileno.html"/>
    <hyperlink ref="X99" r:id="rId98" display="https://latiendadeljardin.com/es/piezas-de-polietileno/663-1076-machon-igual-polietileno.html"/>
    <hyperlink ref="X100" r:id="rId99" display="https://latiendadeljardin.com/es/piezas-de-polietileno/1638-2100-machon-reducido-polietileno.html"/>
    <hyperlink ref="X101" r:id="rId100" display="https://latiendadeljardin.com/es/piezas-de-polietileno/1638-2100-machon-reducido-polietileno.html"/>
    <hyperlink ref="X102" r:id="rId101" display="https://latiendadeljardin.com/es/piezas-de-polietileno/1638-2100-machon-reducido-polietileno.html"/>
    <hyperlink ref="X103" r:id="rId102" display="https://latiendadeljardin.com/es/piezas-de-polietileno/1638-2100-machon-reducido-polietileno.html"/>
    <hyperlink ref="X104" r:id="rId103" display="https://latiendadeljardin.com/es/piezas-de-polietileno/1638-2100-machon-reducido-polietileno.html"/>
    <hyperlink ref="X105" r:id="rId104" display="https://latiendadeljardin.com/es/piezas-de-polietileno/1638-2100-machon-reducido-polietileno.html"/>
    <hyperlink ref="X106" r:id="rId105" display="https://latiendadeljardin.com/es/piezas-de-polietileno/1638-2100-machon-reducido-polietileno.html"/>
    <hyperlink ref="X107" r:id="rId106" display="https://latiendadeljardin.com/es/piezas-de-polietileno/1638-2100-machon-reducido-polietileno.html"/>
    <hyperlink ref="X108" r:id="rId107" display="https://latiendadeljardin.com/es/piezas-de-polietileno/1638-2100-machon-reducido-polietileno.html"/>
    <hyperlink ref="X109" r:id="rId108" display="https://latiendadeljardin.com/es/piezas-de-polietileno/1638-2100-machon-reducido-polietileno.html"/>
    <hyperlink ref="X110" r:id="rId109" display="https://latiendadeljardin.com/es/piezas-de-polietileno/3184-2369-tuerca-reducida-pe.html"/>
    <hyperlink ref="X111" r:id="rId110" display="https://latiendadeljardin.com/es/piezas-de-polietileno/3184-2369-tuerca-reducida-pe.html"/>
    <hyperlink ref="X112" r:id="rId111" display="https://latiendadeljardin.com/es/piezas-de-polietileno/3184-2369-tuerca-reducida-pe.html"/>
    <hyperlink ref="X113" r:id="rId112" display="https://latiendadeljardin.com/es/piezas-de-polietileno/3184-2369-tuerca-reducida-pe.html"/>
    <hyperlink ref="X114" r:id="rId113" display="https://latiendadeljardin.com/es/piezas-de-polietileno/3184-2369-tuerca-reducida-pe.html"/>
    <hyperlink ref="X115" r:id="rId114" display="https://latiendadeljardin.com/es/piezas-de-polietileno/3184-2369-tuerca-reducida-pe.html"/>
    <hyperlink ref="X116" r:id="rId115" display="https://latiendadeljardin.com/es/piezas-de-polietileno/3184-2369-tuerca-reducida-pe.html"/>
    <hyperlink ref="X117" r:id="rId116" display="https://latiendadeljardin.com/es/piezas-de-polietileno/3184-2369-tuerca-reducida-pe.html"/>
    <hyperlink ref="X118" r:id="rId117" display="https://latiendadeljardin.com/es/piezas-de-polietileno/3184-2369-tuerca-reducida-pe.html"/>
    <hyperlink ref="X119" r:id="rId118" display="https://latiendadeljardin.com/es/piezas-de-polietileno/3184-2369-tuerca-reducida-pe.html"/>
    <hyperlink ref="X120" r:id="rId119" display="https://latiendadeljardin.com/es/piezas-de-polietileno/3184-2369-tuerca-reducida-pe.html"/>
    <hyperlink ref="X121" r:id="rId120" display="https://latiendadeljardin.com/es/piezas-de-polietileno/3184-2369-tuerca-reducida-pe.html"/>
    <hyperlink ref="X122" r:id="rId121" display="https://latiendadeljardin.com/es/piezas-de-polietileno/1637-2091-manguito-hembra-pp.html"/>
    <hyperlink ref="X123" r:id="rId122" display="https://latiendadeljardin.com/es/piezas-de-polietileno/1637-2091-manguito-hembra-pp.html"/>
    <hyperlink ref="X124" r:id="rId123" display="https://latiendadeljardin.com/es/piezas-de-polietileno/1637-2091-manguito-hembra-pp.html"/>
    <hyperlink ref="X125" r:id="rId124" display="https://latiendadeljardin.com/es/piezas-de-polietileno/1637-2091-manguito-hembra-pp.html"/>
    <hyperlink ref="X126" r:id="rId125" display="https://latiendadeljardin.com/es/piezas-de-polietileno/1637-2091-manguito-hembra-pp.html"/>
    <hyperlink ref="X127" r:id="rId126" display="https://latiendadeljardin.com/es/piezas-de-polietileno/1637-2091-manguito-hembra-pp.html"/>
    <hyperlink ref="X128" r:id="rId127" display="https://latiendadeljardin.com/es/depositos-de-poliester/756-pasamuros-deposito-agua-32mm-8420020022769.html"/>
    <hyperlink ref="X129" r:id="rId128" display="https://latiendadeljardin.com/es/depositos-de-poliester/757-adaptador-depositos-macho-32mm-8420020022752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5" t="s">
        <v>568</v>
      </c>
      <c r="B1" s="21" t="s">
        <v>49</v>
      </c>
    </row>
    <row r="2" customFormat="false" ht="35.05" hidden="false" customHeight="false" outlineLevel="0" collapsed="false">
      <c r="A2" s="22" t="s">
        <v>569</v>
      </c>
      <c r="B2" s="23" t="s">
        <v>570</v>
      </c>
    </row>
    <row r="3" customFormat="false" ht="23.85" hidden="false" customHeight="false" outlineLevel="0" collapsed="false">
      <c r="A3" s="22" t="s">
        <v>571</v>
      </c>
      <c r="B3" s="23" t="s">
        <v>572</v>
      </c>
    </row>
    <row r="4" customFormat="false" ht="23.85" hidden="false" customHeight="false" outlineLevel="0" collapsed="false">
      <c r="A4" s="22" t="s">
        <v>573</v>
      </c>
      <c r="B4" s="23" t="s">
        <v>574</v>
      </c>
    </row>
    <row r="5" customFormat="false" ht="15" hidden="false" customHeight="false" outlineLevel="0" collapsed="false">
      <c r="A5" s="22" t="s">
        <v>575</v>
      </c>
      <c r="B5" s="23" t="s">
        <v>576</v>
      </c>
    </row>
    <row r="6" customFormat="false" ht="15" hidden="false" customHeight="false" outlineLevel="0" collapsed="false">
      <c r="A6" s="22" t="s">
        <v>577</v>
      </c>
      <c r="B6" s="23" t="s">
        <v>578</v>
      </c>
    </row>
    <row r="7" customFormat="false" ht="15" hidden="false" customHeight="false" outlineLevel="0" collapsed="false">
      <c r="A7" s="22" t="s">
        <v>579</v>
      </c>
      <c r="B7" s="23" t="s">
        <v>580</v>
      </c>
    </row>
    <row r="8" customFormat="false" ht="15" hidden="false" customHeight="false" outlineLevel="0" collapsed="false">
      <c r="A8" s="22" t="s">
        <v>581</v>
      </c>
      <c r="B8" s="23" t="s">
        <v>582</v>
      </c>
    </row>
    <row r="9" customFormat="false" ht="15" hidden="false" customHeight="false" outlineLevel="0" collapsed="false">
      <c r="A9" s="22" t="s">
        <v>583</v>
      </c>
      <c r="B9" s="23" t="s">
        <v>584</v>
      </c>
    </row>
    <row r="10" customFormat="false" ht="15" hidden="false" customHeight="false" outlineLevel="0" collapsed="false">
      <c r="A10" s="22" t="s">
        <v>585</v>
      </c>
      <c r="B10" s="23" t="s">
        <v>586</v>
      </c>
    </row>
    <row r="11" customFormat="false" ht="15" hidden="false" customHeight="false" outlineLevel="0" collapsed="false">
      <c r="A11" s="22" t="s">
        <v>587</v>
      </c>
      <c r="B11" s="23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2026-10-21T19:21:00Z</dcterms:created>
  <dc:creator>openpyxl</dc:creator>
  <dc:description/>
  <dc:language>en-US</dc:language>
  <cp:lastModifiedBy/>
  <dcterms:modified xsi:type="dcterms:W3CDTF">2026-10-21T19:21:00Z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
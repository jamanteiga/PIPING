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esorios" sheetId="1" state="visible" r:id="rId3"/>
  </sheets>
  <definedNames>
    <definedName function="false" hidden="true" localSheetId="0" name="_xlnm._FilterDatabase" vbProcedure="false">Accesorios!$A$4:$AH$987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4" authorId="0">
      <text>
        <r>
          <rPr>
            <sz val="10"/>
            <rFont val="Arial"/>
            <family val="2"/>
          </rPr>
          <t xml:space="preserve">Diámetro de paso del inserto de los accesorios de compresión: ESTIMADO (ningún fabricante consultado lo publica). Sustitúyelo por el real y los K se recalculan. En la válvula de esfera EGB es el dato del catálogo.</t>
        </r>
      </text>
    </comment>
    <comment ref="T4" authorId="0">
      <text>
        <r>
          <rPr>
            <sz val="10"/>
            <rFont val="Arial"/>
            <family val="2"/>
          </rPr>
          <t xml:space="preserve">Ángulo del cono de las reducciones electrosoldables y a tope. Supuesto 30°: cámbialo si el fabricante da otro.</t>
        </r>
      </text>
    </comment>
    <comment ref="U4" authorId="0">
      <text>
        <r>
          <rPr>
            <sz val="10"/>
            <rFont val="Arial"/>
            <family val="2"/>
          </rPr>
          <t xml:space="preserve">K referido a la velocidad en el tubo de salida (en reducciones, el tubo menor).</t>
        </r>
      </text>
    </comment>
  </commentList>
</comments>
</file>

<file path=xl/sharedStrings.xml><?xml version="1.0" encoding="utf-8"?>
<sst xmlns="http://schemas.openxmlformats.org/spreadsheetml/2006/main" count="9676" uniqueCount="2155">
  <si>
    <t xml:space="preserve">Accesorios para tubería de polietileno (PE) · K de pérdida de carga por fórmula</t>
  </si>
  <si>
    <t xml:space="preserve">Azul = dato del catálogo o supuesto · negro = fórmula · amarillo = diámetro de paso estimado (cámbialo por el del fabricante y el K se recalcula). K por Crane TP-410M: compresión = estrechamiento del inserto, fórm. 6 (θ = 180°) + n·fT de la pieza; electrofusión y a tope = paso total, n·fT (codo 90° 30, codo 45° 16, te 20 / 60); reducciones a tope y electrosoldables = fórm. 1 y 3 con θ de la columna; tomas y collarines = derivación 60·fT + contracción hacia la salida. Dint de referencia: PE100 SDR 11 (EN 12201-2).</t>
  </si>
  <si>
    <t xml:space="preserve">Velocidad en el tubo (m/s):</t>
  </si>
  <si>
    <t xml:space="preserve">ρ del fluido (kg/m³):</t>
  </si>
  <si>
    <t xml:space="preserve">g (m/s²):</t>
  </si>
  <si>
    <t xml:space="preserve">← cambia la velocidad o la densidad y se recalculan Q, Δh (m c.l.) y Δp (Pa) de todas las filas · Δh = K·v²/2g · Δp = ρ·g·Δh</t>
  </si>
  <si>
    <t xml:space="preserve">Código</t>
  </si>
  <si>
    <t xml:space="preserve">Familia</t>
  </si>
  <si>
    <t xml:space="preserve">Fabricante / fuente</t>
  </si>
  <si>
    <t xml:space="preserve">Ref. fabricante</t>
  </si>
  <si>
    <t xml:space="preserve">Pieza</t>
  </si>
  <si>
    <t xml:space="preserve">Subtipo PIPING</t>
  </si>
  <si>
    <t xml:space="preserve">d1 (mm)</t>
  </si>
  <si>
    <t xml:space="preserve">d2 (mm)</t>
  </si>
  <si>
    <t xml:space="preserve">Rosca / DN</t>
  </si>
  <si>
    <t xml:space="preserve">PN (bar)</t>
  </si>
  <si>
    <t xml:space="preserve">Material</t>
  </si>
  <si>
    <t xml:space="preserve">L (mm)</t>
  </si>
  <si>
    <t xml:space="preserve">Z / H (mm)</t>
  </si>
  <si>
    <t xml:space="preserve">Dint 1 (mm)</t>
  </si>
  <si>
    <t xml:space="preserve">Dint 2 (mm)</t>
  </si>
  <si>
    <t xml:space="preserve">d paso (mm)</t>
  </si>
  <si>
    <t xml:space="preserve">d paso deriv. / salida (mm)</t>
  </si>
  <si>
    <t xml:space="preserve">fT</t>
  </si>
  <si>
    <t xml:space="preserve">n (K1 = n·fT)</t>
  </si>
  <si>
    <t xml:space="preserve">θ reducción (°)</t>
  </si>
  <si>
    <t xml:space="preserve">K paso (ref. salida)</t>
  </si>
  <si>
    <t xml:space="preserve">K derivación (ref. deriv.)</t>
  </si>
  <si>
    <t xml:space="preserve">K sentido inverso</t>
  </si>
  <si>
    <t xml:space="preserve">Origen del K</t>
  </si>
  <si>
    <t xml:space="preserve">Precio (€, IVA incl.)</t>
  </si>
  <si>
    <t xml:space="preserve">URL</t>
  </si>
  <si>
    <t xml:space="preserve">Notas</t>
  </si>
  <si>
    <t xml:space="preserve">Q a esa velocidad (m³/h)</t>
  </si>
  <si>
    <t xml:space="preserve">Δh paso (m c.l.)</t>
  </si>
  <si>
    <t xml:space="preserve">Δp paso (Pa)</t>
  </si>
  <si>
    <t xml:space="preserve">Δh derivación (m c.l.)</t>
  </si>
  <si>
    <t xml:space="preserve">Δp derivación (Pa)</t>
  </si>
  <si>
    <t xml:space="preserve">Δh sentido inverso (m c.l.)</t>
  </si>
  <si>
    <t xml:space="preserve">Δp sentido inverso (Pa)</t>
  </si>
  <si>
    <t xml:space="preserve">PEC-0001</t>
  </si>
  <si>
    <t xml:space="preserve">Compresión PP</t>
  </si>
  <si>
    <t xml:space="preserve">EGB (Manual técnico PP compresión)</t>
  </si>
  <si>
    <t xml:space="preserve">PPC.M20</t>
  </si>
  <si>
    <t xml:space="preserve">Manguito</t>
  </si>
  <si>
    <t xml:space="preserve">manguito</t>
  </si>
  <si>
    <t xml:space="preserve">PP · compresión para tubo PE</t>
  </si>
  <si>
    <t xml:space="preserve">Crane fórm. 6 (θ 180°): contracción y expansión en el inserto + n·fT</t>
  </si>
  <si>
    <t xml:space="preserve">enlace</t>
  </si>
  <si>
    <t xml:space="preserve">PEC-0002</t>
  </si>
  <si>
    <t xml:space="preserve">PPC.M25</t>
  </si>
  <si>
    <t xml:space="preserve">PEC-0003</t>
  </si>
  <si>
    <t xml:space="preserve">PPC.M32</t>
  </si>
  <si>
    <t xml:space="preserve">PEC-0004</t>
  </si>
  <si>
    <t xml:space="preserve">PPC.M40</t>
  </si>
  <si>
    <t xml:space="preserve">PEC-0005</t>
  </si>
  <si>
    <t xml:space="preserve">PPC.M50</t>
  </si>
  <si>
    <t xml:space="preserve">PEC-0006</t>
  </si>
  <si>
    <t xml:space="preserve">PPC.M63</t>
  </si>
  <si>
    <t xml:space="preserve">PEC-0007</t>
  </si>
  <si>
    <t xml:space="preserve">PPC.M75</t>
  </si>
  <si>
    <t xml:space="preserve">PEC-0008</t>
  </si>
  <si>
    <t xml:space="preserve">PPC.M90</t>
  </si>
  <si>
    <t xml:space="preserve">PEC-0009</t>
  </si>
  <si>
    <t xml:space="preserve">PPC.M110</t>
  </si>
  <si>
    <t xml:space="preserve">PEC-0010</t>
  </si>
  <si>
    <t xml:space="preserve">PPC.MRD2520</t>
  </si>
  <si>
    <t xml:space="preserve">Manguito reducido</t>
  </si>
  <si>
    <t xml:space="preserve">reduccion</t>
  </si>
  <si>
    <t xml:space="preserve">PEC-0011</t>
  </si>
  <si>
    <t xml:space="preserve">PPC.MRD3225</t>
  </si>
  <si>
    <t xml:space="preserve">PEC-0012</t>
  </si>
  <si>
    <t xml:space="preserve">PPC.MRD4032</t>
  </si>
  <si>
    <t xml:space="preserve">PEC-0013</t>
  </si>
  <si>
    <t xml:space="preserve">PPC.MRD5040</t>
  </si>
  <si>
    <t xml:space="preserve">PEC-0014</t>
  </si>
  <si>
    <t xml:space="preserve">PPC.MRD6350</t>
  </si>
  <si>
    <t xml:space="preserve">PEC-0015</t>
  </si>
  <si>
    <t xml:space="preserve">PPC.MRD7563</t>
  </si>
  <si>
    <t xml:space="preserve">PEC-0016</t>
  </si>
  <si>
    <t xml:space="preserve">PPC.MRD9075</t>
  </si>
  <si>
    <t xml:space="preserve">PEC-0017</t>
  </si>
  <si>
    <t xml:space="preserve">PPC.MRD11090</t>
  </si>
  <si>
    <t xml:space="preserve">PEC-0018</t>
  </si>
  <si>
    <t xml:space="preserve">PPC.TAP20</t>
  </si>
  <si>
    <t xml:space="preserve">Tapón</t>
  </si>
  <si>
    <t xml:space="preserve">tapon</t>
  </si>
  <si>
    <t xml:space="preserve">Extremo cerrado: sin K</t>
  </si>
  <si>
    <t xml:space="preserve">PEC-0019</t>
  </si>
  <si>
    <t xml:space="preserve">PPC.TAP25</t>
  </si>
  <si>
    <t xml:space="preserve">PEC-0020</t>
  </si>
  <si>
    <t xml:space="preserve">PPC.TAP32</t>
  </si>
  <si>
    <t xml:space="preserve">PEC-0021</t>
  </si>
  <si>
    <t xml:space="preserve">PPC.TAP40</t>
  </si>
  <si>
    <t xml:space="preserve">PEC-0022</t>
  </si>
  <si>
    <t xml:space="preserve">PPC.TAP50</t>
  </si>
  <si>
    <t xml:space="preserve">PEC-0023</t>
  </si>
  <si>
    <t xml:space="preserve">PPC.TAP63</t>
  </si>
  <si>
    <t xml:space="preserve">PEC-0024</t>
  </si>
  <si>
    <t xml:space="preserve">PPC.TAP75</t>
  </si>
  <si>
    <t xml:space="preserve">PEC-0025</t>
  </si>
  <si>
    <t xml:space="preserve">PPC.TAP90</t>
  </si>
  <si>
    <t xml:space="preserve">PEC-0026</t>
  </si>
  <si>
    <t xml:space="preserve">PPC.TAP110</t>
  </si>
  <si>
    <t xml:space="preserve">PEC-0027</t>
  </si>
  <si>
    <t xml:space="preserve">PPC.MRH201/2"</t>
  </si>
  <si>
    <t xml:space="preserve">Enlace rosca hembra</t>
  </si>
  <si>
    <t xml:space="preserve">racor</t>
  </si>
  <si>
    <t xml:space="preserve">1/2"</t>
  </si>
  <si>
    <t xml:space="preserve">PEC-0028</t>
  </si>
  <si>
    <t xml:space="preserve">PPC.MRH203/4"</t>
  </si>
  <si>
    <t xml:space="preserve">3/4"</t>
  </si>
  <si>
    <t xml:space="preserve">PEC-0029</t>
  </si>
  <si>
    <t xml:space="preserve">PPC.MRH251/2"</t>
  </si>
  <si>
    <t xml:space="preserve">PEC-0030</t>
  </si>
  <si>
    <t xml:space="preserve">PPC.MRH253/4"</t>
  </si>
  <si>
    <t xml:space="preserve">PEC-0031</t>
  </si>
  <si>
    <t xml:space="preserve">PPC.MRH251"</t>
  </si>
  <si>
    <t xml:space="preserve">1"</t>
  </si>
  <si>
    <t xml:space="preserve">PEC-0032</t>
  </si>
  <si>
    <t xml:space="preserve">PPC.MRH323/4"</t>
  </si>
  <si>
    <t xml:space="preserve">PEC-0033</t>
  </si>
  <si>
    <t xml:space="preserve">PPC.MRH321"</t>
  </si>
  <si>
    <t xml:space="preserve">PEC-0034</t>
  </si>
  <si>
    <t xml:space="preserve">PPC.MRH401"</t>
  </si>
  <si>
    <t xml:space="preserve">PEC-0035</t>
  </si>
  <si>
    <t xml:space="preserve">PPC.MRH401 1/4"</t>
  </si>
  <si>
    <t xml:space="preserve">1 1/4"</t>
  </si>
  <si>
    <t xml:space="preserve">PEC-0036</t>
  </si>
  <si>
    <t xml:space="preserve">PPC.MRH501 1/2"</t>
  </si>
  <si>
    <t xml:space="preserve">1 1/2"</t>
  </si>
  <si>
    <t xml:space="preserve">PEC-0037</t>
  </si>
  <si>
    <t xml:space="preserve">PPC.MRH632"</t>
  </si>
  <si>
    <t xml:space="preserve">2"</t>
  </si>
  <si>
    <t xml:space="preserve">PEC-0038</t>
  </si>
  <si>
    <t xml:space="preserve">PPC.MRH752 1/2"</t>
  </si>
  <si>
    <t xml:space="preserve">2 1/2"</t>
  </si>
  <si>
    <t xml:space="preserve">PEC-0039</t>
  </si>
  <si>
    <t xml:space="preserve">PPC.MRH903"</t>
  </si>
  <si>
    <t xml:space="preserve">3"</t>
  </si>
  <si>
    <t xml:space="preserve">PEC-0040</t>
  </si>
  <si>
    <t xml:space="preserve">PPC.MRH1104"</t>
  </si>
  <si>
    <t xml:space="preserve">4"</t>
  </si>
  <si>
    <t xml:space="preserve">PEC-0041</t>
  </si>
  <si>
    <t xml:space="preserve">PPC.ERM201/2"</t>
  </si>
  <si>
    <t xml:space="preserve">Enlace rosca macho</t>
  </si>
  <si>
    <t xml:space="preserve">PEC-0042</t>
  </si>
  <si>
    <t xml:space="preserve">PPC.ERM203/4"</t>
  </si>
  <si>
    <t xml:space="preserve">PEC-0043</t>
  </si>
  <si>
    <t xml:space="preserve">PPC.ERM251/2"</t>
  </si>
  <si>
    <t xml:space="preserve">PEC-0044</t>
  </si>
  <si>
    <t xml:space="preserve">PPC.ERM253/4"</t>
  </si>
  <si>
    <t xml:space="preserve">PEC-0045</t>
  </si>
  <si>
    <t xml:space="preserve">PPC.ERM251"</t>
  </si>
  <si>
    <t xml:space="preserve">PEC-0046</t>
  </si>
  <si>
    <t xml:space="preserve">PPC.ERM323/4"</t>
  </si>
  <si>
    <t xml:space="preserve">PEC-0047</t>
  </si>
  <si>
    <t xml:space="preserve">PPC.ERM321"</t>
  </si>
  <si>
    <t xml:space="preserve">PEC-0048</t>
  </si>
  <si>
    <t xml:space="preserve">PPC.ERM321 1/4"</t>
  </si>
  <si>
    <t xml:space="preserve">PEC-0049</t>
  </si>
  <si>
    <t xml:space="preserve">PPC.ERM401"</t>
  </si>
  <si>
    <t xml:space="preserve">PEC-0050</t>
  </si>
  <si>
    <t xml:space="preserve">PPC.ERM401 1/4"</t>
  </si>
  <si>
    <t xml:space="preserve">PEC-0051</t>
  </si>
  <si>
    <t xml:space="preserve">PPC.ERM401 1/2"</t>
  </si>
  <si>
    <t xml:space="preserve">PEC-0052</t>
  </si>
  <si>
    <t xml:space="preserve">PPC.ERM501 1/2"</t>
  </si>
  <si>
    <t xml:space="preserve">PEC-0053</t>
  </si>
  <si>
    <t xml:space="preserve">PPC.ERM632"</t>
  </si>
  <si>
    <t xml:space="preserve">PEC-0054</t>
  </si>
  <si>
    <t xml:space="preserve">PPC.ERM752"</t>
  </si>
  <si>
    <t xml:space="preserve">PEC-0055</t>
  </si>
  <si>
    <t xml:space="preserve">PPC.ERM752 1/2"</t>
  </si>
  <si>
    <t xml:space="preserve">PEC-0056</t>
  </si>
  <si>
    <t xml:space="preserve">PPC.ERM903"</t>
  </si>
  <si>
    <t xml:space="preserve">PEC-0057</t>
  </si>
  <si>
    <t xml:space="preserve">PPC.ERM1104"</t>
  </si>
  <si>
    <t xml:space="preserve">PEC-0058</t>
  </si>
  <si>
    <t xml:space="preserve">PPC.C9020</t>
  </si>
  <si>
    <t xml:space="preserve">Codo 90°</t>
  </si>
  <si>
    <t xml:space="preserve">codo90</t>
  </si>
  <si>
    <t xml:space="preserve">PEC-0059</t>
  </si>
  <si>
    <t xml:space="preserve">PPC.C9025</t>
  </si>
  <si>
    <t xml:space="preserve">PEC-0060</t>
  </si>
  <si>
    <t xml:space="preserve">PPC.C9032</t>
  </si>
  <si>
    <t xml:space="preserve">PEC-0061</t>
  </si>
  <si>
    <t xml:space="preserve">PPC.C9040</t>
  </si>
  <si>
    <t xml:space="preserve">PEC-0062</t>
  </si>
  <si>
    <t xml:space="preserve">PPC.C9050</t>
  </si>
  <si>
    <t xml:space="preserve">PEC-0063</t>
  </si>
  <si>
    <t xml:space="preserve">PPC.C9063</t>
  </si>
  <si>
    <t xml:space="preserve">PEC-0064</t>
  </si>
  <si>
    <t xml:space="preserve">PPC.C9075</t>
  </si>
  <si>
    <t xml:space="preserve">PEC-0065</t>
  </si>
  <si>
    <t xml:space="preserve">PPC.C9090</t>
  </si>
  <si>
    <t xml:space="preserve">PEC-0066</t>
  </si>
  <si>
    <t xml:space="preserve">PPC.C90110</t>
  </si>
  <si>
    <t xml:space="preserve">PEC-0067</t>
  </si>
  <si>
    <t xml:space="preserve">PPC.CRM201/2"</t>
  </si>
  <si>
    <t xml:space="preserve">Codo 90° rosca macho</t>
  </si>
  <si>
    <t xml:space="preserve">PEC-0068</t>
  </si>
  <si>
    <t xml:space="preserve">PPC.CRM253/4"</t>
  </si>
  <si>
    <t xml:space="preserve">PEC-0069</t>
  </si>
  <si>
    <t xml:space="preserve">PPC.CRM323/4"</t>
  </si>
  <si>
    <t xml:space="preserve">PEC-0070</t>
  </si>
  <si>
    <t xml:space="preserve">PPC.CRM321"</t>
  </si>
  <si>
    <t xml:space="preserve">PEC-0071</t>
  </si>
  <si>
    <t xml:space="preserve">PPC.CRM401 1/4"</t>
  </si>
  <si>
    <t xml:space="preserve">PEC-0072</t>
  </si>
  <si>
    <t xml:space="preserve">PPC.CRM501 1/2"</t>
  </si>
  <si>
    <t xml:space="preserve">PEC-0073</t>
  </si>
  <si>
    <t xml:space="preserve">PPC.CRM632"</t>
  </si>
  <si>
    <t xml:space="preserve">PEC-0074</t>
  </si>
  <si>
    <t xml:space="preserve">PPC.CRM752 1/2"</t>
  </si>
  <si>
    <t xml:space="preserve">PEC-0075</t>
  </si>
  <si>
    <t xml:space="preserve">PPC.CRM903"</t>
  </si>
  <si>
    <t xml:space="preserve">PEC-0076</t>
  </si>
  <si>
    <t xml:space="preserve">PPC.CRM1104"</t>
  </si>
  <si>
    <t xml:space="preserve">PEC-0077</t>
  </si>
  <si>
    <t xml:space="preserve">PPC.CRH201/2"</t>
  </si>
  <si>
    <t xml:space="preserve">Codo 90° rosca hembra</t>
  </si>
  <si>
    <t xml:space="preserve">PEC-0078</t>
  </si>
  <si>
    <t xml:space="preserve">PPC.CRH251/2"</t>
  </si>
  <si>
    <t xml:space="preserve">PEC-0079</t>
  </si>
  <si>
    <t xml:space="preserve">PPC.CRH253/4"</t>
  </si>
  <si>
    <t xml:space="preserve">PEC-0080</t>
  </si>
  <si>
    <t xml:space="preserve">PPC.CRH323/4"</t>
  </si>
  <si>
    <t xml:space="preserve">PEC-0081</t>
  </si>
  <si>
    <t xml:space="preserve">PPC.CRH321"</t>
  </si>
  <si>
    <t xml:space="preserve">PEC-0082</t>
  </si>
  <si>
    <t xml:space="preserve">PPC.CRH401"</t>
  </si>
  <si>
    <t xml:space="preserve">PEC-0083</t>
  </si>
  <si>
    <t xml:space="preserve">PPC.CRH401 1/4"</t>
  </si>
  <si>
    <t xml:space="preserve">PEC-0084</t>
  </si>
  <si>
    <t xml:space="preserve">PPC.CRH501 1/2"</t>
  </si>
  <si>
    <t xml:space="preserve">PEC-0085</t>
  </si>
  <si>
    <t xml:space="preserve">PPC.CRH632"</t>
  </si>
  <si>
    <t xml:space="preserve">PEC-0086</t>
  </si>
  <si>
    <t xml:space="preserve">PPC.CRH752 1/2"</t>
  </si>
  <si>
    <t xml:space="preserve">PEC-0087</t>
  </si>
  <si>
    <t xml:space="preserve">PPC.CRH903"</t>
  </si>
  <si>
    <t xml:space="preserve">PEC-0088</t>
  </si>
  <si>
    <t xml:space="preserve">PPC.CRH1104"</t>
  </si>
  <si>
    <t xml:space="preserve">PEC-0089</t>
  </si>
  <si>
    <t xml:space="preserve">PPC.T20</t>
  </si>
  <si>
    <t xml:space="preserve">Te igual</t>
  </si>
  <si>
    <t xml:space="preserve">tee</t>
  </si>
  <si>
    <t xml:space="preserve">Crane fórm. 6 en el inserto + te 20·fT (paso) / 60·fT (derivación)</t>
  </si>
  <si>
    <t xml:space="preserve">PEC-0090</t>
  </si>
  <si>
    <t xml:space="preserve">PPC.T25</t>
  </si>
  <si>
    <t xml:space="preserve">PEC-0091</t>
  </si>
  <si>
    <t xml:space="preserve">PPC.T32</t>
  </si>
  <si>
    <t xml:space="preserve">PEC-0092</t>
  </si>
  <si>
    <t xml:space="preserve">PPC.T40</t>
  </si>
  <si>
    <t xml:space="preserve">PEC-0093</t>
  </si>
  <si>
    <t xml:space="preserve">PPC.T50</t>
  </si>
  <si>
    <t xml:space="preserve">PEC-0094</t>
  </si>
  <si>
    <t xml:space="preserve">PPC.T63</t>
  </si>
  <si>
    <t xml:space="preserve">PEC-0095</t>
  </si>
  <si>
    <t xml:space="preserve">PPC.T75</t>
  </si>
  <si>
    <t xml:space="preserve">PEC-0096</t>
  </si>
  <si>
    <t xml:space="preserve">PPC.T90</t>
  </si>
  <si>
    <t xml:space="preserve">L de 90 mm tal cual en el catálogo (posible errata)</t>
  </si>
  <si>
    <t xml:space="preserve">PEC-0097</t>
  </si>
  <si>
    <t xml:space="preserve">PPC.T110</t>
  </si>
  <si>
    <t xml:space="preserve">PEC-0098</t>
  </si>
  <si>
    <t xml:space="preserve">PPC.TRC2520</t>
  </si>
  <si>
    <t xml:space="preserve">Te reducida</t>
  </si>
  <si>
    <t xml:space="preserve">PEC-0099</t>
  </si>
  <si>
    <t xml:space="preserve">PPC.TRC3225</t>
  </si>
  <si>
    <t xml:space="preserve">PEC-0100</t>
  </si>
  <si>
    <t xml:space="preserve">PPC.TRC4032</t>
  </si>
  <si>
    <t xml:space="preserve">PEC-0101</t>
  </si>
  <si>
    <t xml:space="preserve">PPC.TRC5040</t>
  </si>
  <si>
    <t xml:space="preserve">PEC-0102</t>
  </si>
  <si>
    <t xml:space="preserve">PPC.TRC6350</t>
  </si>
  <si>
    <t xml:space="preserve">PEC-0103</t>
  </si>
  <si>
    <t xml:space="preserve">PPC.TRC7563</t>
  </si>
  <si>
    <t xml:space="preserve">PEC-0104</t>
  </si>
  <si>
    <t xml:space="preserve">PPC.TRC9075</t>
  </si>
  <si>
    <t xml:space="preserve">PEC-0105</t>
  </si>
  <si>
    <t xml:space="preserve">PPC.TRC11090</t>
  </si>
  <si>
    <t xml:space="preserve">PEC-0106</t>
  </si>
  <si>
    <t xml:space="preserve">PPR.CRH201/2"</t>
  </si>
  <si>
    <t xml:space="preserve">Codo placa grifo (rosca hembra)</t>
  </si>
  <si>
    <t xml:space="preserve">PEC-0107</t>
  </si>
  <si>
    <t xml:space="preserve">PPR.CRH253/4"</t>
  </si>
  <si>
    <t xml:space="preserve">PEC-0108</t>
  </si>
  <si>
    <t xml:space="preserve">PPC.TRM201/2"</t>
  </si>
  <si>
    <t xml:space="preserve">Te rosca macho</t>
  </si>
  <si>
    <t xml:space="preserve">PEC-0109</t>
  </si>
  <si>
    <t xml:space="preserve">PPC.TRM253/4"</t>
  </si>
  <si>
    <t xml:space="preserve">PEC-0110</t>
  </si>
  <si>
    <t xml:space="preserve">PPC.TRM321"</t>
  </si>
  <si>
    <t xml:space="preserve">PEC-0111</t>
  </si>
  <si>
    <t xml:space="preserve">PPC.TRH201/2"</t>
  </si>
  <si>
    <t xml:space="preserve">Te rosca hembra</t>
  </si>
  <si>
    <t xml:space="preserve">PEC-0112</t>
  </si>
  <si>
    <t xml:space="preserve">PPC.TRH251/2"</t>
  </si>
  <si>
    <t xml:space="preserve">PEC-0113</t>
  </si>
  <si>
    <t xml:space="preserve">PPC.TRH253/4"</t>
  </si>
  <si>
    <t xml:space="preserve">PEC-0114</t>
  </si>
  <si>
    <t xml:space="preserve">PPC.TRH323/4"</t>
  </si>
  <si>
    <t xml:space="preserve">PEC-0115</t>
  </si>
  <si>
    <t xml:space="preserve">PPC.TRH321"</t>
  </si>
  <si>
    <t xml:space="preserve">PEC-0116</t>
  </si>
  <si>
    <t xml:space="preserve">PPC.TRH401 1/4"</t>
  </si>
  <si>
    <t xml:space="preserve">PEC-0117</t>
  </si>
  <si>
    <t xml:space="preserve">PPC.TRH501 1/2"</t>
  </si>
  <si>
    <t xml:space="preserve">PEC-0118</t>
  </si>
  <si>
    <t xml:space="preserve">PPC.TRH632"</t>
  </si>
  <si>
    <t xml:space="preserve">PEC-0119</t>
  </si>
  <si>
    <t xml:space="preserve">PPC.TRH752 1/2"</t>
  </si>
  <si>
    <t xml:space="preserve">PEC-0120</t>
  </si>
  <si>
    <t xml:space="preserve">PPC.TRH903"</t>
  </si>
  <si>
    <t xml:space="preserve">PEC-0121</t>
  </si>
  <si>
    <t xml:space="preserve">PPC.TRH1104"</t>
  </si>
  <si>
    <t xml:space="preserve">PEC-0122</t>
  </si>
  <si>
    <t xml:space="preserve">PPC.VB20</t>
  </si>
  <si>
    <t xml:space="preserve">Válvula de esfera compresión</t>
  </si>
  <si>
    <t xml:space="preserve">bola</t>
  </si>
  <si>
    <t xml:space="preserve">PP · compresión · esfera</t>
  </si>
  <si>
    <t xml:space="preserve">Crane fórm. 6 con el paso real de la esfera + 3·fT</t>
  </si>
  <si>
    <t xml:space="preserve">Paso de la esfera d1 = 13.5 mm (catálogo)</t>
  </si>
  <si>
    <t xml:space="preserve">PEC-0123</t>
  </si>
  <si>
    <t xml:space="preserve">PPC.VB25</t>
  </si>
  <si>
    <t xml:space="preserve">Paso de la esfera d1 = 19.5 mm (catálogo)</t>
  </si>
  <si>
    <t xml:space="preserve">PEC-0124</t>
  </si>
  <si>
    <t xml:space="preserve">PPC.VB32</t>
  </si>
  <si>
    <t xml:space="preserve">Paso de la esfera d1 = 25.0 mm (catálogo)</t>
  </si>
  <si>
    <t xml:space="preserve">PEC-0125</t>
  </si>
  <si>
    <t xml:space="preserve">PPC.MC251/2"</t>
  </si>
  <si>
    <t xml:space="preserve">Toma en carga (compresión × rosca)</t>
  </si>
  <si>
    <t xml:space="preserve">collarin</t>
  </si>
  <si>
    <t xml:space="preserve">Derivación 60·fT + contracción hacia la salida roscada</t>
  </si>
  <si>
    <t xml:space="preserve">PEC-0126</t>
  </si>
  <si>
    <t xml:space="preserve">PPC.MC253/4"</t>
  </si>
  <si>
    <t xml:space="preserve">PEC-0127</t>
  </si>
  <si>
    <t xml:space="preserve">PPC.MC321/2"</t>
  </si>
  <si>
    <t xml:space="preserve">PEC-0128</t>
  </si>
  <si>
    <t xml:space="preserve">PPC.MC323/4"</t>
  </si>
  <si>
    <t xml:space="preserve">PEC-0129</t>
  </si>
  <si>
    <t xml:space="preserve">PPC.MC321"</t>
  </si>
  <si>
    <t xml:space="preserve">PEC-0130</t>
  </si>
  <si>
    <t xml:space="preserve">PPC.MC401/2"</t>
  </si>
  <si>
    <t xml:space="preserve">PEC-0131</t>
  </si>
  <si>
    <t xml:space="preserve">PPC.MC403/4"</t>
  </si>
  <si>
    <t xml:space="preserve">PEC-0132</t>
  </si>
  <si>
    <t xml:space="preserve">PPC.MC401"</t>
  </si>
  <si>
    <t xml:space="preserve">PEC-0133</t>
  </si>
  <si>
    <t xml:space="preserve">PPC.MC501/2"</t>
  </si>
  <si>
    <t xml:space="preserve">PEC-0134</t>
  </si>
  <si>
    <t xml:space="preserve">PPC.MC503/4"</t>
  </si>
  <si>
    <t xml:space="preserve">PEC-0135</t>
  </si>
  <si>
    <t xml:space="preserve">PPC.MC501"</t>
  </si>
  <si>
    <t xml:space="preserve">PEC-0136</t>
  </si>
  <si>
    <t xml:space="preserve">PPC.MC631/2"</t>
  </si>
  <si>
    <t xml:space="preserve">PEC-0137</t>
  </si>
  <si>
    <t xml:space="preserve">PPC.MC633/4"</t>
  </si>
  <si>
    <t xml:space="preserve">PEC-0138</t>
  </si>
  <si>
    <t xml:space="preserve">PPC.MC631"</t>
  </si>
  <si>
    <t xml:space="preserve">PEC-0139</t>
  </si>
  <si>
    <t xml:space="preserve">PPC.MC631 1/4"</t>
  </si>
  <si>
    <t xml:space="preserve">PEC-0140</t>
  </si>
  <si>
    <t xml:space="preserve">PPC.MC751"</t>
  </si>
  <si>
    <t xml:space="preserve">PEC-0141</t>
  </si>
  <si>
    <t xml:space="preserve">PPC.MC751 1/2"</t>
  </si>
  <si>
    <t xml:space="preserve">PEC-0142</t>
  </si>
  <si>
    <t xml:space="preserve">PPC.MC903/4"</t>
  </si>
  <si>
    <t xml:space="preserve">PEC-0143</t>
  </si>
  <si>
    <t xml:space="preserve">PPC.MC901"</t>
  </si>
  <si>
    <t xml:space="preserve">PEC-0144</t>
  </si>
  <si>
    <t xml:space="preserve">PPC.MC901 1/2"</t>
  </si>
  <si>
    <t xml:space="preserve">PEC-0145</t>
  </si>
  <si>
    <t xml:space="preserve">PPC.MC902"</t>
  </si>
  <si>
    <t xml:space="preserve">PEC-0146</t>
  </si>
  <si>
    <t xml:space="preserve">PPC.MC1103/4"</t>
  </si>
  <si>
    <t xml:space="preserve">PEC-0147</t>
  </si>
  <si>
    <t xml:space="preserve">PPC.MC1101"</t>
  </si>
  <si>
    <t xml:space="preserve">PEC-0148</t>
  </si>
  <si>
    <t xml:space="preserve">Cepex (catálogo técnico accesorios PP)</t>
  </si>
  <si>
    <t xml:space="preserve">11 01 016 (01469)</t>
  </si>
  <si>
    <t xml:space="preserve">PEC-0149</t>
  </si>
  <si>
    <t xml:space="preserve">11 01 020 (01470)</t>
  </si>
  <si>
    <t xml:space="preserve">PEC-0150</t>
  </si>
  <si>
    <t xml:space="preserve">11 01 025 (01471)</t>
  </si>
  <si>
    <t xml:space="preserve">PEC-0151</t>
  </si>
  <si>
    <t xml:space="preserve">11 01 032 (01472)</t>
  </si>
  <si>
    <t xml:space="preserve">PEC-0152</t>
  </si>
  <si>
    <t xml:space="preserve">11 01 040 (01473)</t>
  </si>
  <si>
    <t xml:space="preserve">PEC-0153</t>
  </si>
  <si>
    <t xml:space="preserve">11 01 050 (01474)</t>
  </si>
  <si>
    <t xml:space="preserve">PEC-0154</t>
  </si>
  <si>
    <t xml:space="preserve">11 01 063 (01475)</t>
  </si>
  <si>
    <t xml:space="preserve">PEC-0155</t>
  </si>
  <si>
    <t xml:space="preserve">11 01 075 (01476)</t>
  </si>
  <si>
    <t xml:space="preserve">PEC-0156</t>
  </si>
  <si>
    <t xml:space="preserve">11 01 090 (17898)</t>
  </si>
  <si>
    <t xml:space="preserve">PEC-0157</t>
  </si>
  <si>
    <t xml:space="preserve">11 01 110 (17899)</t>
  </si>
  <si>
    <t xml:space="preserve">PEC-0158</t>
  </si>
  <si>
    <t xml:space="preserve">11 01 416 (01478)</t>
  </si>
  <si>
    <t xml:space="preserve">3/8"</t>
  </si>
  <si>
    <t xml:space="preserve">PEC-0159</t>
  </si>
  <si>
    <t xml:space="preserve">11 01 417 (09145)</t>
  </si>
  <si>
    <t xml:space="preserve">PEC-0160</t>
  </si>
  <si>
    <t xml:space="preserve">11 01 420 (01479)</t>
  </si>
  <si>
    <t xml:space="preserve">PEC-0161</t>
  </si>
  <si>
    <t xml:space="preserve">11 01 421 (01480)</t>
  </si>
  <si>
    <t xml:space="preserve">PEC-0162</t>
  </si>
  <si>
    <t xml:space="preserve">11 01 424 (07350)</t>
  </si>
  <si>
    <t xml:space="preserve">PEC-0163</t>
  </si>
  <si>
    <t xml:space="preserve">11 01 425 (01481)</t>
  </si>
  <si>
    <t xml:space="preserve">PEC-0164</t>
  </si>
  <si>
    <t xml:space="preserve">11 01 430 (09710)</t>
  </si>
  <si>
    <t xml:space="preserve">PEC-0165</t>
  </si>
  <si>
    <t xml:space="preserve">11 01 431 (01482)</t>
  </si>
  <si>
    <t xml:space="preserve">PEC-0166</t>
  </si>
  <si>
    <t xml:space="preserve">11 01 432 (01483)</t>
  </si>
  <si>
    <t xml:space="preserve">PEC-0167</t>
  </si>
  <si>
    <t xml:space="preserve">11 01 438 (33488)</t>
  </si>
  <si>
    <t xml:space="preserve">PEC-0168</t>
  </si>
  <si>
    <t xml:space="preserve">11 01 439 (33489)</t>
  </si>
  <si>
    <t xml:space="preserve">PEC-0169</t>
  </si>
  <si>
    <t xml:space="preserve">11 01 440 (01485)</t>
  </si>
  <si>
    <t xml:space="preserve">PEC-0170</t>
  </si>
  <si>
    <t xml:space="preserve">11 01 441 (01486)</t>
  </si>
  <si>
    <t xml:space="preserve">PEC-0171</t>
  </si>
  <si>
    <t xml:space="preserve">11 01 449 (34577)</t>
  </si>
  <si>
    <t xml:space="preserve">PEC-0172</t>
  </si>
  <si>
    <t xml:space="preserve">11 01 450 (01487)</t>
  </si>
  <si>
    <t xml:space="preserve">PEC-0173</t>
  </si>
  <si>
    <t xml:space="preserve">11 01 451 (01488)</t>
  </si>
  <si>
    <t xml:space="preserve">PEC-0174</t>
  </si>
  <si>
    <t xml:space="preserve">11 01 461 (34579)</t>
  </si>
  <si>
    <t xml:space="preserve">PEC-0175</t>
  </si>
  <si>
    <t xml:space="preserve">11 01 462 (33132)</t>
  </si>
  <si>
    <t xml:space="preserve">PEC-0176</t>
  </si>
  <si>
    <t xml:space="preserve">11 01 463 (01489)</t>
  </si>
  <si>
    <t xml:space="preserve">PEC-0177</t>
  </si>
  <si>
    <t xml:space="preserve">11 01 474 (01490)</t>
  </si>
  <si>
    <t xml:space="preserve">PEC-0178</t>
  </si>
  <si>
    <t xml:space="preserve">11 01 475 (01491)</t>
  </si>
  <si>
    <t xml:space="preserve">PEC-0179</t>
  </si>
  <si>
    <t xml:space="preserve">11 01 490 (17900)</t>
  </si>
  <si>
    <t xml:space="preserve">PEC-0180</t>
  </si>
  <si>
    <t xml:space="preserve">11 01 491 (17901)</t>
  </si>
  <si>
    <t xml:space="preserve">PEC-0181</t>
  </si>
  <si>
    <t xml:space="preserve">11 01 510 (17902)</t>
  </si>
  <si>
    <t xml:space="preserve">PEC-0182</t>
  </si>
  <si>
    <t xml:space="preserve">11 01 616 (01493)</t>
  </si>
  <si>
    <t xml:space="preserve">PEC-0183</t>
  </si>
  <si>
    <t xml:space="preserve">11 01 617 (09146)</t>
  </si>
  <si>
    <t xml:space="preserve">PEC-0184</t>
  </si>
  <si>
    <t xml:space="preserve">11 01 620 (01494)</t>
  </si>
  <si>
    <t xml:space="preserve">PEC-0185</t>
  </si>
  <si>
    <t xml:space="preserve">11 01 621 (01495)</t>
  </si>
  <si>
    <t xml:space="preserve">PEC-0186</t>
  </si>
  <si>
    <t xml:space="preserve">11 01 624 (01496)</t>
  </si>
  <si>
    <t xml:space="preserve">PEC-0187</t>
  </si>
  <si>
    <t xml:space="preserve">11 01 625 (01497)</t>
  </si>
  <si>
    <t xml:space="preserve">PEC-0188</t>
  </si>
  <si>
    <t xml:space="preserve">11 01 630 (32055)</t>
  </si>
  <si>
    <t xml:space="preserve">PEC-0189</t>
  </si>
  <si>
    <t xml:space="preserve">11 01 631 (32056)</t>
  </si>
  <si>
    <t xml:space="preserve">PEC-0190</t>
  </si>
  <si>
    <t xml:space="preserve">11 01 632 (01498)</t>
  </si>
  <si>
    <t xml:space="preserve">PEC-0191</t>
  </si>
  <si>
    <t xml:space="preserve">11 01 640 (01499)</t>
  </si>
  <si>
    <t xml:space="preserve">PEC-0192</t>
  </si>
  <si>
    <t xml:space="preserve">11 01 641 (01484)</t>
  </si>
  <si>
    <t xml:space="preserve">PEC-0193</t>
  </si>
  <si>
    <t xml:space="preserve">11 01 649 (01500)</t>
  </si>
  <si>
    <t xml:space="preserve">PEC-0194</t>
  </si>
  <si>
    <t xml:space="preserve">11 01 650 (01501)</t>
  </si>
  <si>
    <t xml:space="preserve">PEC-0195</t>
  </si>
  <si>
    <t xml:space="preserve">11 01 651 (01502)</t>
  </si>
  <si>
    <t xml:space="preserve">PEC-0196</t>
  </si>
  <si>
    <t xml:space="preserve">11 01 661 (34580)</t>
  </si>
  <si>
    <t xml:space="preserve">PEC-0197</t>
  </si>
  <si>
    <t xml:space="preserve">11 01 662 (34581)</t>
  </si>
  <si>
    <t xml:space="preserve">PEC-0198</t>
  </si>
  <si>
    <t xml:space="preserve">11 01 663 (01503)</t>
  </si>
  <si>
    <t xml:space="preserve">PEC-0199</t>
  </si>
  <si>
    <t xml:space="preserve">11 01 675 (01504)</t>
  </si>
  <si>
    <t xml:space="preserve">PEC-0200</t>
  </si>
  <si>
    <t xml:space="preserve">11 01 690 (17903)</t>
  </si>
  <si>
    <t xml:space="preserve">PEC-0201</t>
  </si>
  <si>
    <t xml:space="preserve">11 01 691 (17904)</t>
  </si>
  <si>
    <t xml:space="preserve">PEC-0202</t>
  </si>
  <si>
    <t xml:space="preserve">11 01 710 (17905)</t>
  </si>
  <si>
    <t xml:space="preserve">PEC-0203</t>
  </si>
  <si>
    <t xml:space="preserve">11 01 225 (11723)</t>
  </si>
  <si>
    <t xml:space="preserve">Codo pared rosca hembra</t>
  </si>
  <si>
    <t xml:space="preserve">PEC-0204</t>
  </si>
  <si>
    <t xml:space="preserve">11 01 325 (15778)</t>
  </si>
  <si>
    <t xml:space="preserve">Codo pared reforzado (inox) rosca hembra</t>
  </si>
  <si>
    <t xml:space="preserve">PEC-0205</t>
  </si>
  <si>
    <t xml:space="preserve">11 03 016 (01506)</t>
  </si>
  <si>
    <t xml:space="preserve">PEC-0206</t>
  </si>
  <si>
    <t xml:space="preserve">11 03 020 (01507)</t>
  </si>
  <si>
    <t xml:space="preserve">PEC-0207</t>
  </si>
  <si>
    <t xml:space="preserve">11 03 025 (01508)</t>
  </si>
  <si>
    <t xml:space="preserve">PEC-0208</t>
  </si>
  <si>
    <t xml:space="preserve">11 03 032 (01509)</t>
  </si>
  <si>
    <t xml:space="preserve">PEC-0209</t>
  </si>
  <si>
    <t xml:space="preserve">11 03 040 (01510)</t>
  </si>
  <si>
    <t xml:space="preserve">PEC-0210</t>
  </si>
  <si>
    <t xml:space="preserve">11 03 050 (01511)</t>
  </si>
  <si>
    <t xml:space="preserve">PEC-0211</t>
  </si>
  <si>
    <t xml:space="preserve">11 03 063 (01512)</t>
  </si>
  <si>
    <t xml:space="preserve">PEC-0212</t>
  </si>
  <si>
    <t xml:space="preserve">11 03 075 (01513)</t>
  </si>
  <si>
    <t xml:space="preserve">PEC-0213</t>
  </si>
  <si>
    <t xml:space="preserve">11 03 090 (17906)</t>
  </si>
  <si>
    <t xml:space="preserve">PEC-0214</t>
  </si>
  <si>
    <t xml:space="preserve">11 03 110 (17907)</t>
  </si>
  <si>
    <t xml:space="preserve">PEC-0215</t>
  </si>
  <si>
    <t xml:space="preserve">11 03 416 (01523)</t>
  </si>
  <si>
    <t xml:space="preserve">PEC-0216</t>
  </si>
  <si>
    <t xml:space="preserve">11 03 417 (09147)</t>
  </si>
  <si>
    <t xml:space="preserve">PEC-0217</t>
  </si>
  <si>
    <t xml:space="preserve">11 03 420 (01524)</t>
  </si>
  <si>
    <t xml:space="preserve">PEC-0218</t>
  </si>
  <si>
    <t xml:space="preserve">11 03 421 (01525)</t>
  </si>
  <si>
    <t xml:space="preserve">PEC-0219</t>
  </si>
  <si>
    <t xml:space="preserve">11 03 424 (01526)</t>
  </si>
  <si>
    <t xml:space="preserve">PEC-0220</t>
  </si>
  <si>
    <t xml:space="preserve">11 03 425 (01527)</t>
  </si>
  <si>
    <t xml:space="preserve">PEC-0221</t>
  </si>
  <si>
    <t xml:space="preserve">11 03 426 (34227)</t>
  </si>
  <si>
    <t xml:space="preserve">PEC-0222</t>
  </si>
  <si>
    <t xml:space="preserve">11 03 430 (01528)</t>
  </si>
  <si>
    <t xml:space="preserve">PEC-0223</t>
  </si>
  <si>
    <t xml:space="preserve">11 03 431 (03337)</t>
  </si>
  <si>
    <t xml:space="preserve">PEC-0224</t>
  </si>
  <si>
    <t xml:space="preserve">11 03 432 (01529)</t>
  </si>
  <si>
    <t xml:space="preserve">PEC-0225</t>
  </si>
  <si>
    <t xml:space="preserve">11 03 440 (01530)</t>
  </si>
  <si>
    <t xml:space="preserve">PEC-0226</t>
  </si>
  <si>
    <t xml:space="preserve">11 03 448 (33129)</t>
  </si>
  <si>
    <t xml:space="preserve">PEC-0227</t>
  </si>
  <si>
    <t xml:space="preserve">11 03 450 (01531)</t>
  </si>
  <si>
    <t xml:space="preserve">PEC-0228</t>
  </si>
  <si>
    <t xml:space="preserve">11 03 451 (01532)</t>
  </si>
  <si>
    <t xml:space="preserve">PEC-0229</t>
  </si>
  <si>
    <t xml:space="preserve">11 03 460 (33130)</t>
  </si>
  <si>
    <t xml:space="preserve">PEC-0230</t>
  </si>
  <si>
    <t xml:space="preserve">11 03 462 (33131)</t>
  </si>
  <si>
    <t xml:space="preserve">PEC-0231</t>
  </si>
  <si>
    <t xml:space="preserve">11 03 463 (01533)</t>
  </si>
  <si>
    <t xml:space="preserve">PEC-0232</t>
  </si>
  <si>
    <t xml:space="preserve">11 03 475 (01534)</t>
  </si>
  <si>
    <t xml:space="preserve">PEC-0233</t>
  </si>
  <si>
    <t xml:space="preserve">11 03 490 (17910)</t>
  </si>
  <si>
    <t xml:space="preserve">PEC-0234</t>
  </si>
  <si>
    <t xml:space="preserve">11 03 509 (17911)</t>
  </si>
  <si>
    <t xml:space="preserve">PEC-0235</t>
  </si>
  <si>
    <t xml:space="preserve">11 03 510 (17912)</t>
  </si>
  <si>
    <t xml:space="preserve">PEC-0236</t>
  </si>
  <si>
    <t xml:space="preserve">11 03 616 (01536)</t>
  </si>
  <si>
    <t xml:space="preserve">PEC-0237</t>
  </si>
  <si>
    <t xml:space="preserve">11 03 617 (09148)</t>
  </si>
  <si>
    <t xml:space="preserve">PEC-0238</t>
  </si>
  <si>
    <t xml:space="preserve">11 03 620 (01537)</t>
  </si>
  <si>
    <t xml:space="preserve">PEC-0239</t>
  </si>
  <si>
    <t xml:space="preserve">11 03 621 (01538)</t>
  </si>
  <si>
    <t xml:space="preserve">PEC-0240</t>
  </si>
  <si>
    <t xml:space="preserve">11 03 624 (01539)</t>
  </si>
  <si>
    <t xml:space="preserve">PEC-0241</t>
  </si>
  <si>
    <t xml:space="preserve">11 03 625 (01540)</t>
  </si>
  <si>
    <t xml:space="preserve">PEC-0242</t>
  </si>
  <si>
    <t xml:space="preserve">11 03 630 (01541)</t>
  </si>
  <si>
    <t xml:space="preserve">PEC-0243</t>
  </si>
  <si>
    <t xml:space="preserve">11 03 632 (01542)</t>
  </si>
  <si>
    <t xml:space="preserve">PEC-0244</t>
  </si>
  <si>
    <t xml:space="preserve">11 03 640 (01543)</t>
  </si>
  <si>
    <t xml:space="preserve">PEC-0245</t>
  </si>
  <si>
    <t xml:space="preserve">11 03 641 (03338)</t>
  </si>
  <si>
    <t xml:space="preserve">PEC-0246</t>
  </si>
  <si>
    <t xml:space="preserve">11 03 650 (01544)</t>
  </si>
  <si>
    <t xml:space="preserve">PEC-0247</t>
  </si>
  <si>
    <t xml:space="preserve">11 03 663 (01545)</t>
  </si>
  <si>
    <t xml:space="preserve">PEC-0248</t>
  </si>
  <si>
    <t xml:space="preserve">11 03 675 (01546)</t>
  </si>
  <si>
    <t xml:space="preserve">PEC-0249</t>
  </si>
  <si>
    <t xml:space="preserve">11 03 690 (17913)</t>
  </si>
  <si>
    <t xml:space="preserve">PEC-0250</t>
  </si>
  <si>
    <t xml:space="preserve">11 03 691 (17914)</t>
  </si>
  <si>
    <t xml:space="preserve">PEC-0251</t>
  </si>
  <si>
    <t xml:space="preserve">11 03 710 (17915)</t>
  </si>
  <si>
    <t xml:space="preserve">PEC-0252</t>
  </si>
  <si>
    <t xml:space="preserve">11 04 020 (01515)</t>
  </si>
  <si>
    <t xml:space="preserve">PEC-0253</t>
  </si>
  <si>
    <t xml:space="preserve">11 04 025 (01516)</t>
  </si>
  <si>
    <t xml:space="preserve">PEC-0254</t>
  </si>
  <si>
    <t xml:space="preserve">11 04 032 (01517)</t>
  </si>
  <si>
    <t xml:space="preserve">PEC-0255</t>
  </si>
  <si>
    <t xml:space="preserve">11 04 040 (01518)</t>
  </si>
  <si>
    <t xml:space="preserve">PEC-0256</t>
  </si>
  <si>
    <t xml:space="preserve">11 04 049 (33487)</t>
  </si>
  <si>
    <t xml:space="preserve">PEC-0257</t>
  </si>
  <si>
    <t xml:space="preserve">11 04 050 (01519)</t>
  </si>
  <si>
    <t xml:space="preserve">PEC-0258</t>
  </si>
  <si>
    <t xml:space="preserve">11 04 063 (01520)</t>
  </si>
  <si>
    <t xml:space="preserve">PEC-0259</t>
  </si>
  <si>
    <t xml:space="preserve">11 04 075 (01521)</t>
  </si>
  <si>
    <t xml:space="preserve">PEC-0260</t>
  </si>
  <si>
    <t xml:space="preserve">11 04 090 (17908)</t>
  </si>
  <si>
    <t xml:space="preserve">PEC-0261</t>
  </si>
  <si>
    <t xml:space="preserve">11 04 110 (17909)</t>
  </si>
  <si>
    <t xml:space="preserve">PEC-0262</t>
  </si>
  <si>
    <t xml:space="preserve">11 08 020 (33891)</t>
  </si>
  <si>
    <t xml:space="preserve">Te ampliada 20 × 25 × 20 (derivación mayor)</t>
  </si>
  <si>
    <t xml:space="preserve">Derivación de 25 mm en una línea de 20 mm</t>
  </si>
  <si>
    <t xml:space="preserve">PEC-0263</t>
  </si>
  <si>
    <t xml:space="preserve">11 05 016 (01548)</t>
  </si>
  <si>
    <t xml:space="preserve">PEC-0264</t>
  </si>
  <si>
    <t xml:space="preserve">11 05 020 (01549)</t>
  </si>
  <si>
    <t xml:space="preserve">PEC-0265</t>
  </si>
  <si>
    <t xml:space="preserve">11 05 025 (01550)</t>
  </si>
  <si>
    <t xml:space="preserve">PEC-0266</t>
  </si>
  <si>
    <t xml:space="preserve">11 05 032 (01551)</t>
  </si>
  <si>
    <t xml:space="preserve">PEC-0267</t>
  </si>
  <si>
    <t xml:space="preserve">11 05 040 (01552)</t>
  </si>
  <si>
    <t xml:space="preserve">PEC-0268</t>
  </si>
  <si>
    <t xml:space="preserve">11 05 050 (01553)</t>
  </si>
  <si>
    <t xml:space="preserve">PEC-0269</t>
  </si>
  <si>
    <t xml:space="preserve">11 05 063 (01554)</t>
  </si>
  <si>
    <t xml:space="preserve">PEC-0270</t>
  </si>
  <si>
    <t xml:space="preserve">11 05 075 (01555)</t>
  </si>
  <si>
    <t xml:space="preserve">PEC-0271</t>
  </si>
  <si>
    <t xml:space="preserve">11 05 090 (17916)</t>
  </si>
  <si>
    <t xml:space="preserve">PEC-0272</t>
  </si>
  <si>
    <t xml:space="preserve">11 05 110 (17917)</t>
  </si>
  <si>
    <t xml:space="preserve">PEC-0273</t>
  </si>
  <si>
    <t xml:space="preserve">11 05 416 (01565)</t>
  </si>
  <si>
    <t xml:space="preserve">PEC-0274</t>
  </si>
  <si>
    <t xml:space="preserve">11 05 417 (07349)</t>
  </si>
  <si>
    <t xml:space="preserve">PEC-0275</t>
  </si>
  <si>
    <t xml:space="preserve">11 05 420 (01566)</t>
  </si>
  <si>
    <t xml:space="preserve">PEC-0276</t>
  </si>
  <si>
    <t xml:space="preserve">11 05 421 (01567)</t>
  </si>
  <si>
    <t xml:space="preserve">PEC-0277</t>
  </si>
  <si>
    <t xml:space="preserve">11 05 424 (01568)</t>
  </si>
  <si>
    <t xml:space="preserve">PEC-0278</t>
  </si>
  <si>
    <t xml:space="preserve">11 05 425 (01569)</t>
  </si>
  <si>
    <t xml:space="preserve">PEC-0279</t>
  </si>
  <si>
    <t xml:space="preserve">11 05 426 (01570)</t>
  </si>
  <si>
    <t xml:space="preserve">PEC-0280</t>
  </si>
  <si>
    <t xml:space="preserve">11 05 431 (01571)</t>
  </si>
  <si>
    <t xml:space="preserve">PEC-0281</t>
  </si>
  <si>
    <t xml:space="preserve">11 05 432 (01572)</t>
  </si>
  <si>
    <t xml:space="preserve">PEC-0282</t>
  </si>
  <si>
    <t xml:space="preserve">11 05 439 (01573)</t>
  </si>
  <si>
    <t xml:space="preserve">PEC-0283</t>
  </si>
  <si>
    <t xml:space="preserve">11 05 440 (01574)</t>
  </si>
  <si>
    <t xml:space="preserve">PEC-0284</t>
  </si>
  <si>
    <t xml:space="preserve">11 05 449 (01575)</t>
  </si>
  <si>
    <t xml:space="preserve">PEC-0285</t>
  </si>
  <si>
    <t xml:space="preserve">11 05 450 (01576)</t>
  </si>
  <si>
    <t xml:space="preserve">PEC-0286</t>
  </si>
  <si>
    <t xml:space="preserve">11 05 451 (01577)</t>
  </si>
  <si>
    <t xml:space="preserve">PEC-0287</t>
  </si>
  <si>
    <t xml:space="preserve">11 05 462 (34582)</t>
  </si>
  <si>
    <t xml:space="preserve">PEC-0288</t>
  </si>
  <si>
    <t xml:space="preserve">11 05 463 (01578)</t>
  </si>
  <si>
    <t xml:space="preserve">PEC-0289</t>
  </si>
  <si>
    <t xml:space="preserve">11 05 474 (01579)</t>
  </si>
  <si>
    <t xml:space="preserve">PEC-0290</t>
  </si>
  <si>
    <t xml:space="preserve">11 05 475 (01580)</t>
  </si>
  <si>
    <t xml:space="preserve">PEC-0291</t>
  </si>
  <si>
    <t xml:space="preserve">11 05 476 (20786)</t>
  </si>
  <si>
    <t xml:space="preserve">PEC-0292</t>
  </si>
  <si>
    <t xml:space="preserve">11 05 488 (17921)</t>
  </si>
  <si>
    <t xml:space="preserve">PEC-0293</t>
  </si>
  <si>
    <t xml:space="preserve">11 05 489 (17922)</t>
  </si>
  <si>
    <t xml:space="preserve">PEC-0294</t>
  </si>
  <si>
    <t xml:space="preserve">11 05 490 (17923)</t>
  </si>
  <si>
    <t xml:space="preserve">PEC-0295</t>
  </si>
  <si>
    <t xml:space="preserve">11 05 491 (17924)</t>
  </si>
  <si>
    <t xml:space="preserve">PEC-0296</t>
  </si>
  <si>
    <t xml:space="preserve">11 05 508 (17925)</t>
  </si>
  <si>
    <t xml:space="preserve">PEC-0297</t>
  </si>
  <si>
    <t xml:space="preserve">11 05 509 (17926)</t>
  </si>
  <si>
    <t xml:space="preserve">PEC-0298</t>
  </si>
  <si>
    <t xml:space="preserve">11 05 510 (17927)</t>
  </si>
  <si>
    <t xml:space="preserve">PEC-0299</t>
  </si>
  <si>
    <t xml:space="preserve">11 05 616 (01582)</t>
  </si>
  <si>
    <t xml:space="preserve">PEC-0300</t>
  </si>
  <si>
    <t xml:space="preserve">11 05 617 (07348)</t>
  </si>
  <si>
    <t xml:space="preserve">PEC-0301</t>
  </si>
  <si>
    <t xml:space="preserve">11 05 618 (31921)</t>
  </si>
  <si>
    <t xml:space="preserve">PEC-0302</t>
  </si>
  <si>
    <t xml:space="preserve">11 05 620 (01583)</t>
  </si>
  <si>
    <t xml:space="preserve">PEC-0303</t>
  </si>
  <si>
    <t xml:space="preserve">11 05 621 (01584)</t>
  </si>
  <si>
    <t xml:space="preserve">PEC-0304</t>
  </si>
  <si>
    <t xml:space="preserve">11 05 622 (01585)</t>
  </si>
  <si>
    <t xml:space="preserve">PEC-0305</t>
  </si>
  <si>
    <t xml:space="preserve">11 05 624 (01586)</t>
  </si>
  <si>
    <t xml:space="preserve">PEC-0306</t>
  </si>
  <si>
    <t xml:space="preserve">11 05 625 (01587)</t>
  </si>
  <si>
    <t xml:space="preserve">PEC-0307</t>
  </si>
  <si>
    <t xml:space="preserve">11 05 626 (01588)</t>
  </si>
  <si>
    <t xml:space="preserve">PEC-0308</t>
  </si>
  <si>
    <t xml:space="preserve">11 05 631 (01589)</t>
  </si>
  <si>
    <t xml:space="preserve">PEC-0309</t>
  </si>
  <si>
    <t xml:space="preserve">11 05 632 (01590)</t>
  </si>
  <si>
    <t xml:space="preserve">PEC-0310</t>
  </si>
  <si>
    <t xml:space="preserve">11 05 633 (06154)</t>
  </si>
  <si>
    <t xml:space="preserve">PEC-0311</t>
  </si>
  <si>
    <t xml:space="preserve">11 05 639 (33127)</t>
  </si>
  <si>
    <t xml:space="preserve">PEC-0312</t>
  </si>
  <si>
    <t xml:space="preserve">11 05 640 (01591)</t>
  </si>
  <si>
    <t xml:space="preserve">PEC-0313</t>
  </si>
  <si>
    <t xml:space="preserve">11 05 641 (01592)</t>
  </si>
  <si>
    <t xml:space="preserve">PEC-0314</t>
  </si>
  <si>
    <t xml:space="preserve">11 05 648 (33128)</t>
  </si>
  <si>
    <t xml:space="preserve">PEC-0315</t>
  </si>
  <si>
    <t xml:space="preserve">11 05 649 (06155)</t>
  </si>
  <si>
    <t xml:space="preserve">PEC-0316</t>
  </si>
  <si>
    <t xml:space="preserve">11 05 650 (01593)</t>
  </si>
  <si>
    <t xml:space="preserve">PEC-0317</t>
  </si>
  <si>
    <t xml:space="preserve">11 05 651 (01594)</t>
  </si>
  <si>
    <t xml:space="preserve">PEC-0318</t>
  </si>
  <si>
    <t xml:space="preserve">11 05 662 (01595)</t>
  </si>
  <si>
    <t xml:space="preserve">PEC-0319</t>
  </si>
  <si>
    <t xml:space="preserve">11 05 663 (01596)</t>
  </si>
  <si>
    <t xml:space="preserve">PEC-0320</t>
  </si>
  <si>
    <t xml:space="preserve">11 05 674 (01597)</t>
  </si>
  <si>
    <t xml:space="preserve">PEC-0321</t>
  </si>
  <si>
    <t xml:space="preserve">11 05 675 (01598)</t>
  </si>
  <si>
    <t xml:space="preserve">PEC-0322</t>
  </si>
  <si>
    <t xml:space="preserve">11 05 676 (09711)</t>
  </si>
  <si>
    <t xml:space="preserve">PEC-0323</t>
  </si>
  <si>
    <t xml:space="preserve">11 05 688 (17928)</t>
  </si>
  <si>
    <t xml:space="preserve">PEC-0324</t>
  </si>
  <si>
    <t xml:space="preserve">11 05 689 (17929)</t>
  </si>
  <si>
    <t xml:space="preserve">PEC-0325</t>
  </si>
  <si>
    <t xml:space="preserve">11 05 690 (17930)</t>
  </si>
  <si>
    <t xml:space="preserve">PEC-0326</t>
  </si>
  <si>
    <t xml:space="preserve">11 05 691 (17931)</t>
  </si>
  <si>
    <t xml:space="preserve">PEC-0327</t>
  </si>
  <si>
    <t xml:space="preserve">11 05 708 (17932)</t>
  </si>
  <si>
    <t xml:space="preserve">PEC-0328</t>
  </si>
  <si>
    <t xml:space="preserve">11 05 709 (17933)</t>
  </si>
  <si>
    <t xml:space="preserve">PEC-0329</t>
  </si>
  <si>
    <t xml:space="preserve">11 05 710 (17934)</t>
  </si>
  <si>
    <t xml:space="preserve">PEC-0330</t>
  </si>
  <si>
    <t xml:space="preserve">11 06 020 (01557)</t>
  </si>
  <si>
    <t xml:space="preserve">PEC-0331</t>
  </si>
  <si>
    <t xml:space="preserve">11 06 025 (01558)</t>
  </si>
  <si>
    <t xml:space="preserve">PEC-0332</t>
  </si>
  <si>
    <t xml:space="preserve">11 06 031 (33490)</t>
  </si>
  <si>
    <t xml:space="preserve">PEC-0333</t>
  </si>
  <si>
    <t xml:space="preserve">11 06 032 (01559)</t>
  </si>
  <si>
    <t xml:space="preserve">PEC-0334</t>
  </si>
  <si>
    <t xml:space="preserve">11 06 039 (34576)</t>
  </si>
  <si>
    <t xml:space="preserve">PEC-0335</t>
  </si>
  <si>
    <t xml:space="preserve">11 06 040 (01560)</t>
  </si>
  <si>
    <t xml:space="preserve">PEC-0336</t>
  </si>
  <si>
    <t xml:space="preserve">11 06 049 (27994)</t>
  </si>
  <si>
    <t xml:space="preserve">PEC-0337</t>
  </si>
  <si>
    <t xml:space="preserve">11 06 050 (01561)</t>
  </si>
  <si>
    <t xml:space="preserve">PEC-0338</t>
  </si>
  <si>
    <t xml:space="preserve">11 06 063 (01562)</t>
  </si>
  <si>
    <t xml:space="preserve">PEC-0339</t>
  </si>
  <si>
    <t xml:space="preserve">11 06 075 (01563)</t>
  </si>
  <si>
    <t xml:space="preserve">PEC-0340</t>
  </si>
  <si>
    <t xml:space="preserve">11 06 089 (17918)</t>
  </si>
  <si>
    <t xml:space="preserve">PEC-0341</t>
  </si>
  <si>
    <t xml:space="preserve">11 06 090 (17919)</t>
  </si>
  <si>
    <t xml:space="preserve">PEC-0342</t>
  </si>
  <si>
    <t xml:space="preserve">11 06 110 (17920)</t>
  </si>
  <si>
    <t xml:space="preserve">PEC-0343</t>
  </si>
  <si>
    <t xml:space="preserve">11 07 016 (01600)</t>
  </si>
  <si>
    <t xml:space="preserve">PEC-0344</t>
  </si>
  <si>
    <t xml:space="preserve">11 07 020 (01601)</t>
  </si>
  <si>
    <t xml:space="preserve">PEC-0345</t>
  </si>
  <si>
    <t xml:space="preserve">11 07 025 (01602)</t>
  </si>
  <si>
    <t xml:space="preserve">PEC-0346</t>
  </si>
  <si>
    <t xml:space="preserve">11 07 032 (01603)</t>
  </si>
  <si>
    <t xml:space="preserve">PEC-0347</t>
  </si>
  <si>
    <t xml:space="preserve">11 07 040 (01604)</t>
  </si>
  <si>
    <t xml:space="preserve">PEC-0348</t>
  </si>
  <si>
    <t xml:space="preserve">11 07 050 (01605)</t>
  </si>
  <si>
    <t xml:space="preserve">PEC-0349</t>
  </si>
  <si>
    <t xml:space="preserve">11 07 063 (01606)</t>
  </si>
  <si>
    <t xml:space="preserve">PEC-0350</t>
  </si>
  <si>
    <t xml:space="preserve">11 07 075 (01607)</t>
  </si>
  <si>
    <t xml:space="preserve">PEC-0351</t>
  </si>
  <si>
    <t xml:space="preserve">11 07 090 (17935)</t>
  </si>
  <si>
    <t xml:space="preserve">PEC-0352</t>
  </si>
  <si>
    <t xml:space="preserve">11 07 110 (17936)</t>
  </si>
  <si>
    <t xml:space="preserve">PECT-0353</t>
  </si>
  <si>
    <t xml:space="preserve">Collarín de toma</t>
  </si>
  <si>
    <t xml:space="preserve">Cepex (distribuidor Poolaria)</t>
  </si>
  <si>
    <t xml:space="preserve">Collarín 25 x 1/2"</t>
  </si>
  <si>
    <t xml:space="preserve">Collarín de toma (salida rosca hembra)</t>
  </si>
  <si>
    <t xml:space="preserve">PP</t>
  </si>
  <si>
    <t xml:space="preserve">Para tubo PE y PVC</t>
  </si>
  <si>
    <t xml:space="preserve">PECT-0354</t>
  </si>
  <si>
    <t xml:space="preserve">Collarín 25 x 3/4"</t>
  </si>
  <si>
    <t xml:space="preserve">PECT-0355</t>
  </si>
  <si>
    <t xml:space="preserve">Collarín 32 x 1/2"</t>
  </si>
  <si>
    <t xml:space="preserve">PECT-0356</t>
  </si>
  <si>
    <t xml:space="preserve">Collarín 32 x 3/4"</t>
  </si>
  <si>
    <t xml:space="preserve">PECT-0357</t>
  </si>
  <si>
    <t xml:space="preserve">Collarín 32 x 1"</t>
  </si>
  <si>
    <t xml:space="preserve">PECT-0358</t>
  </si>
  <si>
    <t xml:space="preserve">Collarín 40 x 1/2"</t>
  </si>
  <si>
    <t xml:space="preserve">PECT-0359</t>
  </si>
  <si>
    <t xml:space="preserve">Collarín 40 x 3/4"</t>
  </si>
  <si>
    <t xml:space="preserve">PECT-0360</t>
  </si>
  <si>
    <t xml:space="preserve">Collarín 40 x 1"</t>
  </si>
  <si>
    <t xml:space="preserve">PECT-0361</t>
  </si>
  <si>
    <t xml:space="preserve">Collarín 50 x 1/2"</t>
  </si>
  <si>
    <t xml:space="preserve">PECT-0362</t>
  </si>
  <si>
    <t xml:space="preserve">Collarín 50 x 3/4"</t>
  </si>
  <si>
    <t xml:space="preserve">PECT-0363</t>
  </si>
  <si>
    <t xml:space="preserve">Collarín 50 x 1"</t>
  </si>
  <si>
    <t xml:space="preserve">PECT-0364</t>
  </si>
  <si>
    <t xml:space="preserve">Collarín 50 x 1 1/4"</t>
  </si>
  <si>
    <t xml:space="preserve">PECT-0365</t>
  </si>
  <si>
    <t xml:space="preserve">Collarín 63 x 1/2"</t>
  </si>
  <si>
    <t xml:space="preserve">PECT-0366</t>
  </si>
  <si>
    <t xml:space="preserve">Collarín 63 x 3/4"</t>
  </si>
  <si>
    <t xml:space="preserve">PECT-0367</t>
  </si>
  <si>
    <t xml:space="preserve">Collarín 63 x 1"</t>
  </si>
  <si>
    <t xml:space="preserve">PECT-0368</t>
  </si>
  <si>
    <t xml:space="preserve">Collarín 63 x 1 1/4"</t>
  </si>
  <si>
    <t xml:space="preserve">PECT-0369</t>
  </si>
  <si>
    <t xml:space="preserve">Collarín 63 x 1 1/2"</t>
  </si>
  <si>
    <t xml:space="preserve">PECT-0370</t>
  </si>
  <si>
    <t xml:space="preserve">Collarín 75 x 1/2"</t>
  </si>
  <si>
    <t xml:space="preserve">PECT-0371</t>
  </si>
  <si>
    <t xml:space="preserve">Collarín 75 x 3/4"</t>
  </si>
  <si>
    <t xml:space="preserve">PECT-0372</t>
  </si>
  <si>
    <t xml:space="preserve">Collarín 75 x 1"</t>
  </si>
  <si>
    <t xml:space="preserve">PECT-0373</t>
  </si>
  <si>
    <t xml:space="preserve">Collarín 75 x 1 1/4"</t>
  </si>
  <si>
    <t xml:space="preserve">PECT-0374</t>
  </si>
  <si>
    <t xml:space="preserve">Collarín 75 x 1 1/2"</t>
  </si>
  <si>
    <t xml:space="preserve">PECT-0375</t>
  </si>
  <si>
    <t xml:space="preserve">Collarín 90 x 1/2"</t>
  </si>
  <si>
    <t xml:space="preserve">PECT-0376</t>
  </si>
  <si>
    <t xml:space="preserve">Collarín 90 x 3/4"</t>
  </si>
  <si>
    <t xml:space="preserve">PECT-0377</t>
  </si>
  <si>
    <t xml:space="preserve">Collarín 90 x 1"</t>
  </si>
  <si>
    <t xml:space="preserve">PECT-0378</t>
  </si>
  <si>
    <t xml:space="preserve">Collarín 90 x 1 1/4"</t>
  </si>
  <si>
    <t xml:space="preserve">PECT-0379</t>
  </si>
  <si>
    <t xml:space="preserve">Collarín 90 x 1 1/2"</t>
  </si>
  <si>
    <t xml:space="preserve">PECT-0380</t>
  </si>
  <si>
    <t xml:space="preserve">Collarín 110 x 1"</t>
  </si>
  <si>
    <t xml:space="preserve">PECT-0381</t>
  </si>
  <si>
    <t xml:space="preserve">Collarín 110 x 1 1/2"</t>
  </si>
  <si>
    <t xml:space="preserve">PECT-0382</t>
  </si>
  <si>
    <t xml:space="preserve">Collarín 110 x 2"</t>
  </si>
  <si>
    <t xml:space="preserve">PECT-0383</t>
  </si>
  <si>
    <t xml:space="preserve">Collarín 125 x 1"</t>
  </si>
  <si>
    <t xml:space="preserve">PECT-0384</t>
  </si>
  <si>
    <t xml:space="preserve">Collarín 125 x 1 1/2"</t>
  </si>
  <si>
    <t xml:space="preserve">PECT-0385</t>
  </si>
  <si>
    <t xml:space="preserve">Collarín 125 x 2"</t>
  </si>
  <si>
    <t xml:space="preserve">PECT-0386</t>
  </si>
  <si>
    <t xml:space="preserve">Collarín 140 x 1"</t>
  </si>
  <si>
    <t xml:space="preserve">PECT-0387</t>
  </si>
  <si>
    <t xml:space="preserve">Collarín 140 x 1 1/2"</t>
  </si>
  <si>
    <t xml:space="preserve">PECT-0388</t>
  </si>
  <si>
    <t xml:space="preserve">Collarín 140 x 2"</t>
  </si>
  <si>
    <t xml:space="preserve">PECT-0389</t>
  </si>
  <si>
    <t xml:space="preserve">Collarín 140 x 3"</t>
  </si>
  <si>
    <t xml:space="preserve">PECT-0390</t>
  </si>
  <si>
    <t xml:space="preserve">Collarín 160 x 1"</t>
  </si>
  <si>
    <t xml:space="preserve">PECT-0391</t>
  </si>
  <si>
    <t xml:space="preserve">Collarín 160 x 1 1/2"</t>
  </si>
  <si>
    <t xml:space="preserve">PECT-0392</t>
  </si>
  <si>
    <t xml:space="preserve">Collarín 160 x 2"</t>
  </si>
  <si>
    <t xml:space="preserve">PECT-0393</t>
  </si>
  <si>
    <t xml:space="preserve">Collarín 160 x 3"</t>
  </si>
  <si>
    <t xml:space="preserve">PECT-0394</t>
  </si>
  <si>
    <t xml:space="preserve">Collarín 200 x 1 1/4"</t>
  </si>
  <si>
    <t xml:space="preserve">PECT-0395</t>
  </si>
  <si>
    <t xml:space="preserve">Collarín 200 x 1 1/2"</t>
  </si>
  <si>
    <t xml:space="preserve">PECT-0396</t>
  </si>
  <si>
    <t xml:space="preserve">Collarín 200 x 2"</t>
  </si>
  <si>
    <t xml:space="preserve">PECT-0397</t>
  </si>
  <si>
    <t xml:space="preserve">Collarín 200 x 3"</t>
  </si>
  <si>
    <t xml:space="preserve">PECT-0398</t>
  </si>
  <si>
    <t xml:space="preserve">Collarín 200 x 4"</t>
  </si>
  <si>
    <t xml:space="preserve">PECT-0399</t>
  </si>
  <si>
    <t xml:space="preserve">Collarín 225 x 1 1/4"</t>
  </si>
  <si>
    <t xml:space="preserve">PECT-0400</t>
  </si>
  <si>
    <t xml:space="preserve">Collarín 225 x 1 1/2"</t>
  </si>
  <si>
    <t xml:space="preserve">PECT-0401</t>
  </si>
  <si>
    <t xml:space="preserve">Collarín 225 x 2"</t>
  </si>
  <si>
    <t xml:space="preserve">PECT-0402</t>
  </si>
  <si>
    <t xml:space="preserve">Collarín 225 x 3"</t>
  </si>
  <si>
    <t xml:space="preserve">PECT-0403</t>
  </si>
  <si>
    <t xml:space="preserve">Collarín 225 x 4"</t>
  </si>
  <si>
    <t xml:space="preserve">PECT-0404</t>
  </si>
  <si>
    <t xml:space="preserve">Collarín 250 x 1 1/4"</t>
  </si>
  <si>
    <t xml:space="preserve">PECT-0405</t>
  </si>
  <si>
    <t xml:space="preserve">Collarín 250 x 1 1/2"</t>
  </si>
  <si>
    <t xml:space="preserve">PECT-0406</t>
  </si>
  <si>
    <t xml:space="preserve">Collarín 250 x 2"</t>
  </si>
  <si>
    <t xml:space="preserve">PECT-0407</t>
  </si>
  <si>
    <t xml:space="preserve">Collarín 250 x 3"</t>
  </si>
  <si>
    <t xml:space="preserve">PECT-0408</t>
  </si>
  <si>
    <t xml:space="preserve">Collarín 250 x 4"</t>
  </si>
  <si>
    <t xml:space="preserve">PECT-0409</t>
  </si>
  <si>
    <t xml:space="preserve">Collarín 315 x 1 1/4"</t>
  </si>
  <si>
    <t xml:space="preserve">PECT-0410</t>
  </si>
  <si>
    <t xml:space="preserve">Collarín 315 x 1 1/2"</t>
  </si>
  <si>
    <t xml:space="preserve">PECT-0411</t>
  </si>
  <si>
    <t xml:space="preserve">Collarín 315 x 2"</t>
  </si>
  <si>
    <t xml:space="preserve">PECT-0412</t>
  </si>
  <si>
    <t xml:space="preserve">Collarín 315 x 3"</t>
  </si>
  <si>
    <t xml:space="preserve">PECT-0413</t>
  </si>
  <si>
    <t xml:space="preserve">Collarín 315 x 4"</t>
  </si>
  <si>
    <t xml:space="preserve">PEEF-0414</t>
  </si>
  <si>
    <t xml:space="preserve">Electrofusión</t>
  </si>
  <si>
    <t xml:space="preserve">EGB (tarifa 2022)</t>
  </si>
  <si>
    <t xml:space="preserve">DAEMAN020</t>
  </si>
  <si>
    <t xml:space="preserve">Manguito electrosoldable</t>
  </si>
  <si>
    <t xml:space="preserve">PE100 · electrosoldable</t>
  </si>
  <si>
    <t xml:space="preserve">Paso total: pérdida despreciable</t>
  </si>
  <si>
    <t xml:space="preserve">PEEF-0415</t>
  </si>
  <si>
    <t xml:space="preserve">DAEMAN025</t>
  </si>
  <si>
    <t xml:space="preserve">PEEF-0416</t>
  </si>
  <si>
    <t xml:space="preserve">DAEMAN032</t>
  </si>
  <si>
    <t xml:space="preserve">PEEF-0417</t>
  </si>
  <si>
    <t xml:space="preserve">DAEMAN040</t>
  </si>
  <si>
    <t xml:space="preserve">PEEF-0418</t>
  </si>
  <si>
    <t xml:space="preserve">DAEMAN050</t>
  </si>
  <si>
    <t xml:space="preserve">PEEF-0419</t>
  </si>
  <si>
    <t xml:space="preserve">DAEMAN063</t>
  </si>
  <si>
    <t xml:space="preserve">PEEF-0420</t>
  </si>
  <si>
    <t xml:space="preserve">DAEMAN075</t>
  </si>
  <si>
    <t xml:space="preserve">PEEF-0421</t>
  </si>
  <si>
    <t xml:space="preserve">DAEMAN090</t>
  </si>
  <si>
    <t xml:space="preserve">PEEF-0422</t>
  </si>
  <si>
    <t xml:space="preserve">DAEMAN110</t>
  </si>
  <si>
    <t xml:space="preserve">PEEF-0423</t>
  </si>
  <si>
    <t xml:space="preserve">DAEMAN125</t>
  </si>
  <si>
    <t xml:space="preserve">PEEF-0424</t>
  </si>
  <si>
    <t xml:space="preserve">DAEMAN140</t>
  </si>
  <si>
    <t xml:space="preserve">PEEF-0425</t>
  </si>
  <si>
    <t xml:space="preserve">DAEMAN160</t>
  </si>
  <si>
    <t xml:space="preserve">PEEF-0426</t>
  </si>
  <si>
    <t xml:space="preserve">DAEMAN180</t>
  </si>
  <si>
    <t xml:space="preserve">PEEF-0427</t>
  </si>
  <si>
    <t xml:space="preserve">DAEMAN200</t>
  </si>
  <si>
    <t xml:space="preserve">PEEF-0428</t>
  </si>
  <si>
    <t xml:space="preserve">DAEMAN225</t>
  </si>
  <si>
    <t xml:space="preserve">PEEF-0429</t>
  </si>
  <si>
    <t xml:space="preserve">DAEMAN250</t>
  </si>
  <si>
    <t xml:space="preserve">PEEF-0430</t>
  </si>
  <si>
    <t xml:space="preserve">DAEMAN280</t>
  </si>
  <si>
    <t xml:space="preserve">PEEF-0431</t>
  </si>
  <si>
    <t xml:space="preserve">DAEMAN315</t>
  </si>
  <si>
    <t xml:space="preserve">PEEF-0432</t>
  </si>
  <si>
    <t xml:space="preserve">DAEMAN355</t>
  </si>
  <si>
    <t xml:space="preserve">PEEF-0433</t>
  </si>
  <si>
    <t xml:space="preserve">DAEMAN400</t>
  </si>
  <si>
    <t xml:space="preserve">PEEF-0434</t>
  </si>
  <si>
    <t xml:space="preserve">DAETAP020</t>
  </si>
  <si>
    <t xml:space="preserve">Tapón electrosoldable</t>
  </si>
  <si>
    <t xml:space="preserve">PEEF-0435</t>
  </si>
  <si>
    <t xml:space="preserve">DAETAP025</t>
  </si>
  <si>
    <t xml:space="preserve">PEEF-0436</t>
  </si>
  <si>
    <t xml:space="preserve">DAETAP032</t>
  </si>
  <si>
    <t xml:space="preserve">PEEF-0437</t>
  </si>
  <si>
    <t xml:space="preserve">DAETAP040</t>
  </si>
  <si>
    <t xml:space="preserve">PEEF-0438</t>
  </si>
  <si>
    <t xml:space="preserve">DAETAP050</t>
  </si>
  <si>
    <t xml:space="preserve">PEEF-0439</t>
  </si>
  <si>
    <t xml:space="preserve">DAETAP063</t>
  </si>
  <si>
    <t xml:space="preserve">PEEF-0440</t>
  </si>
  <si>
    <t xml:space="preserve">DAETAP075</t>
  </si>
  <si>
    <t xml:space="preserve">PEEF-0441</t>
  </si>
  <si>
    <t xml:space="preserve">DAETAP090</t>
  </si>
  <si>
    <t xml:space="preserve">PEEF-0442</t>
  </si>
  <si>
    <t xml:space="preserve">DAETAP110</t>
  </si>
  <si>
    <t xml:space="preserve">PEEF-0443</t>
  </si>
  <si>
    <t xml:space="preserve">DAETAP125</t>
  </si>
  <si>
    <t xml:space="preserve">PEEF-0444</t>
  </si>
  <si>
    <t xml:space="preserve">DAETAP160</t>
  </si>
  <si>
    <t xml:space="preserve">PEEF-0445</t>
  </si>
  <si>
    <t xml:space="preserve">DAETAP200</t>
  </si>
  <si>
    <t xml:space="preserve">PEEF-0446</t>
  </si>
  <si>
    <t xml:space="preserve">DAERE2520</t>
  </si>
  <si>
    <t xml:space="preserve">Reducción electrosoldable</t>
  </si>
  <si>
    <t xml:space="preserve">Crane fórm. 1 (contracción) / fórm. 3 (expansión) con θ</t>
  </si>
  <si>
    <t xml:space="preserve">PEEF-0447</t>
  </si>
  <si>
    <t xml:space="preserve">DAERE3220</t>
  </si>
  <si>
    <t xml:space="preserve">PEEF-0448</t>
  </si>
  <si>
    <t xml:space="preserve">DAERE3225</t>
  </si>
  <si>
    <t xml:space="preserve">PEEF-0449</t>
  </si>
  <si>
    <t xml:space="preserve">DAERE4025</t>
  </si>
  <si>
    <t xml:space="preserve">PEEF-0450</t>
  </si>
  <si>
    <t xml:space="preserve">DAERE4032</t>
  </si>
  <si>
    <t xml:space="preserve">PEEF-0451</t>
  </si>
  <si>
    <t xml:space="preserve">DAERE5025</t>
  </si>
  <si>
    <t xml:space="preserve">PEEF-0452</t>
  </si>
  <si>
    <t xml:space="preserve">DAERE5032</t>
  </si>
  <si>
    <t xml:space="preserve">PEEF-0453</t>
  </si>
  <si>
    <t xml:space="preserve">DAERE5040</t>
  </si>
  <si>
    <t xml:space="preserve">PEEF-0454</t>
  </si>
  <si>
    <t xml:space="preserve">DAERE6325</t>
  </si>
  <si>
    <t xml:space="preserve">PEEF-0455</t>
  </si>
  <si>
    <t xml:space="preserve">DAERE6332</t>
  </si>
  <si>
    <t xml:space="preserve">PEEF-0456</t>
  </si>
  <si>
    <t xml:space="preserve">DAERE6340</t>
  </si>
  <si>
    <t xml:space="preserve">PEEF-0457</t>
  </si>
  <si>
    <t xml:space="preserve">DAERE6350</t>
  </si>
  <si>
    <t xml:space="preserve">PEEF-0458</t>
  </si>
  <si>
    <t xml:space="preserve">DAERE7563</t>
  </si>
  <si>
    <t xml:space="preserve">PEEF-0459</t>
  </si>
  <si>
    <t xml:space="preserve">DAERE9050</t>
  </si>
  <si>
    <t xml:space="preserve">PEEF-0460</t>
  </si>
  <si>
    <t xml:space="preserve">DAERE9063</t>
  </si>
  <si>
    <t xml:space="preserve">PEEF-0461</t>
  </si>
  <si>
    <t xml:space="preserve">DAERE9075</t>
  </si>
  <si>
    <t xml:space="preserve">PEEF-0462</t>
  </si>
  <si>
    <t xml:space="preserve">DAERE11063</t>
  </si>
  <si>
    <t xml:space="preserve">PEEF-0463</t>
  </si>
  <si>
    <t xml:space="preserve">DAERE11075</t>
  </si>
  <si>
    <t xml:space="preserve">PEEF-0464</t>
  </si>
  <si>
    <t xml:space="preserve">DAERE11090</t>
  </si>
  <si>
    <t xml:space="preserve">PEEF-0465</t>
  </si>
  <si>
    <t xml:space="preserve">DAERE12563</t>
  </si>
  <si>
    <t xml:space="preserve">PEEF-0466</t>
  </si>
  <si>
    <t xml:space="preserve">DAERE12590</t>
  </si>
  <si>
    <t xml:space="preserve">PEEF-0467</t>
  </si>
  <si>
    <t xml:space="preserve">DAERE125110</t>
  </si>
  <si>
    <t xml:space="preserve">PEEF-0468</t>
  </si>
  <si>
    <t xml:space="preserve">DAERE16090</t>
  </si>
  <si>
    <t xml:space="preserve">PEEF-0469</t>
  </si>
  <si>
    <t xml:space="preserve">DAERE160110</t>
  </si>
  <si>
    <t xml:space="preserve">PEEF-0470</t>
  </si>
  <si>
    <t xml:space="preserve">DAERE160125</t>
  </si>
  <si>
    <t xml:space="preserve">PEEF-0471</t>
  </si>
  <si>
    <t xml:space="preserve">DAERE20090</t>
  </si>
  <si>
    <t xml:space="preserve">PEEF-0472</t>
  </si>
  <si>
    <t xml:space="preserve">DAERE200110</t>
  </si>
  <si>
    <t xml:space="preserve">PEEF-0473</t>
  </si>
  <si>
    <t xml:space="preserve">DAERE200160</t>
  </si>
  <si>
    <t xml:space="preserve">PEEF-0474</t>
  </si>
  <si>
    <t xml:space="preserve">DAERE250160</t>
  </si>
  <si>
    <t xml:space="preserve">PEEF-0475</t>
  </si>
  <si>
    <t xml:space="preserve">DAERE250200</t>
  </si>
  <si>
    <t xml:space="preserve">PEEF-0476</t>
  </si>
  <si>
    <t xml:space="preserve">DAERE315200</t>
  </si>
  <si>
    <t xml:space="preserve">PEEF-0477</t>
  </si>
  <si>
    <t xml:space="preserve">DAERE315250</t>
  </si>
  <si>
    <t xml:space="preserve">PEEF-0478</t>
  </si>
  <si>
    <t xml:space="preserve">DAEC90025</t>
  </si>
  <si>
    <t xml:space="preserve">Codo 90° electrosoldable</t>
  </si>
  <si>
    <t xml:space="preserve">Paso total: n·fT (Crane A-29)</t>
  </si>
  <si>
    <t xml:space="preserve">PEEF-0479</t>
  </si>
  <si>
    <t xml:space="preserve">DAEC90032</t>
  </si>
  <si>
    <t xml:space="preserve">PEEF-0480</t>
  </si>
  <si>
    <t xml:space="preserve">DAEC90040</t>
  </si>
  <si>
    <t xml:space="preserve">PEEF-0481</t>
  </si>
  <si>
    <t xml:space="preserve">DAEC90050</t>
  </si>
  <si>
    <t xml:space="preserve">PEEF-0482</t>
  </si>
  <si>
    <t xml:space="preserve">DAEC90063</t>
  </si>
  <si>
    <t xml:space="preserve">PEEF-0483</t>
  </si>
  <si>
    <t xml:space="preserve">DAEC90075</t>
  </si>
  <si>
    <t xml:space="preserve">PEEF-0484</t>
  </si>
  <si>
    <t xml:space="preserve">DAEC90090</t>
  </si>
  <si>
    <t xml:space="preserve">PEEF-0485</t>
  </si>
  <si>
    <t xml:space="preserve">DAEC90110</t>
  </si>
  <si>
    <t xml:space="preserve">PEEF-0486</t>
  </si>
  <si>
    <t xml:space="preserve">DAEC90125</t>
  </si>
  <si>
    <t xml:space="preserve">PEEF-0487</t>
  </si>
  <si>
    <t xml:space="preserve">DAEC90160</t>
  </si>
  <si>
    <t xml:space="preserve">PEEF-0488</t>
  </si>
  <si>
    <t xml:space="preserve">DAEC90180</t>
  </si>
  <si>
    <t xml:space="preserve">PEEF-0489</t>
  </si>
  <si>
    <t xml:space="preserve">DAEC90200</t>
  </si>
  <si>
    <t xml:space="preserve">PEEF-0490</t>
  </si>
  <si>
    <t xml:space="preserve">DAEC90250</t>
  </si>
  <si>
    <t xml:space="preserve">PEEF-0491</t>
  </si>
  <si>
    <t xml:space="preserve">DAEC45032</t>
  </si>
  <si>
    <t xml:space="preserve">Codo 45° electrosoldable</t>
  </si>
  <si>
    <t xml:space="preserve">codo45</t>
  </si>
  <si>
    <t xml:space="preserve">PEEF-0492</t>
  </si>
  <si>
    <t xml:space="preserve">DAEC45040</t>
  </si>
  <si>
    <t xml:space="preserve">PEEF-0493</t>
  </si>
  <si>
    <t xml:space="preserve">DAEC45050</t>
  </si>
  <si>
    <t xml:space="preserve">PEEF-0494</t>
  </si>
  <si>
    <t xml:space="preserve">DAEC45063</t>
  </si>
  <si>
    <t xml:space="preserve">PEEF-0495</t>
  </si>
  <si>
    <t xml:space="preserve">DAEC45075</t>
  </si>
  <si>
    <t xml:space="preserve">PEEF-0496</t>
  </si>
  <si>
    <t xml:space="preserve">DAEC45090</t>
  </si>
  <si>
    <t xml:space="preserve">PEEF-0497</t>
  </si>
  <si>
    <t xml:space="preserve">DAEC45110</t>
  </si>
  <si>
    <t xml:space="preserve">PEEF-0498</t>
  </si>
  <si>
    <t xml:space="preserve">DAEC45125</t>
  </si>
  <si>
    <t xml:space="preserve">PEEF-0499</t>
  </si>
  <si>
    <t xml:space="preserve">DAEC45160</t>
  </si>
  <si>
    <t xml:space="preserve">PEEF-0500</t>
  </si>
  <si>
    <t xml:space="preserve">DAEC45180</t>
  </si>
  <si>
    <t xml:space="preserve">PEEF-0501</t>
  </si>
  <si>
    <t xml:space="preserve">DAEC45200</t>
  </si>
  <si>
    <t xml:space="preserve">PEEF-0502</t>
  </si>
  <si>
    <t xml:space="preserve">DAEC45250</t>
  </si>
  <si>
    <t xml:space="preserve">PEEF-0503</t>
  </si>
  <si>
    <t xml:space="preserve">DAETR3225</t>
  </si>
  <si>
    <t xml:space="preserve">Te reducida electrosoldable</t>
  </si>
  <si>
    <t xml:space="preserve">Paso total: te 20·fT / 60·fT + contracción a la derivación</t>
  </si>
  <si>
    <t xml:space="preserve">PEEF-0504</t>
  </si>
  <si>
    <t xml:space="preserve">DAETR4025</t>
  </si>
  <si>
    <t xml:space="preserve">PEEF-0505</t>
  </si>
  <si>
    <t xml:space="preserve">DAETR4032</t>
  </si>
  <si>
    <t xml:space="preserve">PEEF-0506</t>
  </si>
  <si>
    <t xml:space="preserve">DAETR5025</t>
  </si>
  <si>
    <t xml:space="preserve">PEEF-0507</t>
  </si>
  <si>
    <t xml:space="preserve">DAETR5032</t>
  </si>
  <si>
    <t xml:space="preserve">PEEF-0508</t>
  </si>
  <si>
    <t xml:space="preserve">DAETR5040</t>
  </si>
  <si>
    <t xml:space="preserve">PEEF-0509</t>
  </si>
  <si>
    <t xml:space="preserve">DAETR6325</t>
  </si>
  <si>
    <t xml:space="preserve">PEEF-0510</t>
  </si>
  <si>
    <t xml:space="preserve">DAETR6332</t>
  </si>
  <si>
    <t xml:space="preserve">PEEF-0511</t>
  </si>
  <si>
    <t xml:space="preserve">DAETR6340</t>
  </si>
  <si>
    <t xml:space="preserve">PEEF-0512</t>
  </si>
  <si>
    <t xml:space="preserve">DAETR6350</t>
  </si>
  <si>
    <t xml:space="preserve">PEEF-0513</t>
  </si>
  <si>
    <t xml:space="preserve">DAETR7563</t>
  </si>
  <si>
    <t xml:space="preserve">PEEF-0514</t>
  </si>
  <si>
    <t xml:space="preserve">DAETR9040</t>
  </si>
  <si>
    <t xml:space="preserve">PEEF-0515</t>
  </si>
  <si>
    <t xml:space="preserve">DAETR9050</t>
  </si>
  <si>
    <t xml:space="preserve">PEEF-0516</t>
  </si>
  <si>
    <t xml:space="preserve">DAETR9063</t>
  </si>
  <si>
    <t xml:space="preserve">PEEF-0517</t>
  </si>
  <si>
    <t xml:space="preserve">DAETR9075</t>
  </si>
  <si>
    <t xml:space="preserve">PEEF-0518</t>
  </si>
  <si>
    <t xml:space="preserve">DAETR11040</t>
  </si>
  <si>
    <t xml:space="preserve">PEEF-0519</t>
  </si>
  <si>
    <t xml:space="preserve">DAETR11050</t>
  </si>
  <si>
    <t xml:space="preserve">PEEF-0520</t>
  </si>
  <si>
    <t xml:space="preserve">DAETR11063</t>
  </si>
  <si>
    <t xml:space="preserve">PEEF-0521</t>
  </si>
  <si>
    <t xml:space="preserve">DAETR11075</t>
  </si>
  <si>
    <t xml:space="preserve">PEEF-0522</t>
  </si>
  <si>
    <t xml:space="preserve">DAETR11090</t>
  </si>
  <si>
    <t xml:space="preserve">PEEF-0523</t>
  </si>
  <si>
    <t xml:space="preserve">DAETR12563</t>
  </si>
  <si>
    <t xml:space="preserve">PEEF-0524</t>
  </si>
  <si>
    <t xml:space="preserve">DAETR12590</t>
  </si>
  <si>
    <t xml:space="preserve">PEEF-0525</t>
  </si>
  <si>
    <t xml:space="preserve">DAETR125110</t>
  </si>
  <si>
    <t xml:space="preserve">PEEF-0526</t>
  </si>
  <si>
    <t xml:space="preserve">DAETR16063</t>
  </si>
  <si>
    <t xml:space="preserve">PEEF-0527</t>
  </si>
  <si>
    <t xml:space="preserve">DAETR16090</t>
  </si>
  <si>
    <t xml:space="preserve">PEEF-0528</t>
  </si>
  <si>
    <t xml:space="preserve">DAETR160110</t>
  </si>
  <si>
    <t xml:space="preserve">PEEF-0529</t>
  </si>
  <si>
    <t xml:space="preserve">DAETR160125</t>
  </si>
  <si>
    <t xml:space="preserve">PEEF-0530</t>
  </si>
  <si>
    <t xml:space="preserve">DAETR20090</t>
  </si>
  <si>
    <t xml:space="preserve">PEEF-0531</t>
  </si>
  <si>
    <t xml:space="preserve">DAETR200110</t>
  </si>
  <si>
    <t xml:space="preserve">PEEF-0532</t>
  </si>
  <si>
    <t xml:space="preserve">DAETR200160</t>
  </si>
  <si>
    <t xml:space="preserve">PEEF-0533</t>
  </si>
  <si>
    <t xml:space="preserve">DAETEI025</t>
  </si>
  <si>
    <t xml:space="preserve">Te igual electrosoldable</t>
  </si>
  <si>
    <t xml:space="preserve">PEEF-0534</t>
  </si>
  <si>
    <t xml:space="preserve">DAETEI032</t>
  </si>
  <si>
    <t xml:space="preserve">PEEF-0535</t>
  </si>
  <si>
    <t xml:space="preserve">DAETEI040</t>
  </si>
  <si>
    <t xml:space="preserve">PEEF-0536</t>
  </si>
  <si>
    <t xml:space="preserve">DAETEI050</t>
  </si>
  <si>
    <t xml:space="preserve">PEEF-0537</t>
  </si>
  <si>
    <t xml:space="preserve">DAETEI063</t>
  </si>
  <si>
    <t xml:space="preserve">PEEF-0538</t>
  </si>
  <si>
    <t xml:space="preserve">DAETEI075</t>
  </si>
  <si>
    <t xml:space="preserve">PEEF-0539</t>
  </si>
  <si>
    <t xml:space="preserve">DAETEI090</t>
  </si>
  <si>
    <t xml:space="preserve">PEEF-0540</t>
  </si>
  <si>
    <t xml:space="preserve">DAETEI110</t>
  </si>
  <si>
    <t xml:space="preserve">PEEF-0541</t>
  </si>
  <si>
    <t xml:space="preserve">DAETEI125</t>
  </si>
  <si>
    <t xml:space="preserve">PEEF-0542</t>
  </si>
  <si>
    <t xml:space="preserve">DAETEI160</t>
  </si>
  <si>
    <t xml:space="preserve">PEEF-0543</t>
  </si>
  <si>
    <t xml:space="preserve">DAETEI180</t>
  </si>
  <si>
    <t xml:space="preserve">PEEF-0544</t>
  </si>
  <si>
    <t xml:space="preserve">DAETEI200</t>
  </si>
  <si>
    <t xml:space="preserve">PEEF-0545</t>
  </si>
  <si>
    <t xml:space="preserve">DAETEI250</t>
  </si>
  <si>
    <t xml:space="preserve">PEEF-0546</t>
  </si>
  <si>
    <t xml:space="preserve">DAETEI315</t>
  </si>
  <si>
    <t xml:space="preserve">PEEF-0547</t>
  </si>
  <si>
    <t xml:space="preserve">DAETC4032</t>
  </si>
  <si>
    <t xml:space="preserve">Toma en carga electrosoldable</t>
  </si>
  <si>
    <t xml:space="preserve">Derivación 60·fT + contracción hacia la salida</t>
  </si>
  <si>
    <t xml:space="preserve">PEEF-0548</t>
  </si>
  <si>
    <t xml:space="preserve">DAETC5032</t>
  </si>
  <si>
    <t xml:space="preserve">PEEF-0549</t>
  </si>
  <si>
    <t xml:space="preserve">DAETC6332</t>
  </si>
  <si>
    <t xml:space="preserve">PEEF-0550</t>
  </si>
  <si>
    <t xml:space="preserve">DAETC6340</t>
  </si>
  <si>
    <t xml:space="preserve">PEEF-0551</t>
  </si>
  <si>
    <t xml:space="preserve">DAETC7532</t>
  </si>
  <si>
    <t xml:space="preserve">PEEF-0552</t>
  </si>
  <si>
    <t xml:space="preserve">DAETC9032</t>
  </si>
  <si>
    <t xml:space="preserve">PEEF-0553</t>
  </si>
  <si>
    <t xml:space="preserve">DAETC9040</t>
  </si>
  <si>
    <t xml:space="preserve">PEEF-0554</t>
  </si>
  <si>
    <t xml:space="preserve">DAETC9063</t>
  </si>
  <si>
    <t xml:space="preserve">PEEF-0555</t>
  </si>
  <si>
    <t xml:space="preserve">DAETC11032</t>
  </si>
  <si>
    <t xml:space="preserve">PEEF-0556</t>
  </si>
  <si>
    <t xml:space="preserve">DAETC11040</t>
  </si>
  <si>
    <t xml:space="preserve">PEEF-0557</t>
  </si>
  <si>
    <t xml:space="preserve">DAETC11063</t>
  </si>
  <si>
    <t xml:space="preserve">PEEF-0558</t>
  </si>
  <si>
    <t xml:space="preserve">DAETC12532</t>
  </si>
  <si>
    <t xml:space="preserve">PEEF-0559</t>
  </si>
  <si>
    <t xml:space="preserve">DAETC12540</t>
  </si>
  <si>
    <t xml:space="preserve">PEEF-0560</t>
  </si>
  <si>
    <t xml:space="preserve">DAETC12563</t>
  </si>
  <si>
    <t xml:space="preserve">PEEF-0561</t>
  </si>
  <si>
    <t xml:space="preserve">DAETC16032</t>
  </si>
  <si>
    <t xml:space="preserve">PEEF-0562</t>
  </si>
  <si>
    <t xml:space="preserve">DAETC16063</t>
  </si>
  <si>
    <t xml:space="preserve">PEEF-0563</t>
  </si>
  <si>
    <t xml:space="preserve">DAETC20063</t>
  </si>
  <si>
    <t xml:space="preserve">PEEF-0564</t>
  </si>
  <si>
    <t xml:space="preserve">DAEMC4032</t>
  </si>
  <si>
    <t xml:space="preserve">Collarín de toma electrosoldable (media caña)</t>
  </si>
  <si>
    <t xml:space="preserve">PEEF-0565</t>
  </si>
  <si>
    <t xml:space="preserve">DAEMC5032</t>
  </si>
  <si>
    <t xml:space="preserve">PEEF-0566</t>
  </si>
  <si>
    <t xml:space="preserve">DAEMC6332</t>
  </si>
  <si>
    <t xml:space="preserve">PEEF-0567</t>
  </si>
  <si>
    <t xml:space="preserve">DAEMC7532</t>
  </si>
  <si>
    <t xml:space="preserve">PEEF-0568</t>
  </si>
  <si>
    <t xml:space="preserve">DAEMC9032</t>
  </si>
  <si>
    <t xml:space="preserve">PEEF-0569</t>
  </si>
  <si>
    <t xml:space="preserve">DAEMC9063</t>
  </si>
  <si>
    <t xml:space="preserve">PEEF-0570</t>
  </si>
  <si>
    <t xml:space="preserve">DAEMC11032</t>
  </si>
  <si>
    <t xml:space="preserve">PEEF-0571</t>
  </si>
  <si>
    <t xml:space="preserve">DAEMC11063</t>
  </si>
  <si>
    <t xml:space="preserve">PEEF-0572</t>
  </si>
  <si>
    <t xml:space="preserve">DAEMC12532</t>
  </si>
  <si>
    <t xml:space="preserve">PEEF-0573</t>
  </si>
  <si>
    <t xml:space="preserve">DAEMC12563</t>
  </si>
  <si>
    <t xml:space="preserve">PEEF-0574</t>
  </si>
  <si>
    <t xml:space="preserve">DAEMC16032</t>
  </si>
  <si>
    <t xml:space="preserve">PEEF-0575</t>
  </si>
  <si>
    <t xml:space="preserve">DAEMC16063</t>
  </si>
  <si>
    <t xml:space="preserve">DAEMC16063 figura como «163-63» en la tarifa</t>
  </si>
  <si>
    <t xml:space="preserve">PEEF-0576</t>
  </si>
  <si>
    <t xml:space="preserve">DAEMC20063</t>
  </si>
  <si>
    <t xml:space="preserve">PEEF-0577</t>
  </si>
  <si>
    <t xml:space="preserve">DAEMC20090</t>
  </si>
  <si>
    <t xml:space="preserve">PEEF-0578</t>
  </si>
  <si>
    <t xml:space="preserve">DAEMC25063</t>
  </si>
  <si>
    <t xml:space="preserve">PEAT-0579</t>
  </si>
  <si>
    <t xml:space="preserve">Soldadura a tope</t>
  </si>
  <si>
    <t xml:space="preserve">PEC900063</t>
  </si>
  <si>
    <t xml:space="preserve">Codo 90° PN 10</t>
  </si>
  <si>
    <t xml:space="preserve">PE100 · soldadura a tope</t>
  </si>
  <si>
    <t xml:space="preserve">PEAT-0580</t>
  </si>
  <si>
    <t xml:space="preserve">PEC900075</t>
  </si>
  <si>
    <t xml:space="preserve">PEAT-0581</t>
  </si>
  <si>
    <t xml:space="preserve">PEC900090</t>
  </si>
  <si>
    <t xml:space="preserve">PEAT-0582</t>
  </si>
  <si>
    <t xml:space="preserve">PEC900110</t>
  </si>
  <si>
    <t xml:space="preserve">PEAT-0583</t>
  </si>
  <si>
    <t xml:space="preserve">PEC900125</t>
  </si>
  <si>
    <t xml:space="preserve">PEAT-0584</t>
  </si>
  <si>
    <t xml:space="preserve">PEC900140</t>
  </si>
  <si>
    <t xml:space="preserve">PEAT-0585</t>
  </si>
  <si>
    <t xml:space="preserve">PEC900160</t>
  </si>
  <si>
    <t xml:space="preserve">PEAT-0586</t>
  </si>
  <si>
    <t xml:space="preserve">PEC900180</t>
  </si>
  <si>
    <t xml:space="preserve">PEAT-0587</t>
  </si>
  <si>
    <t xml:space="preserve">PEC900200</t>
  </si>
  <si>
    <t xml:space="preserve">PEAT-0588</t>
  </si>
  <si>
    <t xml:space="preserve">PEC900225</t>
  </si>
  <si>
    <t xml:space="preserve">PEAT-0589</t>
  </si>
  <si>
    <t xml:space="preserve">PEC900250</t>
  </si>
  <si>
    <t xml:space="preserve">PEAT-0590</t>
  </si>
  <si>
    <t xml:space="preserve">PEC900280</t>
  </si>
  <si>
    <t xml:space="preserve">PEAT-0591</t>
  </si>
  <si>
    <t xml:space="preserve">PEC900315</t>
  </si>
  <si>
    <t xml:space="preserve">PEAT-0592</t>
  </si>
  <si>
    <t xml:space="preserve">PEC901040</t>
  </si>
  <si>
    <t xml:space="preserve">Codo 90° PN 16</t>
  </si>
  <si>
    <t xml:space="preserve">PEAT-0593</t>
  </si>
  <si>
    <t xml:space="preserve">PEC901050</t>
  </si>
  <si>
    <t xml:space="preserve">PEAT-0594</t>
  </si>
  <si>
    <t xml:space="preserve">PEC901063</t>
  </si>
  <si>
    <t xml:space="preserve">PEAT-0595</t>
  </si>
  <si>
    <t xml:space="preserve">PEC901075</t>
  </si>
  <si>
    <t xml:space="preserve">PEAT-0596</t>
  </si>
  <si>
    <t xml:space="preserve">PEC901090</t>
  </si>
  <si>
    <t xml:space="preserve">PEAT-0597</t>
  </si>
  <si>
    <t xml:space="preserve">PEC901110</t>
  </si>
  <si>
    <t xml:space="preserve">PEAT-0598</t>
  </si>
  <si>
    <t xml:space="preserve">PEC901125</t>
  </si>
  <si>
    <t xml:space="preserve">PEAT-0599</t>
  </si>
  <si>
    <t xml:space="preserve">PEC901140</t>
  </si>
  <si>
    <t xml:space="preserve">PEAT-0600</t>
  </si>
  <si>
    <t xml:space="preserve">PEC901160</t>
  </si>
  <si>
    <t xml:space="preserve">PEAT-0601</t>
  </si>
  <si>
    <t xml:space="preserve">PEC901180</t>
  </si>
  <si>
    <t xml:space="preserve">PEAT-0602</t>
  </si>
  <si>
    <t xml:space="preserve">PEC901200</t>
  </si>
  <si>
    <t xml:space="preserve">PEAT-0603</t>
  </si>
  <si>
    <t xml:space="preserve">PEC901225</t>
  </si>
  <si>
    <t xml:space="preserve">PEAT-0604</t>
  </si>
  <si>
    <t xml:space="preserve">PEC901250</t>
  </si>
  <si>
    <t xml:space="preserve">PEAT-0605</t>
  </si>
  <si>
    <t xml:space="preserve">PEC901280</t>
  </si>
  <si>
    <t xml:space="preserve">PEAT-0606</t>
  </si>
  <si>
    <t xml:space="preserve">PEC901315</t>
  </si>
  <si>
    <t xml:space="preserve">PEAT-0607</t>
  </si>
  <si>
    <t xml:space="preserve">PEC450063</t>
  </si>
  <si>
    <t xml:space="preserve">Codo 45° PN 10</t>
  </si>
  <si>
    <t xml:space="preserve">PEAT-0608</t>
  </si>
  <si>
    <t xml:space="preserve">PEC450075</t>
  </si>
  <si>
    <t xml:space="preserve">PEAT-0609</t>
  </si>
  <si>
    <t xml:space="preserve">PEC450090</t>
  </si>
  <si>
    <t xml:space="preserve">PEAT-0610</t>
  </si>
  <si>
    <t xml:space="preserve">PEC450110</t>
  </si>
  <si>
    <t xml:space="preserve">PEAT-0611</t>
  </si>
  <si>
    <t xml:space="preserve">PEC450125</t>
  </si>
  <si>
    <t xml:space="preserve">PEAT-0612</t>
  </si>
  <si>
    <t xml:space="preserve">PEC450140</t>
  </si>
  <si>
    <t xml:space="preserve">PEAT-0613</t>
  </si>
  <si>
    <t xml:space="preserve">PEC450160</t>
  </si>
  <si>
    <t xml:space="preserve">PEAT-0614</t>
  </si>
  <si>
    <t xml:space="preserve">PEC450180</t>
  </si>
  <si>
    <t xml:space="preserve">PEAT-0615</t>
  </si>
  <si>
    <t xml:space="preserve">PEC450200</t>
  </si>
  <si>
    <t xml:space="preserve">PEAT-0616</t>
  </si>
  <si>
    <t xml:space="preserve">PEC450225</t>
  </si>
  <si>
    <t xml:space="preserve">PEAT-0617</t>
  </si>
  <si>
    <t xml:space="preserve">PEC450250</t>
  </si>
  <si>
    <t xml:space="preserve">PEAT-0618</t>
  </si>
  <si>
    <t xml:space="preserve">PEC450280</t>
  </si>
  <si>
    <t xml:space="preserve">PEAT-0619</t>
  </si>
  <si>
    <t xml:space="preserve">PEC450315</t>
  </si>
  <si>
    <t xml:space="preserve">PEAT-0620</t>
  </si>
  <si>
    <t xml:space="preserve">PEC451063</t>
  </si>
  <si>
    <t xml:space="preserve">Codo 45° PN 16</t>
  </si>
  <si>
    <t xml:space="preserve">PEAT-0621</t>
  </si>
  <si>
    <t xml:space="preserve">PEC451075</t>
  </si>
  <si>
    <t xml:space="preserve">PEAT-0622</t>
  </si>
  <si>
    <t xml:space="preserve">PEC451090</t>
  </si>
  <si>
    <t xml:space="preserve">PEAT-0623</t>
  </si>
  <si>
    <t xml:space="preserve">PEC451110</t>
  </si>
  <si>
    <t xml:space="preserve">PEAT-0624</t>
  </si>
  <si>
    <t xml:space="preserve">PEC451125</t>
  </si>
  <si>
    <t xml:space="preserve">PEAT-0625</t>
  </si>
  <si>
    <t xml:space="preserve">PEC451140</t>
  </si>
  <si>
    <t xml:space="preserve">PEAT-0626</t>
  </si>
  <si>
    <t xml:space="preserve">PEC451160</t>
  </si>
  <si>
    <t xml:space="preserve">PEAT-0627</t>
  </si>
  <si>
    <t xml:space="preserve">PEC451180</t>
  </si>
  <si>
    <t xml:space="preserve">PEAT-0628</t>
  </si>
  <si>
    <t xml:space="preserve">PEC451200</t>
  </si>
  <si>
    <t xml:space="preserve">PEAT-0629</t>
  </si>
  <si>
    <t xml:space="preserve">PEC451225</t>
  </si>
  <si>
    <t xml:space="preserve">PEAT-0630</t>
  </si>
  <si>
    <t xml:space="preserve">PEC451250</t>
  </si>
  <si>
    <t xml:space="preserve">PEAT-0631</t>
  </si>
  <si>
    <t xml:space="preserve">PEC451280</t>
  </si>
  <si>
    <t xml:space="preserve">PEAT-0632</t>
  </si>
  <si>
    <t xml:space="preserve">PEC451315</t>
  </si>
  <si>
    <t xml:space="preserve">PEAT-0633</t>
  </si>
  <si>
    <t xml:space="preserve">PERE07563</t>
  </si>
  <si>
    <t xml:space="preserve">Reducción PN 10</t>
  </si>
  <si>
    <t xml:space="preserve">PEAT-0634</t>
  </si>
  <si>
    <t xml:space="preserve">PERE09050</t>
  </si>
  <si>
    <t xml:space="preserve">PEAT-0635</t>
  </si>
  <si>
    <t xml:space="preserve">PERE09063</t>
  </si>
  <si>
    <t xml:space="preserve">PEAT-0636</t>
  </si>
  <si>
    <t xml:space="preserve">PERE09075</t>
  </si>
  <si>
    <t xml:space="preserve">PEAT-0637</t>
  </si>
  <si>
    <t xml:space="preserve">PERE011063</t>
  </si>
  <si>
    <t xml:space="preserve">PEAT-0638</t>
  </si>
  <si>
    <t xml:space="preserve">PERE011075</t>
  </si>
  <si>
    <t xml:space="preserve">PEAT-0639</t>
  </si>
  <si>
    <t xml:space="preserve">PERE011090</t>
  </si>
  <si>
    <t xml:space="preserve">PEAT-0640</t>
  </si>
  <si>
    <t xml:space="preserve">PERE012563</t>
  </si>
  <si>
    <t xml:space="preserve">PEAT-0641</t>
  </si>
  <si>
    <t xml:space="preserve">PERE012575</t>
  </si>
  <si>
    <t xml:space="preserve">PEAT-0642</t>
  </si>
  <si>
    <t xml:space="preserve">PERE012590</t>
  </si>
  <si>
    <t xml:space="preserve">PEAT-0643</t>
  </si>
  <si>
    <t xml:space="preserve">PERE0125110</t>
  </si>
  <si>
    <t xml:space="preserve">PEAT-0644</t>
  </si>
  <si>
    <t xml:space="preserve">PERE0140110</t>
  </si>
  <si>
    <t xml:space="preserve">PEAT-0645</t>
  </si>
  <si>
    <t xml:space="preserve">PERE0140125</t>
  </si>
  <si>
    <t xml:space="preserve">PEAT-0646</t>
  </si>
  <si>
    <t xml:space="preserve">PERE016090</t>
  </si>
  <si>
    <t xml:space="preserve">PEAT-0647</t>
  </si>
  <si>
    <t xml:space="preserve">PERE0160110</t>
  </si>
  <si>
    <t xml:space="preserve">PEAT-0648</t>
  </si>
  <si>
    <t xml:space="preserve">PERE0160125</t>
  </si>
  <si>
    <t xml:space="preserve">PEAT-0649</t>
  </si>
  <si>
    <t xml:space="preserve">PERE0160140</t>
  </si>
  <si>
    <t xml:space="preserve">PEAT-0650</t>
  </si>
  <si>
    <t xml:space="preserve">PERE0180125</t>
  </si>
  <si>
    <t xml:space="preserve">PEAT-0651</t>
  </si>
  <si>
    <t xml:space="preserve">PERE0180160</t>
  </si>
  <si>
    <t xml:space="preserve">PEAT-0652</t>
  </si>
  <si>
    <t xml:space="preserve">PERE0200110</t>
  </si>
  <si>
    <t xml:space="preserve">PEAT-0653</t>
  </si>
  <si>
    <t xml:space="preserve">PERE0200160</t>
  </si>
  <si>
    <t xml:space="preserve">PEAT-0654</t>
  </si>
  <si>
    <t xml:space="preserve">PERE0225160</t>
  </si>
  <si>
    <t xml:space="preserve">PEAT-0655</t>
  </si>
  <si>
    <t xml:space="preserve">PERE0225200</t>
  </si>
  <si>
    <t xml:space="preserve">PEAT-0656</t>
  </si>
  <si>
    <t xml:space="preserve">PERE0250160</t>
  </si>
  <si>
    <t xml:space="preserve">PEAT-0657</t>
  </si>
  <si>
    <t xml:space="preserve">PERE0250200</t>
  </si>
  <si>
    <t xml:space="preserve">PEAT-0658</t>
  </si>
  <si>
    <t xml:space="preserve">PERE0250225</t>
  </si>
  <si>
    <t xml:space="preserve">PEAT-0659</t>
  </si>
  <si>
    <t xml:space="preserve">PERE0280250</t>
  </si>
  <si>
    <t xml:space="preserve">PEAT-0660</t>
  </si>
  <si>
    <t xml:space="preserve">PERE0315200</t>
  </si>
  <si>
    <t xml:space="preserve">PEAT-0661</t>
  </si>
  <si>
    <t xml:space="preserve">PERE0315250</t>
  </si>
  <si>
    <t xml:space="preserve">PEAT-0662</t>
  </si>
  <si>
    <t xml:space="preserve">PERE14032</t>
  </si>
  <si>
    <t xml:space="preserve">Reducción PN 16</t>
  </si>
  <si>
    <t xml:space="preserve">PEAT-0663</t>
  </si>
  <si>
    <t xml:space="preserve">PERE15040</t>
  </si>
  <si>
    <t xml:space="preserve">PEAT-0664</t>
  </si>
  <si>
    <t xml:space="preserve">PERE16332</t>
  </si>
  <si>
    <t xml:space="preserve">PEAT-0665</t>
  </si>
  <si>
    <t xml:space="preserve">PERE16340</t>
  </si>
  <si>
    <t xml:space="preserve">PEAT-0666</t>
  </si>
  <si>
    <t xml:space="preserve">PERE16350</t>
  </si>
  <si>
    <t xml:space="preserve">PEAT-0667</t>
  </si>
  <si>
    <t xml:space="preserve">PERE17550</t>
  </si>
  <si>
    <t xml:space="preserve">PEAT-0668</t>
  </si>
  <si>
    <t xml:space="preserve">PERE17563</t>
  </si>
  <si>
    <t xml:space="preserve">PEAT-0669</t>
  </si>
  <si>
    <t xml:space="preserve">PERE19050</t>
  </si>
  <si>
    <t xml:space="preserve">PEAT-0670</t>
  </si>
  <si>
    <t xml:space="preserve">PERE19063</t>
  </si>
  <si>
    <t xml:space="preserve">PEAT-0671</t>
  </si>
  <si>
    <t xml:space="preserve">PERE19075</t>
  </si>
  <si>
    <t xml:space="preserve">PEAT-0672</t>
  </si>
  <si>
    <t xml:space="preserve">PERE111063</t>
  </si>
  <si>
    <t xml:space="preserve">PEAT-0673</t>
  </si>
  <si>
    <t xml:space="preserve">PERE111075</t>
  </si>
  <si>
    <t xml:space="preserve">PEAT-0674</t>
  </si>
  <si>
    <t xml:space="preserve">PERE111090</t>
  </si>
  <si>
    <t xml:space="preserve">PEAT-0675</t>
  </si>
  <si>
    <t xml:space="preserve">PERE112563</t>
  </si>
  <si>
    <t xml:space="preserve">PEAT-0676</t>
  </si>
  <si>
    <t xml:space="preserve">PERE112575</t>
  </si>
  <si>
    <t xml:space="preserve">PEAT-0677</t>
  </si>
  <si>
    <t xml:space="preserve">PERE112590</t>
  </si>
  <si>
    <t xml:space="preserve">PEAT-0678</t>
  </si>
  <si>
    <t xml:space="preserve">PERE1125110</t>
  </si>
  <si>
    <t xml:space="preserve">PEAT-0679</t>
  </si>
  <si>
    <t xml:space="preserve">PERE1140110</t>
  </si>
  <si>
    <t xml:space="preserve">PEAT-0680</t>
  </si>
  <si>
    <t xml:space="preserve">PERE1140125</t>
  </si>
  <si>
    <t xml:space="preserve">PEAT-0681</t>
  </si>
  <si>
    <t xml:space="preserve">PERE116090</t>
  </si>
  <si>
    <t xml:space="preserve">PEAT-0682</t>
  </si>
  <si>
    <t xml:space="preserve">PERE1160110</t>
  </si>
  <si>
    <t xml:space="preserve">PEAT-0683</t>
  </si>
  <si>
    <t xml:space="preserve">PERE1160125</t>
  </si>
  <si>
    <t xml:space="preserve">PEAT-0684</t>
  </si>
  <si>
    <t xml:space="preserve">PERE1160140</t>
  </si>
  <si>
    <t xml:space="preserve">PEAT-0685</t>
  </si>
  <si>
    <t xml:space="preserve">PERE1180125</t>
  </si>
  <si>
    <t xml:space="preserve">PEAT-0686</t>
  </si>
  <si>
    <t xml:space="preserve">PERE1180160</t>
  </si>
  <si>
    <t xml:space="preserve">PEAT-0687</t>
  </si>
  <si>
    <t xml:space="preserve">PERE1200110</t>
  </si>
  <si>
    <t xml:space="preserve">PEAT-0688</t>
  </si>
  <si>
    <t xml:space="preserve">PERE1200160</t>
  </si>
  <si>
    <t xml:space="preserve">PEAT-0689</t>
  </si>
  <si>
    <t xml:space="preserve">PERE1225160</t>
  </si>
  <si>
    <t xml:space="preserve">PEAT-0690</t>
  </si>
  <si>
    <t xml:space="preserve">PERE1225200</t>
  </si>
  <si>
    <t xml:space="preserve">PEAT-0691</t>
  </si>
  <si>
    <t xml:space="preserve">PERE1250160</t>
  </si>
  <si>
    <t xml:space="preserve">PEAT-0692</t>
  </si>
  <si>
    <t xml:space="preserve">PERE1250200</t>
  </si>
  <si>
    <t xml:space="preserve">PEAT-0693</t>
  </si>
  <si>
    <t xml:space="preserve">PERE1250225</t>
  </si>
  <si>
    <t xml:space="preserve">PEAT-0694</t>
  </si>
  <si>
    <t xml:space="preserve">PERE1280250</t>
  </si>
  <si>
    <t xml:space="preserve">PEAT-0695</t>
  </si>
  <si>
    <t xml:space="preserve">PERE1315200</t>
  </si>
  <si>
    <t xml:space="preserve">PEAT-0696</t>
  </si>
  <si>
    <t xml:space="preserve">PERE1315250</t>
  </si>
  <si>
    <t xml:space="preserve">PEAT-0697</t>
  </si>
  <si>
    <t xml:space="preserve">PETEI0063</t>
  </si>
  <si>
    <t xml:space="preserve">Te igual PN 10</t>
  </si>
  <si>
    <t xml:space="preserve">PEAT-0698</t>
  </si>
  <si>
    <t xml:space="preserve">PETEI0075</t>
  </si>
  <si>
    <t xml:space="preserve">PEAT-0699</t>
  </si>
  <si>
    <t xml:space="preserve">PETEI0090</t>
  </si>
  <si>
    <t xml:space="preserve">PEAT-0700</t>
  </si>
  <si>
    <t xml:space="preserve">PETEI0110</t>
  </si>
  <si>
    <t xml:space="preserve">PEAT-0701</t>
  </si>
  <si>
    <t xml:space="preserve">PETEI0125</t>
  </si>
  <si>
    <t xml:space="preserve">PEAT-0702</t>
  </si>
  <si>
    <t xml:space="preserve">PETEI0140</t>
  </si>
  <si>
    <t xml:space="preserve">PEAT-0703</t>
  </si>
  <si>
    <t xml:space="preserve">PETEI0160</t>
  </si>
  <si>
    <t xml:space="preserve">PEAT-0704</t>
  </si>
  <si>
    <t xml:space="preserve">PETEI0180</t>
  </si>
  <si>
    <t xml:space="preserve">PEAT-0705</t>
  </si>
  <si>
    <t xml:space="preserve">PETEI0200</t>
  </si>
  <si>
    <t xml:space="preserve">PEAT-0706</t>
  </si>
  <si>
    <t xml:space="preserve">PETEI0225</t>
  </si>
  <si>
    <t xml:space="preserve">PEAT-0707</t>
  </si>
  <si>
    <t xml:space="preserve">PETEI0250</t>
  </si>
  <si>
    <t xml:space="preserve">PEAT-0708</t>
  </si>
  <si>
    <t xml:space="preserve">PETEI0280</t>
  </si>
  <si>
    <t xml:space="preserve">PEAT-0709</t>
  </si>
  <si>
    <t xml:space="preserve">PETEI0315</t>
  </si>
  <si>
    <t xml:space="preserve">PEAT-0710</t>
  </si>
  <si>
    <t xml:space="preserve">PETEI1063</t>
  </si>
  <si>
    <t xml:space="preserve">Te igual PN 16</t>
  </si>
  <si>
    <t xml:space="preserve">PEAT-0711</t>
  </si>
  <si>
    <t xml:space="preserve">PETEI1075</t>
  </si>
  <si>
    <t xml:space="preserve">PEAT-0712</t>
  </si>
  <si>
    <t xml:space="preserve">PETEI1090</t>
  </si>
  <si>
    <t xml:space="preserve">PEAT-0713</t>
  </si>
  <si>
    <t xml:space="preserve">PETEI1110</t>
  </si>
  <si>
    <t xml:space="preserve">PEAT-0714</t>
  </si>
  <si>
    <t xml:space="preserve">PETEI1125</t>
  </si>
  <si>
    <t xml:space="preserve">PEAT-0715</t>
  </si>
  <si>
    <t xml:space="preserve">PETEI1140</t>
  </si>
  <si>
    <t xml:space="preserve">PEAT-0716</t>
  </si>
  <si>
    <t xml:space="preserve">PETEI1160</t>
  </si>
  <si>
    <t xml:space="preserve">PEAT-0717</t>
  </si>
  <si>
    <t xml:space="preserve">PETEI1180</t>
  </si>
  <si>
    <t xml:space="preserve">PEAT-0718</t>
  </si>
  <si>
    <t xml:space="preserve">PETEI1200</t>
  </si>
  <si>
    <t xml:space="preserve">PEAT-0719</t>
  </si>
  <si>
    <t xml:space="preserve">PETEI1225</t>
  </si>
  <si>
    <t xml:space="preserve">PEAT-0720</t>
  </si>
  <si>
    <t xml:space="preserve">PETEI1250</t>
  </si>
  <si>
    <t xml:space="preserve">PEAT-0721</t>
  </si>
  <si>
    <t xml:space="preserve">PETEI1280</t>
  </si>
  <si>
    <t xml:space="preserve">PEAT-0722</t>
  </si>
  <si>
    <t xml:space="preserve">PETEI1315</t>
  </si>
  <si>
    <t xml:space="preserve">PEAT-0723</t>
  </si>
  <si>
    <t xml:space="preserve">PETR19063</t>
  </si>
  <si>
    <t xml:space="preserve">Te reducida PN 16</t>
  </si>
  <si>
    <t xml:space="preserve">PEAT-0724</t>
  </si>
  <si>
    <t xml:space="preserve">PETR111063</t>
  </si>
  <si>
    <t xml:space="preserve">PEAT-0725</t>
  </si>
  <si>
    <t xml:space="preserve">PETR111075</t>
  </si>
  <si>
    <t xml:space="preserve">PEAT-0726</t>
  </si>
  <si>
    <t xml:space="preserve">PETR111090</t>
  </si>
  <si>
    <t xml:space="preserve">PEAT-0727</t>
  </si>
  <si>
    <t xml:space="preserve">PETR112590</t>
  </si>
  <si>
    <t xml:space="preserve">PEAT-0728</t>
  </si>
  <si>
    <t xml:space="preserve">PETR116063</t>
  </si>
  <si>
    <t xml:space="preserve">PEAT-0729</t>
  </si>
  <si>
    <t xml:space="preserve">PETR116090</t>
  </si>
  <si>
    <t xml:space="preserve">PEAT-0730</t>
  </si>
  <si>
    <t xml:space="preserve">PETR1160110</t>
  </si>
  <si>
    <t xml:space="preserve">PEAT-0731</t>
  </si>
  <si>
    <t xml:space="preserve">PETR1160125</t>
  </si>
  <si>
    <t xml:space="preserve">PEAT-0732</t>
  </si>
  <si>
    <t xml:space="preserve">PETR120090</t>
  </si>
  <si>
    <t xml:space="preserve">PEAT-0733</t>
  </si>
  <si>
    <t xml:space="preserve">PETR1200110</t>
  </si>
  <si>
    <t xml:space="preserve">PEAT-0734</t>
  </si>
  <si>
    <t xml:space="preserve">PETR1200160</t>
  </si>
  <si>
    <t xml:space="preserve">PEAT-0735</t>
  </si>
  <si>
    <t xml:space="preserve">PETR1250110</t>
  </si>
  <si>
    <t xml:space="preserve">PEAT-0736</t>
  </si>
  <si>
    <t xml:space="preserve">PETR1250125</t>
  </si>
  <si>
    <t xml:space="preserve">PEAT-0737</t>
  </si>
  <si>
    <t xml:space="preserve">PETR1250160</t>
  </si>
  <si>
    <t xml:space="preserve">PEAT-0738</t>
  </si>
  <si>
    <t xml:space="preserve">PETR1315160</t>
  </si>
  <si>
    <t xml:space="preserve">PEAT-0739</t>
  </si>
  <si>
    <t xml:space="preserve">PETR1315200</t>
  </si>
  <si>
    <t xml:space="preserve">PEAT-0740</t>
  </si>
  <si>
    <t xml:space="preserve">PETAP1050</t>
  </si>
  <si>
    <t xml:space="preserve">Tapón PN 16</t>
  </si>
  <si>
    <t xml:space="preserve">PEAT-0741</t>
  </si>
  <si>
    <t xml:space="preserve">PETAP1063</t>
  </si>
  <si>
    <t xml:space="preserve">PEAT-0742</t>
  </si>
  <si>
    <t xml:space="preserve">PETAP1075</t>
  </si>
  <si>
    <t xml:space="preserve">PEAT-0743</t>
  </si>
  <si>
    <t xml:space="preserve">PETAP1090</t>
  </si>
  <si>
    <t xml:space="preserve">PEAT-0744</t>
  </si>
  <si>
    <t xml:space="preserve">PETAP1110</t>
  </si>
  <si>
    <t xml:space="preserve">PEAT-0745</t>
  </si>
  <si>
    <t xml:space="preserve">PETAP1125</t>
  </si>
  <si>
    <t xml:space="preserve">PEAT-0746</t>
  </si>
  <si>
    <t xml:space="preserve">PETAP1140</t>
  </si>
  <si>
    <t xml:space="preserve">PEAT-0747</t>
  </si>
  <si>
    <t xml:space="preserve">PETAP1160</t>
  </si>
  <si>
    <t xml:space="preserve">PEAT-0748</t>
  </si>
  <si>
    <t xml:space="preserve">PETAP1180</t>
  </si>
  <si>
    <t xml:space="preserve">PEAT-0749</t>
  </si>
  <si>
    <t xml:space="preserve">PETAP1200</t>
  </si>
  <si>
    <t xml:space="preserve">PEAT-0750</t>
  </si>
  <si>
    <t xml:space="preserve">PETAP1225</t>
  </si>
  <si>
    <t xml:space="preserve">PEAT-0751</t>
  </si>
  <si>
    <t xml:space="preserve">PETAP1250</t>
  </si>
  <si>
    <t xml:space="preserve">PEAT-0752</t>
  </si>
  <si>
    <t xml:space="preserve">PETAP1280</t>
  </si>
  <si>
    <t xml:space="preserve">PEAT-0753</t>
  </si>
  <si>
    <t xml:space="preserve">PETAP1315</t>
  </si>
  <si>
    <t xml:space="preserve">PEAT-0754</t>
  </si>
  <si>
    <t xml:space="preserve">PEVAL0063</t>
  </si>
  <si>
    <t xml:space="preserve">Portabridas (collarín) PN 10</t>
  </si>
  <si>
    <t xml:space="preserve">bridaloca</t>
  </si>
  <si>
    <t xml:space="preserve">Con brida loca</t>
  </si>
  <si>
    <t xml:space="preserve">PEAT-0755</t>
  </si>
  <si>
    <t xml:space="preserve">PEVAL0075</t>
  </si>
  <si>
    <t xml:space="preserve">PEAT-0756</t>
  </si>
  <si>
    <t xml:space="preserve">PEVAL0090</t>
  </si>
  <si>
    <t xml:space="preserve">PEAT-0757</t>
  </si>
  <si>
    <t xml:space="preserve">PEVAL0110</t>
  </si>
  <si>
    <t xml:space="preserve">PEAT-0758</t>
  </si>
  <si>
    <t xml:space="preserve">PEVAL0125</t>
  </si>
  <si>
    <t xml:space="preserve">PEAT-0759</t>
  </si>
  <si>
    <t xml:space="preserve">PEVAL0140</t>
  </si>
  <si>
    <t xml:space="preserve">PEAT-0760</t>
  </si>
  <si>
    <t xml:space="preserve">PEVAL0160</t>
  </si>
  <si>
    <t xml:space="preserve">PEAT-0761</t>
  </si>
  <si>
    <t xml:space="preserve">PEVAL0180</t>
  </si>
  <si>
    <t xml:space="preserve">PEAT-0762</t>
  </si>
  <si>
    <t xml:space="preserve">PEVAL0200</t>
  </si>
  <si>
    <t xml:space="preserve">PEAT-0763</t>
  </si>
  <si>
    <t xml:space="preserve">PEVAL0225</t>
  </si>
  <si>
    <t xml:space="preserve">PEAT-0764</t>
  </si>
  <si>
    <t xml:space="preserve">PEVAL0250</t>
  </si>
  <si>
    <t xml:space="preserve">PEAT-0765</t>
  </si>
  <si>
    <t xml:space="preserve">PEVAL0280</t>
  </si>
  <si>
    <t xml:space="preserve">PEAT-0766</t>
  </si>
  <si>
    <t xml:space="preserve">PEVAL0315</t>
  </si>
  <si>
    <t xml:space="preserve">PEAT-0767</t>
  </si>
  <si>
    <t xml:space="preserve">PEVAL0355</t>
  </si>
  <si>
    <t xml:space="preserve">PEAT-0768</t>
  </si>
  <si>
    <t xml:space="preserve">PEVAL0400</t>
  </si>
  <si>
    <t xml:space="preserve">PEAT-0769</t>
  </si>
  <si>
    <t xml:space="preserve">PEVAL1040</t>
  </si>
  <si>
    <t xml:space="preserve">Portabridas (collarín) PN 16</t>
  </si>
  <si>
    <t xml:space="preserve">PEAT-0770</t>
  </si>
  <si>
    <t xml:space="preserve">PEVAL1050</t>
  </si>
  <si>
    <t xml:space="preserve">PEAT-0771</t>
  </si>
  <si>
    <t xml:space="preserve">PEVAL1063</t>
  </si>
  <si>
    <t xml:space="preserve">PEAT-0772</t>
  </si>
  <si>
    <t xml:space="preserve">PEVAL1075</t>
  </si>
  <si>
    <t xml:space="preserve">PEAT-0773</t>
  </si>
  <si>
    <t xml:space="preserve">PEVAL1090</t>
  </si>
  <si>
    <t xml:space="preserve">PEAT-0774</t>
  </si>
  <si>
    <t xml:space="preserve">PEVAL1110</t>
  </si>
  <si>
    <t xml:space="preserve">PEAT-0775</t>
  </si>
  <si>
    <t xml:space="preserve">PEVAL1125</t>
  </si>
  <si>
    <t xml:space="preserve">PEAT-0776</t>
  </si>
  <si>
    <t xml:space="preserve">PEVAL1140</t>
  </si>
  <si>
    <t xml:space="preserve">PEAT-0777</t>
  </si>
  <si>
    <t xml:space="preserve">PEVAL1160</t>
  </si>
  <si>
    <t xml:space="preserve">PEAT-0778</t>
  </si>
  <si>
    <t xml:space="preserve">PEVAL1180</t>
  </si>
  <si>
    <t xml:space="preserve">PEAT-0779</t>
  </si>
  <si>
    <t xml:space="preserve">PEVAL1200</t>
  </si>
  <si>
    <t xml:space="preserve">PEAT-0780</t>
  </si>
  <si>
    <t xml:space="preserve">PEVAL1225</t>
  </si>
  <si>
    <t xml:space="preserve">PEAT-0781</t>
  </si>
  <si>
    <t xml:space="preserve">PEVAL1250</t>
  </si>
  <si>
    <t xml:space="preserve">PEAT-0782</t>
  </si>
  <si>
    <t xml:space="preserve">PEVAL1280</t>
  </si>
  <si>
    <t xml:space="preserve">PEAT-0783</t>
  </si>
  <si>
    <t xml:space="preserve">PEVAL1315</t>
  </si>
  <si>
    <t xml:space="preserve">PEAT-0784</t>
  </si>
  <si>
    <t xml:space="preserve">PEVAL1355</t>
  </si>
  <si>
    <t xml:space="preserve">PEAT-0785</t>
  </si>
  <si>
    <t xml:space="preserve">PEVAL1400</t>
  </si>
  <si>
    <t xml:space="preserve">PETR-0786</t>
  </si>
  <si>
    <t xml:space="preserve">Transición PE-rosca</t>
  </si>
  <si>
    <t xml:space="preserve">DAETRM020</t>
  </si>
  <si>
    <t xml:space="preserve">Transición PE100 × rosca macho (latón)</t>
  </si>
  <si>
    <t xml:space="preserve">transicion</t>
  </si>
  <si>
    <t xml:space="preserve">10/16</t>
  </si>
  <si>
    <t xml:space="preserve">PE100 × latón</t>
  </si>
  <si>
    <t xml:space="preserve">Perry 0,04 + cambio de paso PE → rosca (Crane fórm. 6)</t>
  </si>
  <si>
    <t xml:space="preserve">PETR-0787</t>
  </si>
  <si>
    <t xml:space="preserve">DAETRH020</t>
  </si>
  <si>
    <t xml:space="preserve">Transición PE100 × rosca hembra (latón)</t>
  </si>
  <si>
    <t xml:space="preserve">PETR-0788</t>
  </si>
  <si>
    <t xml:space="preserve">DAETRM025</t>
  </si>
  <si>
    <t xml:space="preserve">PETR-0789</t>
  </si>
  <si>
    <t xml:space="preserve">DAETRH025</t>
  </si>
  <si>
    <t xml:space="preserve">PETR-0790</t>
  </si>
  <si>
    <t xml:space="preserve">DAETRM032</t>
  </si>
  <si>
    <t xml:space="preserve">PETR-0791</t>
  </si>
  <si>
    <t xml:space="preserve">DAETRH032</t>
  </si>
  <si>
    <t xml:space="preserve">PETR-0792</t>
  </si>
  <si>
    <t xml:space="preserve">DAETRM040</t>
  </si>
  <si>
    <t xml:space="preserve">PETR-0793</t>
  </si>
  <si>
    <t xml:space="preserve">DAETRH040</t>
  </si>
  <si>
    <t xml:space="preserve">PETR-0794</t>
  </si>
  <si>
    <t xml:space="preserve">DAETRM050</t>
  </si>
  <si>
    <t xml:space="preserve">PETR-0795</t>
  </si>
  <si>
    <t xml:space="preserve">DAETRH050</t>
  </si>
  <si>
    <t xml:space="preserve">PETR-0796</t>
  </si>
  <si>
    <t xml:space="preserve">DAETRM063</t>
  </si>
  <si>
    <t xml:space="preserve">PETR-0797</t>
  </si>
  <si>
    <t xml:space="preserve">DAETRH063</t>
  </si>
  <si>
    <t xml:space="preserve">PETR-0798</t>
  </si>
  <si>
    <t xml:space="preserve">DAETRM075</t>
  </si>
  <si>
    <t xml:space="preserve">PETR-0799</t>
  </si>
  <si>
    <t xml:space="preserve">DAETRH075</t>
  </si>
  <si>
    <t xml:space="preserve">PETR-0800</t>
  </si>
  <si>
    <t xml:space="preserve">DAETRM090</t>
  </si>
  <si>
    <t xml:space="preserve">PETR-0801</t>
  </si>
  <si>
    <t xml:space="preserve">DAETRH090</t>
  </si>
  <si>
    <t xml:space="preserve">PETR-0802</t>
  </si>
  <si>
    <t xml:space="preserve">DAETRM110</t>
  </si>
  <si>
    <t xml:space="preserve">PETR-0803</t>
  </si>
  <si>
    <t xml:space="preserve">DAETRH110</t>
  </si>
  <si>
    <t xml:space="preserve">PETR-0804</t>
  </si>
  <si>
    <t xml:space="preserve">DAETRM125</t>
  </si>
  <si>
    <t xml:space="preserve">PETR-0805</t>
  </si>
  <si>
    <t xml:space="preserve">DAETRH125</t>
  </si>
  <si>
    <t xml:space="preserve">PEBR-0806</t>
  </si>
  <si>
    <t xml:space="preserve">Bridas y juntas</t>
  </si>
  <si>
    <t xml:space="preserve">PEBA DN40/50</t>
  </si>
  <si>
    <t xml:space="preserve">Brida loca acero galvanizado</t>
  </si>
  <si>
    <t xml:space="preserve">DN 40</t>
  </si>
  <si>
    <t xml:space="preserve">Acero galvanizado</t>
  </si>
  <si>
    <t xml:space="preserve">Sobre portabridas</t>
  </si>
  <si>
    <t xml:space="preserve">PEBR-0807</t>
  </si>
  <si>
    <t xml:space="preserve">PEBA DN50/63</t>
  </si>
  <si>
    <t xml:space="preserve">DN 50</t>
  </si>
  <si>
    <t xml:space="preserve">PEBR-0808</t>
  </si>
  <si>
    <t xml:space="preserve">PEBA DN65/75</t>
  </si>
  <si>
    <t xml:space="preserve">DN 65</t>
  </si>
  <si>
    <t xml:space="preserve">PEBR-0809</t>
  </si>
  <si>
    <t xml:space="preserve">PEBA DN80/90</t>
  </si>
  <si>
    <t xml:space="preserve">DN 80</t>
  </si>
  <si>
    <t xml:space="preserve">PEBR-0810</t>
  </si>
  <si>
    <t xml:space="preserve">PEBA DN100/110</t>
  </si>
  <si>
    <t xml:space="preserve">DN 100</t>
  </si>
  <si>
    <t xml:space="preserve">PEBR-0811</t>
  </si>
  <si>
    <t xml:space="preserve">PEBA DN100/125</t>
  </si>
  <si>
    <t xml:space="preserve">PEBR-0812</t>
  </si>
  <si>
    <t xml:space="preserve">PEBA DN125/125</t>
  </si>
  <si>
    <t xml:space="preserve">DN 125</t>
  </si>
  <si>
    <t xml:space="preserve">PEBR-0813</t>
  </si>
  <si>
    <t xml:space="preserve">PEBA DN125/140</t>
  </si>
  <si>
    <t xml:space="preserve">PEBR-0814</t>
  </si>
  <si>
    <t xml:space="preserve">PEBA DN150/160</t>
  </si>
  <si>
    <t xml:space="preserve">DN 150</t>
  </si>
  <si>
    <t xml:space="preserve">PEBR-0815</t>
  </si>
  <si>
    <t xml:space="preserve">PEBA DN150/180</t>
  </si>
  <si>
    <t xml:space="preserve">PEBR-0816</t>
  </si>
  <si>
    <t xml:space="preserve">PEBA DN200/200</t>
  </si>
  <si>
    <t xml:space="preserve">DN 200</t>
  </si>
  <si>
    <t xml:space="preserve">PEBR-0817</t>
  </si>
  <si>
    <t xml:space="preserve">PEBA DN200/225</t>
  </si>
  <si>
    <t xml:space="preserve">PEBR-0818</t>
  </si>
  <si>
    <t xml:space="preserve">PEBA DN250/250</t>
  </si>
  <si>
    <t xml:space="preserve">DN 250</t>
  </si>
  <si>
    <t xml:space="preserve">PEBR-0819</t>
  </si>
  <si>
    <t xml:space="preserve">PEBA DN250/280</t>
  </si>
  <si>
    <t xml:space="preserve">PEBR-0820</t>
  </si>
  <si>
    <t xml:space="preserve">PEBA DN300/315</t>
  </si>
  <si>
    <t xml:space="preserve">DN 300</t>
  </si>
  <si>
    <t xml:space="preserve">PEBR-0821</t>
  </si>
  <si>
    <t xml:space="preserve">PEBA DN350/355</t>
  </si>
  <si>
    <t xml:space="preserve">DN 350</t>
  </si>
  <si>
    <t xml:space="preserve">PEBR-0822</t>
  </si>
  <si>
    <t xml:space="preserve">PEBA DN400/400</t>
  </si>
  <si>
    <t xml:space="preserve">DN 400</t>
  </si>
  <si>
    <t xml:space="preserve">PEBR-0823</t>
  </si>
  <si>
    <t xml:space="preserve">PEBA-R DN200/200</t>
  </si>
  <si>
    <t xml:space="preserve">Brida loca acero galvanizado, espesor reducido</t>
  </si>
  <si>
    <t xml:space="preserve">PEBR-0824</t>
  </si>
  <si>
    <t xml:space="preserve">PEBA-R DN200/225</t>
  </si>
  <si>
    <t xml:space="preserve">PEBR-0825</t>
  </si>
  <si>
    <t xml:space="preserve">PEBA-R DN250/250</t>
  </si>
  <si>
    <t xml:space="preserve">PEBR-0826</t>
  </si>
  <si>
    <t xml:space="preserve">PEBA-R DN250/280</t>
  </si>
  <si>
    <t xml:space="preserve">PEBR-0827</t>
  </si>
  <si>
    <t xml:space="preserve">PEBA-R DN300/315</t>
  </si>
  <si>
    <t xml:space="preserve">PEBR-0828</t>
  </si>
  <si>
    <t xml:space="preserve">PEBA-R DN350/355</t>
  </si>
  <si>
    <t xml:space="preserve">PEBR-0829</t>
  </si>
  <si>
    <t xml:space="preserve">PEBA-R DN400/400</t>
  </si>
  <si>
    <t xml:space="preserve">PEBR-0830</t>
  </si>
  <si>
    <t xml:space="preserve">PPRBRI DN40/50</t>
  </si>
  <si>
    <t xml:space="preserve">Brida loca revestida de PP</t>
  </si>
  <si>
    <t xml:space="preserve">Acero revestido de PP</t>
  </si>
  <si>
    <t xml:space="preserve">PEBR-0831</t>
  </si>
  <si>
    <t xml:space="preserve">PPRBRI DN50/63</t>
  </si>
  <si>
    <t xml:space="preserve">PEBR-0832</t>
  </si>
  <si>
    <t xml:space="preserve">PPRBRI DN65/75</t>
  </si>
  <si>
    <t xml:space="preserve">PEBR-0833</t>
  </si>
  <si>
    <t xml:space="preserve">PPRBRI DN80/90</t>
  </si>
  <si>
    <t xml:space="preserve">PEBR-0834</t>
  </si>
  <si>
    <t xml:space="preserve">PPRBRI DN100/110</t>
  </si>
  <si>
    <t xml:space="preserve">PEBR-0835</t>
  </si>
  <si>
    <t xml:space="preserve">PPRBRI DN100/125</t>
  </si>
  <si>
    <t xml:space="preserve">PEBR-0836</t>
  </si>
  <si>
    <t xml:space="preserve">PPRBRI DN125/140</t>
  </si>
  <si>
    <t xml:space="preserve">PEBR-0837</t>
  </si>
  <si>
    <t xml:space="preserve">PPRBRI DN150/160</t>
  </si>
  <si>
    <t xml:space="preserve">PEBR-0838</t>
  </si>
  <si>
    <t xml:space="preserve">PPRBRI DN150/180</t>
  </si>
  <si>
    <t xml:space="preserve">PEBR-0839</t>
  </si>
  <si>
    <t xml:space="preserve">PPRBRI DN200/200</t>
  </si>
  <si>
    <t xml:space="preserve">PEBR-0840</t>
  </si>
  <si>
    <t xml:space="preserve">PPRBRI DN200/225</t>
  </si>
  <si>
    <t xml:space="preserve">PEBR-0841</t>
  </si>
  <si>
    <t xml:space="preserve">PPRBRI DN250/250</t>
  </si>
  <si>
    <t xml:space="preserve">PEBR-0842</t>
  </si>
  <si>
    <t xml:space="preserve">PPRBRI DN250/280</t>
  </si>
  <si>
    <t xml:space="preserve">PEBR-0843</t>
  </si>
  <si>
    <t xml:space="preserve">PPRBRI DN300/315</t>
  </si>
  <si>
    <t xml:space="preserve">PEBR-0844</t>
  </si>
  <si>
    <t xml:space="preserve">JUNTA040</t>
  </si>
  <si>
    <t xml:space="preserve">Junta plana</t>
  </si>
  <si>
    <t xml:space="preserve">junta</t>
  </si>
  <si>
    <t xml:space="preserve">Elastómero</t>
  </si>
  <si>
    <t xml:space="preserve">PEBR-0845</t>
  </si>
  <si>
    <t xml:space="preserve">JUNTA050</t>
  </si>
  <si>
    <t xml:space="preserve">PEBR-0846</t>
  </si>
  <si>
    <t xml:space="preserve">JUNTA065</t>
  </si>
  <si>
    <t xml:space="preserve">PEBR-0847</t>
  </si>
  <si>
    <t xml:space="preserve">JUNTA080</t>
  </si>
  <si>
    <t xml:space="preserve">PEBR-0848</t>
  </si>
  <si>
    <t xml:space="preserve">JUNTA100</t>
  </si>
  <si>
    <t xml:space="preserve">PEBR-0849</t>
  </si>
  <si>
    <t xml:space="preserve">JUNTA125</t>
  </si>
  <si>
    <t xml:space="preserve">PEBR-0850</t>
  </si>
  <si>
    <t xml:space="preserve">JUNTA150</t>
  </si>
  <si>
    <t xml:space="preserve">PEBR-0851</t>
  </si>
  <si>
    <t xml:space="preserve">JUNTA200</t>
  </si>
  <si>
    <t xml:space="preserve">PEBR-0852</t>
  </si>
  <si>
    <t xml:space="preserve">JUNTA250</t>
  </si>
  <si>
    <t xml:space="preserve">PEBR-0853</t>
  </si>
  <si>
    <t xml:space="preserve">JUNTA300</t>
  </si>
  <si>
    <t xml:space="preserve">PEBR-0854</t>
  </si>
  <si>
    <t xml:space="preserve">JUNTA350</t>
  </si>
  <si>
    <t xml:space="preserve">PEBR-0855</t>
  </si>
  <si>
    <t xml:space="preserve">JUNTA400</t>
  </si>
  <si>
    <t xml:space="preserve">PEC-0856</t>
  </si>
  <si>
    <t xml:space="preserve">Suinga (La Tienda del Jardín)</t>
  </si>
  <si>
    <t xml:space="preserve">5220-20</t>
  </si>
  <si>
    <t xml:space="preserve">Precio «desde» de la tienda</t>
  </si>
  <si>
    <t xml:space="preserve">PEC-0857</t>
  </si>
  <si>
    <t xml:space="preserve">5220-25</t>
  </si>
  <si>
    <t xml:space="preserve">PEC-0858</t>
  </si>
  <si>
    <t xml:space="preserve">5220-32</t>
  </si>
  <si>
    <t xml:space="preserve">PEC-0859</t>
  </si>
  <si>
    <t xml:space="preserve">5220-40</t>
  </si>
  <si>
    <t xml:space="preserve">PEC-0860</t>
  </si>
  <si>
    <t xml:space="preserve">5220-50</t>
  </si>
  <si>
    <t xml:space="preserve">PEC-0861</t>
  </si>
  <si>
    <t xml:space="preserve">5220-63</t>
  </si>
  <si>
    <t xml:space="preserve">PEC-0862</t>
  </si>
  <si>
    <t xml:space="preserve">5220-75</t>
  </si>
  <si>
    <t xml:space="preserve">PEC-0863</t>
  </si>
  <si>
    <t xml:space="preserve">5220-90</t>
  </si>
  <si>
    <t xml:space="preserve">PEC-0864</t>
  </si>
  <si>
    <t xml:space="preserve">5325-2520</t>
  </si>
  <si>
    <t xml:space="preserve">PEC-0865</t>
  </si>
  <si>
    <t xml:space="preserve">5325-3225</t>
  </si>
  <si>
    <t xml:space="preserve">PEC-0866</t>
  </si>
  <si>
    <t xml:space="preserve">5325-4032</t>
  </si>
  <si>
    <t xml:space="preserve">PEC-0867</t>
  </si>
  <si>
    <t xml:space="preserve">5325-5040</t>
  </si>
  <si>
    <t xml:space="preserve">PEC-0868</t>
  </si>
  <si>
    <t xml:space="preserve">5325-6350</t>
  </si>
  <si>
    <t xml:space="preserve">PEC-0869</t>
  </si>
  <si>
    <t xml:space="preserve">5325-7563</t>
  </si>
  <si>
    <t xml:space="preserve">PEC-0870</t>
  </si>
  <si>
    <t xml:space="preserve">5325-9075</t>
  </si>
  <si>
    <t xml:space="preserve">PEC-0871</t>
  </si>
  <si>
    <t xml:space="preserve">5120-20</t>
  </si>
  <si>
    <t xml:space="preserve">PEC-0872</t>
  </si>
  <si>
    <t xml:space="preserve">5120-25</t>
  </si>
  <si>
    <t xml:space="preserve">PEC-0873</t>
  </si>
  <si>
    <t xml:space="preserve">5120-32</t>
  </si>
  <si>
    <t xml:space="preserve">PEC-0874</t>
  </si>
  <si>
    <t xml:space="preserve">5120-40</t>
  </si>
  <si>
    <t xml:space="preserve">PEC-0875</t>
  </si>
  <si>
    <t xml:space="preserve">5120-50</t>
  </si>
  <si>
    <t xml:space="preserve">PEC-0876</t>
  </si>
  <si>
    <t xml:space="preserve">5120-63</t>
  </si>
  <si>
    <t xml:space="preserve">PEC-0877</t>
  </si>
  <si>
    <t xml:space="preserve">5120-75</t>
  </si>
  <si>
    <t xml:space="preserve">PEC-0878</t>
  </si>
  <si>
    <t xml:space="preserve">5120-90</t>
  </si>
  <si>
    <t xml:space="preserve">PEC-0879</t>
  </si>
  <si>
    <t xml:space="preserve">5020-20</t>
  </si>
  <si>
    <t xml:space="preserve">PEC-0880</t>
  </si>
  <si>
    <t xml:space="preserve">5020-25</t>
  </si>
  <si>
    <t xml:space="preserve">PEC-0881</t>
  </si>
  <si>
    <t xml:space="preserve">5020-32</t>
  </si>
  <si>
    <t xml:space="preserve">PEC-0882</t>
  </si>
  <si>
    <t xml:space="preserve">5020-40</t>
  </si>
  <si>
    <t xml:space="preserve">PEC-0883</t>
  </si>
  <si>
    <t xml:space="preserve">5020-50</t>
  </si>
  <si>
    <t xml:space="preserve">PEC-0884</t>
  </si>
  <si>
    <t xml:space="preserve">5020-63</t>
  </si>
  <si>
    <t xml:space="preserve">PEC-0885</t>
  </si>
  <si>
    <t xml:space="preserve">5020-75</t>
  </si>
  <si>
    <t xml:space="preserve">PEC-0886</t>
  </si>
  <si>
    <t xml:space="preserve">5020-90</t>
  </si>
  <si>
    <t xml:space="preserve">PEC-0887</t>
  </si>
  <si>
    <t xml:space="preserve">5620-20</t>
  </si>
  <si>
    <t xml:space="preserve">PEC-0888</t>
  </si>
  <si>
    <t xml:space="preserve">5620-25</t>
  </si>
  <si>
    <t xml:space="preserve">PEC-0889</t>
  </si>
  <si>
    <t xml:space="preserve">5620-32</t>
  </si>
  <si>
    <t xml:space="preserve">PEC-0890</t>
  </si>
  <si>
    <t xml:space="preserve">5620-40</t>
  </si>
  <si>
    <t xml:space="preserve">PEC-0891</t>
  </si>
  <si>
    <t xml:space="preserve">5620-50</t>
  </si>
  <si>
    <t xml:space="preserve">PEC-0892</t>
  </si>
  <si>
    <t xml:space="preserve">5620-63</t>
  </si>
  <si>
    <t xml:space="preserve">PEC-0893</t>
  </si>
  <si>
    <t xml:space="preserve">5620-75</t>
  </si>
  <si>
    <t xml:space="preserve">PEC-0894</t>
  </si>
  <si>
    <t xml:space="preserve">5620-90</t>
  </si>
  <si>
    <t xml:space="preserve">PEC-0895</t>
  </si>
  <si>
    <t xml:space="preserve">5820-20</t>
  </si>
  <si>
    <t xml:space="preserve">PEC-0896</t>
  </si>
  <si>
    <t xml:space="preserve">5820-25</t>
  </si>
  <si>
    <t xml:space="preserve">PEC-0897</t>
  </si>
  <si>
    <t xml:space="preserve">5820-32</t>
  </si>
  <si>
    <t xml:space="preserve">PEC-0898</t>
  </si>
  <si>
    <t xml:space="preserve">5820-40</t>
  </si>
  <si>
    <t xml:space="preserve">PEC-0899</t>
  </si>
  <si>
    <t xml:space="preserve">5820-50</t>
  </si>
  <si>
    <t xml:space="preserve">PEC-0900</t>
  </si>
  <si>
    <t xml:space="preserve">5820-63</t>
  </si>
  <si>
    <t xml:space="preserve">PEC-0901</t>
  </si>
  <si>
    <t xml:space="preserve">5820-75</t>
  </si>
  <si>
    <t xml:space="preserve">PEC-0902</t>
  </si>
  <si>
    <t xml:space="preserve">5820-90</t>
  </si>
  <si>
    <t xml:space="preserve">PEC-0903</t>
  </si>
  <si>
    <t xml:space="preserve">5720-20</t>
  </si>
  <si>
    <t xml:space="preserve">PEC-0904</t>
  </si>
  <si>
    <t xml:space="preserve">5720-25</t>
  </si>
  <si>
    <t xml:space="preserve">PEC-0905</t>
  </si>
  <si>
    <t xml:space="preserve">5720-32</t>
  </si>
  <si>
    <t xml:space="preserve">PEC-0906</t>
  </si>
  <si>
    <t xml:space="preserve">5720-40</t>
  </si>
  <si>
    <t xml:space="preserve">PEC-0907</t>
  </si>
  <si>
    <t xml:space="preserve">5720-50</t>
  </si>
  <si>
    <t xml:space="preserve">PEC-0908</t>
  </si>
  <si>
    <t xml:space="preserve">5720-63</t>
  </si>
  <si>
    <t xml:space="preserve">PEC-0909</t>
  </si>
  <si>
    <t xml:space="preserve">5420-20</t>
  </si>
  <si>
    <t xml:space="preserve">PEC-0910</t>
  </si>
  <si>
    <t xml:space="preserve">5420-25</t>
  </si>
  <si>
    <t xml:space="preserve">PEC-0911</t>
  </si>
  <si>
    <t xml:space="preserve">5420-32</t>
  </si>
  <si>
    <t xml:space="preserve">PEC-0912</t>
  </si>
  <si>
    <t xml:space="preserve">5420-40</t>
  </si>
  <si>
    <t xml:space="preserve">PEC-0913</t>
  </si>
  <si>
    <t xml:space="preserve">5420-50</t>
  </si>
  <si>
    <t xml:space="preserve">PEC-0914</t>
  </si>
  <si>
    <t xml:space="preserve">5420-63</t>
  </si>
  <si>
    <t xml:space="preserve">PEC-0915</t>
  </si>
  <si>
    <t xml:space="preserve">5420-75</t>
  </si>
  <si>
    <t xml:space="preserve">PEC-0916</t>
  </si>
  <si>
    <t xml:space="preserve">5420-90</t>
  </si>
  <si>
    <t xml:space="preserve">PEC-0917</t>
  </si>
  <si>
    <t xml:space="preserve">6125-2520</t>
  </si>
  <si>
    <t xml:space="preserve">PEC-0918</t>
  </si>
  <si>
    <t xml:space="preserve">6125-3225</t>
  </si>
  <si>
    <t xml:space="preserve">PEC-0919</t>
  </si>
  <si>
    <t xml:space="preserve">6125-4032</t>
  </si>
  <si>
    <t xml:space="preserve">PEC-0920</t>
  </si>
  <si>
    <t xml:space="preserve">6125-5040</t>
  </si>
  <si>
    <t xml:space="preserve">PEC-0921</t>
  </si>
  <si>
    <t xml:space="preserve">6125-6350</t>
  </si>
  <si>
    <t xml:space="preserve">PEC-0922</t>
  </si>
  <si>
    <t xml:space="preserve">5520-20</t>
  </si>
  <si>
    <t xml:space="preserve">PEC-0923</t>
  </si>
  <si>
    <t xml:space="preserve">5520-25</t>
  </si>
  <si>
    <t xml:space="preserve">PEC-0924</t>
  </si>
  <si>
    <t xml:space="preserve">5520-32</t>
  </si>
  <si>
    <t xml:space="preserve">PEC-0925</t>
  </si>
  <si>
    <t xml:space="preserve">5520-40</t>
  </si>
  <si>
    <t xml:space="preserve">PEC-0926</t>
  </si>
  <si>
    <t xml:space="preserve">5520-50</t>
  </si>
  <si>
    <t xml:space="preserve">PEC-0927</t>
  </si>
  <si>
    <t xml:space="preserve">5520-63</t>
  </si>
  <si>
    <t xml:space="preserve">PEC-0928</t>
  </si>
  <si>
    <t xml:space="preserve">5520-75</t>
  </si>
  <si>
    <t xml:space="preserve">PEC-0929</t>
  </si>
  <si>
    <t xml:space="preserve">5520-90</t>
  </si>
  <si>
    <t xml:space="preserve">PEC-0930</t>
  </si>
  <si>
    <t xml:space="preserve">6220-20</t>
  </si>
  <si>
    <t xml:space="preserve">PEC-0931</t>
  </si>
  <si>
    <t xml:space="preserve">6220-25</t>
  </si>
  <si>
    <t xml:space="preserve">PEC-0932</t>
  </si>
  <si>
    <t xml:space="preserve">6220-32</t>
  </si>
  <si>
    <t xml:space="preserve">PEC-0933</t>
  </si>
  <si>
    <t xml:space="preserve">6220-40</t>
  </si>
  <si>
    <t xml:space="preserve">PEC-0934</t>
  </si>
  <si>
    <t xml:space="preserve">6220-50</t>
  </si>
  <si>
    <t xml:space="preserve">PEC-0935</t>
  </si>
  <si>
    <t xml:space="preserve">6220-63</t>
  </si>
  <si>
    <t xml:space="preserve">PEC-0936</t>
  </si>
  <si>
    <t xml:space="preserve">5920-20</t>
  </si>
  <si>
    <t xml:space="preserve">PEC-0937</t>
  </si>
  <si>
    <t xml:space="preserve">5920-25</t>
  </si>
  <si>
    <t xml:space="preserve">PEC-0938</t>
  </si>
  <si>
    <t xml:space="preserve">5920-32</t>
  </si>
  <si>
    <t xml:space="preserve">PEC-0939</t>
  </si>
  <si>
    <t xml:space="preserve">5920-40</t>
  </si>
  <si>
    <t xml:space="preserve">PEC-0940</t>
  </si>
  <si>
    <t xml:space="preserve">5920-50</t>
  </si>
  <si>
    <t xml:space="preserve">PEC-0941</t>
  </si>
  <si>
    <t xml:space="preserve">5920-63</t>
  </si>
  <si>
    <t xml:space="preserve">PEC-0942</t>
  </si>
  <si>
    <t xml:space="preserve">5920-75</t>
  </si>
  <si>
    <t xml:space="preserve">PEC-0943</t>
  </si>
  <si>
    <t xml:space="preserve">5920-90</t>
  </si>
  <si>
    <t xml:space="preserve">PEC-0944</t>
  </si>
  <si>
    <t xml:space="preserve">27712020-20</t>
  </si>
  <si>
    <t xml:space="preserve">Codo grifo (rosca hembra)</t>
  </si>
  <si>
    <t xml:space="preserve">PEC-0945</t>
  </si>
  <si>
    <t xml:space="preserve">27712020-25</t>
  </si>
  <si>
    <t xml:space="preserve">PERO-0946</t>
  </si>
  <si>
    <t xml:space="preserve">Roscado</t>
  </si>
  <si>
    <t xml:space="preserve">901-MR 1/2"</t>
  </si>
  <si>
    <t xml:space="preserve">Machón rosca macho × macho</t>
  </si>
  <si>
    <t xml:space="preserve">machon</t>
  </si>
  <si>
    <t xml:space="preserve">Plástico</t>
  </si>
  <si>
    <t xml:space="preserve">Crane fórm. 6 con el paso de rosca + Perry 0,04</t>
  </si>
  <si>
    <t xml:space="preserve">PERO-0947</t>
  </si>
  <si>
    <t xml:space="preserve">901-MR 3/4"</t>
  </si>
  <si>
    <t xml:space="preserve">PERO-0948</t>
  </si>
  <si>
    <t xml:space="preserve">901-MR 1"</t>
  </si>
  <si>
    <t xml:space="preserve">PERO-0949</t>
  </si>
  <si>
    <t xml:space="preserve">901-MR 1 1/4"</t>
  </si>
  <si>
    <t xml:space="preserve">PERO-0950</t>
  </si>
  <si>
    <t xml:space="preserve">901-MR 1 1/2"</t>
  </si>
  <si>
    <t xml:space="preserve">PERO-0951</t>
  </si>
  <si>
    <t xml:space="preserve">901-MR 2"</t>
  </si>
  <si>
    <t xml:space="preserve">PERO-0952</t>
  </si>
  <si>
    <t xml:space="preserve">901-MR 2 1/2"</t>
  </si>
  <si>
    <t xml:space="preserve">PERO-0953</t>
  </si>
  <si>
    <t xml:space="preserve">901-MR 3"</t>
  </si>
  <si>
    <t xml:space="preserve">PERO-0954</t>
  </si>
  <si>
    <t xml:space="preserve">910-MR 3/4"x1/2"</t>
  </si>
  <si>
    <t xml:space="preserve">Machón reducido macho × macho</t>
  </si>
  <si>
    <t xml:space="preserve">3/4" × 1/2"</t>
  </si>
  <si>
    <t xml:space="preserve">PERO-0955</t>
  </si>
  <si>
    <t xml:space="preserve">910-MR 1"x1/2"</t>
  </si>
  <si>
    <t xml:space="preserve">1" × 1/2"</t>
  </si>
  <si>
    <t xml:space="preserve">PERO-0956</t>
  </si>
  <si>
    <t xml:space="preserve">910-MR 1"x3/4"</t>
  </si>
  <si>
    <t xml:space="preserve">1" × 3/4"</t>
  </si>
  <si>
    <t xml:space="preserve">PERO-0957</t>
  </si>
  <si>
    <t xml:space="preserve">910-MR 1 1/4"x3/4"</t>
  </si>
  <si>
    <t xml:space="preserve">1 1/4" × 3/4"</t>
  </si>
  <si>
    <t xml:space="preserve">PERO-0958</t>
  </si>
  <si>
    <t xml:space="preserve">910-MR 1 1/4"x1"</t>
  </si>
  <si>
    <t xml:space="preserve">1 1/4" × 1"</t>
  </si>
  <si>
    <t xml:space="preserve">PERO-0959</t>
  </si>
  <si>
    <t xml:space="preserve">910-MR 1 1/2"x3/4"</t>
  </si>
  <si>
    <t xml:space="preserve">1 1/2" × 3/4"</t>
  </si>
  <si>
    <t xml:space="preserve">PERO-0960</t>
  </si>
  <si>
    <t xml:space="preserve">910-MR 2"x1"</t>
  </si>
  <si>
    <t xml:space="preserve">2" × 1"</t>
  </si>
  <si>
    <t xml:space="preserve">PERO-0961</t>
  </si>
  <si>
    <t xml:space="preserve">910-MR 2"x1 1/2"</t>
  </si>
  <si>
    <t xml:space="preserve">2" × 1 1/2"</t>
  </si>
  <si>
    <t xml:space="preserve">PERO-0962</t>
  </si>
  <si>
    <t xml:space="preserve">910-MR 2 1/2"x2"</t>
  </si>
  <si>
    <t xml:space="preserve">2 1/2" × 2"</t>
  </si>
  <si>
    <t xml:space="preserve">PERO-0963</t>
  </si>
  <si>
    <t xml:space="preserve">910-MR 3"x2 1/2"</t>
  </si>
  <si>
    <t xml:space="preserve">3" × 2 1/2"</t>
  </si>
  <si>
    <t xml:space="preserve">PERO-0964</t>
  </si>
  <si>
    <t xml:space="preserve">410-MR 3/4"x1/2"</t>
  </si>
  <si>
    <t xml:space="preserve">Tuerca reducida macho × hembra</t>
  </si>
  <si>
    <t xml:space="preserve">tuerca</t>
  </si>
  <si>
    <t xml:space="preserve">PERO-0965</t>
  </si>
  <si>
    <t xml:space="preserve">410-MR 1"x1/2"</t>
  </si>
  <si>
    <t xml:space="preserve">PERO-0966</t>
  </si>
  <si>
    <t xml:space="preserve">410-MR 1"x3/4"</t>
  </si>
  <si>
    <t xml:space="preserve">PERO-0967</t>
  </si>
  <si>
    <t xml:space="preserve">410-MR 1 1/4"x3/4"</t>
  </si>
  <si>
    <t xml:space="preserve">PERO-0968</t>
  </si>
  <si>
    <t xml:space="preserve">410-MR 1 1/4"x1"</t>
  </si>
  <si>
    <t xml:space="preserve">PERO-0969</t>
  </si>
  <si>
    <t xml:space="preserve">410-MR 1 1/2"x3/4"</t>
  </si>
  <si>
    <t xml:space="preserve">PERO-0970</t>
  </si>
  <si>
    <t xml:space="preserve">410-MR 1 1/2"x1"</t>
  </si>
  <si>
    <t xml:space="preserve">1 1/2" × 1"</t>
  </si>
  <si>
    <t xml:space="preserve">PERO-0971</t>
  </si>
  <si>
    <t xml:space="preserve">410-MR 1 1/2"x1 1/4"</t>
  </si>
  <si>
    <t xml:space="preserve">1 1/2" × 1 1/4"</t>
  </si>
  <si>
    <t xml:space="preserve">PERO-0972</t>
  </si>
  <si>
    <t xml:space="preserve">410-MR 2"x1"</t>
  </si>
  <si>
    <t xml:space="preserve">PERO-0973</t>
  </si>
  <si>
    <t xml:space="preserve">410-MR 2"x1 1/2"</t>
  </si>
  <si>
    <t xml:space="preserve">PERO-0974</t>
  </si>
  <si>
    <t xml:space="preserve">410-MR 2 1/2"x2"</t>
  </si>
  <si>
    <t xml:space="preserve">PERO-0975</t>
  </si>
  <si>
    <t xml:space="preserve">410-MR 3"x2 1/2"</t>
  </si>
  <si>
    <t xml:space="preserve">PERO-0976</t>
  </si>
  <si>
    <t xml:space="preserve">401-MR 1/2"</t>
  </si>
  <si>
    <t xml:space="preserve">Manguito rosca hembra × hembra</t>
  </si>
  <si>
    <t xml:space="preserve">PERO-0977</t>
  </si>
  <si>
    <t xml:space="preserve">401-MR 3/4"</t>
  </si>
  <si>
    <t xml:space="preserve">PERO-0978</t>
  </si>
  <si>
    <t xml:space="preserve">401-MR 1"</t>
  </si>
  <si>
    <t xml:space="preserve">PERO-0979</t>
  </si>
  <si>
    <t xml:space="preserve">401-MR 1 1/4"</t>
  </si>
  <si>
    <t xml:space="preserve">PERO-0980</t>
  </si>
  <si>
    <t xml:space="preserve">401-MR 1 1/2"</t>
  </si>
  <si>
    <t xml:space="preserve">PERO-0981</t>
  </si>
  <si>
    <t xml:space="preserve">401-MR 2"</t>
  </si>
  <si>
    <t xml:space="preserve">PEDE-0982</t>
  </si>
  <si>
    <t xml:space="preserve">Depósito</t>
  </si>
  <si>
    <t xml:space="preserve">Pasamuros 1"</t>
  </si>
  <si>
    <t xml:space="preserve">Pasamuros para depósito</t>
  </si>
  <si>
    <t xml:space="preserve">Crane A-30: entrada a ras 0,5 / salida 1,0</t>
  </si>
  <si>
    <t xml:space="preserve">PEDE-0983</t>
  </si>
  <si>
    <t xml:space="preserve">Adaptador depósito 1" 32 mm</t>
  </si>
  <si>
    <t xml:space="preserve">Adaptador de depósito macho con tapón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</si>
</sst>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0.000"/>
    <numFmt numFmtId="167" formatCode="#,##0.00&quot; €&quot;"/>
    <numFmt numFmtId="168" formatCode="0.00"/>
    <numFmt numFmtId="169" formatCode="0.0000"/>
    <numFmt numFmtId="170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  <fill>
      <patternFill patternType="solid">
        <fgColor rgb="FF833C0B"/>
        <bgColor rgb="FF993366"/>
      </patternFill>
    </fill>
    <fill>
      <patternFill patternType="solid">
        <fgColor rgb="FFDDEBF7"/>
        <bgColor rgb="FFEDEDED"/>
      </patternFill>
    </fill>
    <fill>
      <patternFill patternType="solid">
        <fgColor rgb="FFEDE2F6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F8CBAD"/>
        <bgColor rgb="FFFCE4D6"/>
      </patternFill>
    </fill>
    <fill>
      <patternFill patternType="solid">
        <fgColor rgb="FFD9D9D9"/>
        <bgColor rgb="FFEDE2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2F6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833C0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EDE2F6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33C0B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egbgroup.com/wp-content/uploads/2024/10/EGB-MANUAL-TECNICO-PPC.pdf" TargetMode="External"/><Relationship Id="rId3" Type="http://schemas.openxmlformats.org/officeDocument/2006/relationships/hyperlink" Target="https://www.egbgroup.com/wp-content/uploads/2024/10/EGB-MANUAL-TECNICO-PPC.pdf" TargetMode="External"/><Relationship Id="rId4" Type="http://schemas.openxmlformats.org/officeDocument/2006/relationships/hyperlink" Target="https://www.egbgroup.com/wp-content/uploads/2024/10/EGB-MANUAL-TECNICO-PPC.pdf" TargetMode="External"/><Relationship Id="rId5" Type="http://schemas.openxmlformats.org/officeDocument/2006/relationships/hyperlink" Target="https://www.egbgroup.com/wp-content/uploads/2024/10/EGB-MANUAL-TECNICO-PPC.pdf" TargetMode="External"/><Relationship Id="rId6" Type="http://schemas.openxmlformats.org/officeDocument/2006/relationships/hyperlink" Target="https://www.egbgroup.com/wp-content/uploads/2024/10/EGB-MANUAL-TECNICO-PPC.pdf" TargetMode="External"/><Relationship Id="rId7" Type="http://schemas.openxmlformats.org/officeDocument/2006/relationships/hyperlink" Target="https://www.egbgroup.com/wp-content/uploads/2024/10/EGB-MANUAL-TECNICO-PPC.pdf" TargetMode="External"/><Relationship Id="rId8" Type="http://schemas.openxmlformats.org/officeDocument/2006/relationships/hyperlink" Target="https://www.egbgroup.com/wp-content/uploads/2024/10/EGB-MANUAL-TECNICO-PPC.pdf" TargetMode="External"/><Relationship Id="rId9" Type="http://schemas.openxmlformats.org/officeDocument/2006/relationships/hyperlink" Target="https://www.egbgroup.com/wp-content/uploads/2024/10/EGB-MANUAL-TECNICO-PPC.pdf" TargetMode="External"/><Relationship Id="rId10" Type="http://schemas.openxmlformats.org/officeDocument/2006/relationships/hyperlink" Target="https://www.egbgroup.com/wp-content/uploads/2024/10/EGB-MANUAL-TECNICO-PPC.pdf" TargetMode="External"/><Relationship Id="rId11" Type="http://schemas.openxmlformats.org/officeDocument/2006/relationships/hyperlink" Target="https://www.egbgroup.com/wp-content/uploads/2024/10/EGB-MANUAL-TECNICO-PPC.pdf" TargetMode="External"/><Relationship Id="rId12" Type="http://schemas.openxmlformats.org/officeDocument/2006/relationships/hyperlink" Target="https://www.egbgroup.com/wp-content/uploads/2024/10/EGB-MANUAL-TECNICO-PPC.pdf" TargetMode="External"/><Relationship Id="rId13" Type="http://schemas.openxmlformats.org/officeDocument/2006/relationships/hyperlink" Target="https://www.egbgroup.com/wp-content/uploads/2024/10/EGB-MANUAL-TECNICO-PPC.pdf" TargetMode="External"/><Relationship Id="rId14" Type="http://schemas.openxmlformats.org/officeDocument/2006/relationships/hyperlink" Target="https://www.egbgroup.com/wp-content/uploads/2024/10/EGB-MANUAL-TECNICO-PPC.pdf" TargetMode="External"/><Relationship Id="rId15" Type="http://schemas.openxmlformats.org/officeDocument/2006/relationships/hyperlink" Target="https://www.egbgroup.com/wp-content/uploads/2024/10/EGB-MANUAL-TECNICO-PPC.pdf" TargetMode="External"/><Relationship Id="rId16" Type="http://schemas.openxmlformats.org/officeDocument/2006/relationships/hyperlink" Target="https://www.egbgroup.com/wp-content/uploads/2024/10/EGB-MANUAL-TECNICO-PPC.pdf" TargetMode="External"/><Relationship Id="rId17" Type="http://schemas.openxmlformats.org/officeDocument/2006/relationships/hyperlink" Target="https://www.egbgroup.com/wp-content/uploads/2024/10/EGB-MANUAL-TECNICO-PPC.pdf" TargetMode="External"/><Relationship Id="rId18" Type="http://schemas.openxmlformats.org/officeDocument/2006/relationships/hyperlink" Target="https://www.egbgroup.com/wp-content/uploads/2024/10/EGB-MANUAL-TECNICO-PPC.pdf" TargetMode="External"/><Relationship Id="rId19" Type="http://schemas.openxmlformats.org/officeDocument/2006/relationships/hyperlink" Target="https://www.egbgroup.com/wp-content/uploads/2024/10/EGB-MANUAL-TECNICO-PPC.pdf" TargetMode="External"/><Relationship Id="rId20" Type="http://schemas.openxmlformats.org/officeDocument/2006/relationships/hyperlink" Target="https://www.egbgroup.com/wp-content/uploads/2024/10/EGB-MANUAL-TECNICO-PPC.pdf" TargetMode="External"/><Relationship Id="rId21" Type="http://schemas.openxmlformats.org/officeDocument/2006/relationships/hyperlink" Target="https://www.egbgroup.com/wp-content/uploads/2024/10/EGB-MANUAL-TECNICO-PPC.pdf" TargetMode="External"/><Relationship Id="rId22" Type="http://schemas.openxmlformats.org/officeDocument/2006/relationships/hyperlink" Target="https://www.egbgroup.com/wp-content/uploads/2024/10/EGB-MANUAL-TECNICO-PPC.pdf" TargetMode="External"/><Relationship Id="rId23" Type="http://schemas.openxmlformats.org/officeDocument/2006/relationships/hyperlink" Target="https://www.egbgroup.com/wp-content/uploads/2024/10/EGB-MANUAL-TECNICO-PPC.pdf" TargetMode="External"/><Relationship Id="rId24" Type="http://schemas.openxmlformats.org/officeDocument/2006/relationships/hyperlink" Target="https://www.egbgroup.com/wp-content/uploads/2024/10/EGB-MANUAL-TECNICO-PPC.pdf" TargetMode="External"/><Relationship Id="rId25" Type="http://schemas.openxmlformats.org/officeDocument/2006/relationships/hyperlink" Target="https://www.egbgroup.com/wp-content/uploads/2024/10/EGB-MANUAL-TECNICO-PPC.pdf" TargetMode="External"/><Relationship Id="rId26" Type="http://schemas.openxmlformats.org/officeDocument/2006/relationships/hyperlink" Target="https://www.egbgroup.com/wp-content/uploads/2024/10/EGB-MANUAL-TECNICO-PPC.pdf" TargetMode="External"/><Relationship Id="rId27" Type="http://schemas.openxmlformats.org/officeDocument/2006/relationships/hyperlink" Target="https://www.egbgroup.com/wp-content/uploads/2024/10/EGB-MANUAL-TECNICO-PPC.pdf" TargetMode="External"/><Relationship Id="rId28" Type="http://schemas.openxmlformats.org/officeDocument/2006/relationships/hyperlink" Target="https://www.egbgroup.com/wp-content/uploads/2024/10/EGB-MANUAL-TECNICO-PPC.pdf" TargetMode="External"/><Relationship Id="rId29" Type="http://schemas.openxmlformats.org/officeDocument/2006/relationships/hyperlink" Target="https://www.egbgroup.com/wp-content/uploads/2024/10/EGB-MANUAL-TECNICO-PPC.pdf" TargetMode="External"/><Relationship Id="rId30" Type="http://schemas.openxmlformats.org/officeDocument/2006/relationships/hyperlink" Target="https://www.egbgroup.com/wp-content/uploads/2024/10/EGB-MANUAL-TECNICO-PPC.pdf" TargetMode="External"/><Relationship Id="rId31" Type="http://schemas.openxmlformats.org/officeDocument/2006/relationships/hyperlink" Target="https://www.egbgroup.com/wp-content/uploads/2024/10/EGB-MANUAL-TECNICO-PPC.pdf" TargetMode="External"/><Relationship Id="rId32" Type="http://schemas.openxmlformats.org/officeDocument/2006/relationships/hyperlink" Target="https://www.egbgroup.com/wp-content/uploads/2024/10/EGB-MANUAL-TECNICO-PPC.pdf" TargetMode="External"/><Relationship Id="rId33" Type="http://schemas.openxmlformats.org/officeDocument/2006/relationships/hyperlink" Target="https://www.egbgroup.com/wp-content/uploads/2024/10/EGB-MANUAL-TECNICO-PPC.pdf" TargetMode="External"/><Relationship Id="rId34" Type="http://schemas.openxmlformats.org/officeDocument/2006/relationships/hyperlink" Target="https://www.egbgroup.com/wp-content/uploads/2024/10/EGB-MANUAL-TECNICO-PPC.pdf" TargetMode="External"/><Relationship Id="rId35" Type="http://schemas.openxmlformats.org/officeDocument/2006/relationships/hyperlink" Target="https://www.egbgroup.com/wp-content/uploads/2024/10/EGB-MANUAL-TECNICO-PPC.pdf" TargetMode="External"/><Relationship Id="rId36" Type="http://schemas.openxmlformats.org/officeDocument/2006/relationships/hyperlink" Target="https://www.egbgroup.com/wp-content/uploads/2024/10/EGB-MANUAL-TECNICO-PPC.pdf" TargetMode="External"/><Relationship Id="rId37" Type="http://schemas.openxmlformats.org/officeDocument/2006/relationships/hyperlink" Target="https://www.egbgroup.com/wp-content/uploads/2024/10/EGB-MANUAL-TECNICO-PPC.pdf" TargetMode="External"/><Relationship Id="rId38" Type="http://schemas.openxmlformats.org/officeDocument/2006/relationships/hyperlink" Target="https://www.egbgroup.com/wp-content/uploads/2024/10/EGB-MANUAL-TECNICO-PPC.pdf" TargetMode="External"/><Relationship Id="rId39" Type="http://schemas.openxmlformats.org/officeDocument/2006/relationships/hyperlink" Target="https://www.egbgroup.com/wp-content/uploads/2024/10/EGB-MANUAL-TECNICO-PPC.pdf" TargetMode="External"/><Relationship Id="rId40" Type="http://schemas.openxmlformats.org/officeDocument/2006/relationships/hyperlink" Target="https://www.egbgroup.com/wp-content/uploads/2024/10/EGB-MANUAL-TECNICO-PPC.pdf" TargetMode="External"/><Relationship Id="rId41" Type="http://schemas.openxmlformats.org/officeDocument/2006/relationships/hyperlink" Target="https://www.egbgroup.com/wp-content/uploads/2024/10/EGB-MANUAL-TECNICO-PPC.pdf" TargetMode="External"/><Relationship Id="rId42" Type="http://schemas.openxmlformats.org/officeDocument/2006/relationships/hyperlink" Target="https://www.egbgroup.com/wp-content/uploads/2024/10/EGB-MANUAL-TECNICO-PPC.pdf" TargetMode="External"/><Relationship Id="rId43" Type="http://schemas.openxmlformats.org/officeDocument/2006/relationships/hyperlink" Target="https://www.egbgroup.com/wp-content/uploads/2024/10/EGB-MANUAL-TECNICO-PPC.pdf" TargetMode="External"/><Relationship Id="rId44" Type="http://schemas.openxmlformats.org/officeDocument/2006/relationships/hyperlink" Target="https://www.egbgroup.com/wp-content/uploads/2024/10/EGB-MANUAL-TECNICO-PPC.pdf" TargetMode="External"/><Relationship Id="rId45" Type="http://schemas.openxmlformats.org/officeDocument/2006/relationships/hyperlink" Target="https://www.egbgroup.com/wp-content/uploads/2024/10/EGB-MANUAL-TECNICO-PPC.pdf" TargetMode="External"/><Relationship Id="rId46" Type="http://schemas.openxmlformats.org/officeDocument/2006/relationships/hyperlink" Target="https://www.egbgroup.com/wp-content/uploads/2024/10/EGB-MANUAL-TECNICO-PPC.pdf" TargetMode="External"/><Relationship Id="rId47" Type="http://schemas.openxmlformats.org/officeDocument/2006/relationships/hyperlink" Target="https://www.egbgroup.com/wp-content/uploads/2024/10/EGB-MANUAL-TECNICO-PPC.pdf" TargetMode="External"/><Relationship Id="rId48" Type="http://schemas.openxmlformats.org/officeDocument/2006/relationships/hyperlink" Target="https://www.egbgroup.com/wp-content/uploads/2024/10/EGB-MANUAL-TECNICO-PPC.pdf" TargetMode="External"/><Relationship Id="rId49" Type="http://schemas.openxmlformats.org/officeDocument/2006/relationships/hyperlink" Target="https://www.egbgroup.com/wp-content/uploads/2024/10/EGB-MANUAL-TECNICO-PPC.pdf" TargetMode="External"/><Relationship Id="rId50" Type="http://schemas.openxmlformats.org/officeDocument/2006/relationships/hyperlink" Target="https://www.egbgroup.com/wp-content/uploads/2024/10/EGB-MANUAL-TECNICO-PPC.pdf" TargetMode="External"/><Relationship Id="rId51" Type="http://schemas.openxmlformats.org/officeDocument/2006/relationships/hyperlink" Target="https://www.egbgroup.com/wp-content/uploads/2024/10/EGB-MANUAL-TECNICO-PPC.pdf" TargetMode="External"/><Relationship Id="rId52" Type="http://schemas.openxmlformats.org/officeDocument/2006/relationships/hyperlink" Target="https://www.egbgroup.com/wp-content/uploads/2024/10/EGB-MANUAL-TECNICO-PPC.pdf" TargetMode="External"/><Relationship Id="rId53" Type="http://schemas.openxmlformats.org/officeDocument/2006/relationships/hyperlink" Target="https://www.egbgroup.com/wp-content/uploads/2024/10/EGB-MANUAL-TECNICO-PPC.pdf" TargetMode="External"/><Relationship Id="rId54" Type="http://schemas.openxmlformats.org/officeDocument/2006/relationships/hyperlink" Target="https://www.egbgroup.com/wp-content/uploads/2024/10/EGB-MANUAL-TECNICO-PPC.pdf" TargetMode="External"/><Relationship Id="rId55" Type="http://schemas.openxmlformats.org/officeDocument/2006/relationships/hyperlink" Target="https://www.egbgroup.com/wp-content/uploads/2024/10/EGB-MANUAL-TECNICO-PPC.pdf" TargetMode="External"/><Relationship Id="rId56" Type="http://schemas.openxmlformats.org/officeDocument/2006/relationships/hyperlink" Target="https://www.egbgroup.com/wp-content/uploads/2024/10/EGB-MANUAL-TECNICO-PPC.pdf" TargetMode="External"/><Relationship Id="rId57" Type="http://schemas.openxmlformats.org/officeDocument/2006/relationships/hyperlink" Target="https://www.egbgroup.com/wp-content/uploads/2024/10/EGB-MANUAL-TECNICO-PPC.pdf" TargetMode="External"/><Relationship Id="rId58" Type="http://schemas.openxmlformats.org/officeDocument/2006/relationships/hyperlink" Target="https://www.egbgroup.com/wp-content/uploads/2024/10/EGB-MANUAL-TECNICO-PPC.pdf" TargetMode="External"/><Relationship Id="rId59" Type="http://schemas.openxmlformats.org/officeDocument/2006/relationships/hyperlink" Target="https://www.egbgroup.com/wp-content/uploads/2024/10/EGB-MANUAL-TECNICO-PPC.pdf" TargetMode="External"/><Relationship Id="rId60" Type="http://schemas.openxmlformats.org/officeDocument/2006/relationships/hyperlink" Target="https://www.egbgroup.com/wp-content/uploads/2024/10/EGB-MANUAL-TECNICO-PPC.pdf" TargetMode="External"/><Relationship Id="rId61" Type="http://schemas.openxmlformats.org/officeDocument/2006/relationships/hyperlink" Target="https://www.egbgroup.com/wp-content/uploads/2024/10/EGB-MANUAL-TECNICO-PPC.pdf" TargetMode="External"/><Relationship Id="rId62" Type="http://schemas.openxmlformats.org/officeDocument/2006/relationships/hyperlink" Target="https://www.egbgroup.com/wp-content/uploads/2024/10/EGB-MANUAL-TECNICO-PPC.pdf" TargetMode="External"/><Relationship Id="rId63" Type="http://schemas.openxmlformats.org/officeDocument/2006/relationships/hyperlink" Target="https://www.egbgroup.com/wp-content/uploads/2024/10/EGB-MANUAL-TECNICO-PPC.pdf" TargetMode="External"/><Relationship Id="rId64" Type="http://schemas.openxmlformats.org/officeDocument/2006/relationships/hyperlink" Target="https://www.egbgroup.com/wp-content/uploads/2024/10/EGB-MANUAL-TECNICO-PPC.pdf" TargetMode="External"/><Relationship Id="rId65" Type="http://schemas.openxmlformats.org/officeDocument/2006/relationships/hyperlink" Target="https://www.egbgroup.com/wp-content/uploads/2024/10/EGB-MANUAL-TECNICO-PPC.pdf" TargetMode="External"/><Relationship Id="rId66" Type="http://schemas.openxmlformats.org/officeDocument/2006/relationships/hyperlink" Target="https://www.egbgroup.com/wp-content/uploads/2024/10/EGB-MANUAL-TECNICO-PPC.pdf" TargetMode="External"/><Relationship Id="rId67" Type="http://schemas.openxmlformats.org/officeDocument/2006/relationships/hyperlink" Target="https://www.egbgroup.com/wp-content/uploads/2024/10/EGB-MANUAL-TECNICO-PPC.pdf" TargetMode="External"/><Relationship Id="rId68" Type="http://schemas.openxmlformats.org/officeDocument/2006/relationships/hyperlink" Target="https://www.egbgroup.com/wp-content/uploads/2024/10/EGB-MANUAL-TECNICO-PPC.pdf" TargetMode="External"/><Relationship Id="rId69" Type="http://schemas.openxmlformats.org/officeDocument/2006/relationships/hyperlink" Target="https://www.egbgroup.com/wp-content/uploads/2024/10/EGB-MANUAL-TECNICO-PPC.pdf" TargetMode="External"/><Relationship Id="rId70" Type="http://schemas.openxmlformats.org/officeDocument/2006/relationships/hyperlink" Target="https://www.egbgroup.com/wp-content/uploads/2024/10/EGB-MANUAL-TECNICO-PPC.pdf" TargetMode="External"/><Relationship Id="rId71" Type="http://schemas.openxmlformats.org/officeDocument/2006/relationships/hyperlink" Target="https://www.egbgroup.com/wp-content/uploads/2024/10/EGB-MANUAL-TECNICO-PPC.pdf" TargetMode="External"/><Relationship Id="rId72" Type="http://schemas.openxmlformats.org/officeDocument/2006/relationships/hyperlink" Target="https://www.egbgroup.com/wp-content/uploads/2024/10/EGB-MANUAL-TECNICO-PPC.pdf" TargetMode="External"/><Relationship Id="rId73" Type="http://schemas.openxmlformats.org/officeDocument/2006/relationships/hyperlink" Target="https://www.egbgroup.com/wp-content/uploads/2024/10/EGB-MANUAL-TECNICO-PPC.pdf" TargetMode="External"/><Relationship Id="rId74" Type="http://schemas.openxmlformats.org/officeDocument/2006/relationships/hyperlink" Target="https://www.egbgroup.com/wp-content/uploads/2024/10/EGB-MANUAL-TECNICO-PPC.pdf" TargetMode="External"/><Relationship Id="rId75" Type="http://schemas.openxmlformats.org/officeDocument/2006/relationships/hyperlink" Target="https://www.egbgroup.com/wp-content/uploads/2024/10/EGB-MANUAL-TECNICO-PPC.pdf" TargetMode="External"/><Relationship Id="rId76" Type="http://schemas.openxmlformats.org/officeDocument/2006/relationships/hyperlink" Target="https://www.egbgroup.com/wp-content/uploads/2024/10/EGB-MANUAL-TECNICO-PPC.pdf" TargetMode="External"/><Relationship Id="rId77" Type="http://schemas.openxmlformats.org/officeDocument/2006/relationships/hyperlink" Target="https://www.egbgroup.com/wp-content/uploads/2024/10/EGB-MANUAL-TECNICO-PPC.pdf" TargetMode="External"/><Relationship Id="rId78" Type="http://schemas.openxmlformats.org/officeDocument/2006/relationships/hyperlink" Target="https://www.egbgroup.com/wp-content/uploads/2024/10/EGB-MANUAL-TECNICO-PPC.pdf" TargetMode="External"/><Relationship Id="rId79" Type="http://schemas.openxmlformats.org/officeDocument/2006/relationships/hyperlink" Target="https://www.egbgroup.com/wp-content/uploads/2024/10/EGB-MANUAL-TECNICO-PPC.pdf" TargetMode="External"/><Relationship Id="rId80" Type="http://schemas.openxmlformats.org/officeDocument/2006/relationships/hyperlink" Target="https://www.egbgroup.com/wp-content/uploads/2024/10/EGB-MANUAL-TECNICO-PPC.pdf" TargetMode="External"/><Relationship Id="rId81" Type="http://schemas.openxmlformats.org/officeDocument/2006/relationships/hyperlink" Target="https://www.egbgroup.com/wp-content/uploads/2024/10/EGB-MANUAL-TECNICO-PPC.pdf" TargetMode="External"/><Relationship Id="rId82" Type="http://schemas.openxmlformats.org/officeDocument/2006/relationships/hyperlink" Target="https://www.egbgroup.com/wp-content/uploads/2024/10/EGB-MANUAL-TECNICO-PPC.pdf" TargetMode="External"/><Relationship Id="rId83" Type="http://schemas.openxmlformats.org/officeDocument/2006/relationships/hyperlink" Target="https://www.egbgroup.com/wp-content/uploads/2024/10/EGB-MANUAL-TECNICO-PPC.pdf" TargetMode="External"/><Relationship Id="rId84" Type="http://schemas.openxmlformats.org/officeDocument/2006/relationships/hyperlink" Target="https://www.egbgroup.com/wp-content/uploads/2024/10/EGB-MANUAL-TECNICO-PPC.pdf" TargetMode="External"/><Relationship Id="rId85" Type="http://schemas.openxmlformats.org/officeDocument/2006/relationships/hyperlink" Target="https://www.egbgroup.com/wp-content/uploads/2024/10/EGB-MANUAL-TECNICO-PPC.pdf" TargetMode="External"/><Relationship Id="rId86" Type="http://schemas.openxmlformats.org/officeDocument/2006/relationships/hyperlink" Target="https://www.egbgroup.com/wp-content/uploads/2024/10/EGB-MANUAL-TECNICO-PPC.pdf" TargetMode="External"/><Relationship Id="rId87" Type="http://schemas.openxmlformats.org/officeDocument/2006/relationships/hyperlink" Target="https://www.egbgroup.com/wp-content/uploads/2024/10/EGB-MANUAL-TECNICO-PPC.pdf" TargetMode="External"/><Relationship Id="rId88" Type="http://schemas.openxmlformats.org/officeDocument/2006/relationships/hyperlink" Target="https://www.egbgroup.com/wp-content/uploads/2024/10/EGB-MANUAL-TECNICO-PPC.pdf" TargetMode="External"/><Relationship Id="rId89" Type="http://schemas.openxmlformats.org/officeDocument/2006/relationships/hyperlink" Target="https://www.egbgroup.com/wp-content/uploads/2024/10/EGB-MANUAL-TECNICO-PPC.pdf" TargetMode="External"/><Relationship Id="rId90" Type="http://schemas.openxmlformats.org/officeDocument/2006/relationships/hyperlink" Target="https://www.egbgroup.com/wp-content/uploads/2024/10/EGB-MANUAL-TECNICO-PPC.pdf" TargetMode="External"/><Relationship Id="rId91" Type="http://schemas.openxmlformats.org/officeDocument/2006/relationships/hyperlink" Target="https://www.egbgroup.com/wp-content/uploads/2024/10/EGB-MANUAL-TECNICO-PPC.pdf" TargetMode="External"/><Relationship Id="rId92" Type="http://schemas.openxmlformats.org/officeDocument/2006/relationships/hyperlink" Target="https://www.egbgroup.com/wp-content/uploads/2024/10/EGB-MANUAL-TECNICO-PPC.pdf" TargetMode="External"/><Relationship Id="rId93" Type="http://schemas.openxmlformats.org/officeDocument/2006/relationships/hyperlink" Target="https://www.egbgroup.com/wp-content/uploads/2024/10/EGB-MANUAL-TECNICO-PPC.pdf" TargetMode="External"/><Relationship Id="rId94" Type="http://schemas.openxmlformats.org/officeDocument/2006/relationships/hyperlink" Target="https://www.egbgroup.com/wp-content/uploads/2024/10/EGB-MANUAL-TECNICO-PPC.pdf" TargetMode="External"/><Relationship Id="rId95" Type="http://schemas.openxmlformats.org/officeDocument/2006/relationships/hyperlink" Target="https://www.egbgroup.com/wp-content/uploads/2024/10/EGB-MANUAL-TECNICO-PPC.pdf" TargetMode="External"/><Relationship Id="rId96" Type="http://schemas.openxmlformats.org/officeDocument/2006/relationships/hyperlink" Target="https://www.egbgroup.com/wp-content/uploads/2024/10/EGB-MANUAL-TECNICO-PPC.pdf" TargetMode="External"/><Relationship Id="rId97" Type="http://schemas.openxmlformats.org/officeDocument/2006/relationships/hyperlink" Target="https://www.egbgroup.com/wp-content/uploads/2024/10/EGB-MANUAL-TECNICO-PPC.pdf" TargetMode="External"/><Relationship Id="rId98" Type="http://schemas.openxmlformats.org/officeDocument/2006/relationships/hyperlink" Target="https://www.egbgroup.com/wp-content/uploads/2024/10/EGB-MANUAL-TECNICO-PPC.pdf" TargetMode="External"/><Relationship Id="rId99" Type="http://schemas.openxmlformats.org/officeDocument/2006/relationships/hyperlink" Target="https://www.egbgroup.com/wp-content/uploads/2024/10/EGB-MANUAL-TECNICO-PPC.pdf" TargetMode="External"/><Relationship Id="rId100" Type="http://schemas.openxmlformats.org/officeDocument/2006/relationships/hyperlink" Target="https://www.egbgroup.com/wp-content/uploads/2024/10/EGB-MANUAL-TECNICO-PPC.pdf" TargetMode="External"/><Relationship Id="rId101" Type="http://schemas.openxmlformats.org/officeDocument/2006/relationships/hyperlink" Target="https://www.egbgroup.com/wp-content/uploads/2024/10/EGB-MANUAL-TECNICO-PPC.pdf" TargetMode="External"/><Relationship Id="rId102" Type="http://schemas.openxmlformats.org/officeDocument/2006/relationships/hyperlink" Target="https://www.egbgroup.com/wp-content/uploads/2024/10/EGB-MANUAL-TECNICO-PPC.pdf" TargetMode="External"/><Relationship Id="rId103" Type="http://schemas.openxmlformats.org/officeDocument/2006/relationships/hyperlink" Target="https://www.egbgroup.com/wp-content/uploads/2024/10/EGB-MANUAL-TECNICO-PPC.pdf" TargetMode="External"/><Relationship Id="rId104" Type="http://schemas.openxmlformats.org/officeDocument/2006/relationships/hyperlink" Target="https://www.egbgroup.com/wp-content/uploads/2024/10/EGB-MANUAL-TECNICO-PPC.pdf" TargetMode="External"/><Relationship Id="rId105" Type="http://schemas.openxmlformats.org/officeDocument/2006/relationships/hyperlink" Target="https://www.egbgroup.com/wp-content/uploads/2024/10/EGB-MANUAL-TECNICO-PPC.pdf" TargetMode="External"/><Relationship Id="rId106" Type="http://schemas.openxmlformats.org/officeDocument/2006/relationships/hyperlink" Target="https://www.egbgroup.com/wp-content/uploads/2024/10/EGB-MANUAL-TECNICO-PPC.pdf" TargetMode="External"/><Relationship Id="rId107" Type="http://schemas.openxmlformats.org/officeDocument/2006/relationships/hyperlink" Target="https://www.egbgroup.com/wp-content/uploads/2024/10/EGB-MANUAL-TECNICO-PPC.pdf" TargetMode="External"/><Relationship Id="rId108" Type="http://schemas.openxmlformats.org/officeDocument/2006/relationships/hyperlink" Target="https://www.egbgroup.com/wp-content/uploads/2024/10/EGB-MANUAL-TECNICO-PPC.pdf" TargetMode="External"/><Relationship Id="rId109" Type="http://schemas.openxmlformats.org/officeDocument/2006/relationships/hyperlink" Target="https://www.egbgroup.com/wp-content/uploads/2024/10/EGB-MANUAL-TECNICO-PPC.pdf" TargetMode="External"/><Relationship Id="rId110" Type="http://schemas.openxmlformats.org/officeDocument/2006/relationships/hyperlink" Target="https://www.egbgroup.com/wp-content/uploads/2024/10/EGB-MANUAL-TECNICO-PPC.pdf" TargetMode="External"/><Relationship Id="rId111" Type="http://schemas.openxmlformats.org/officeDocument/2006/relationships/hyperlink" Target="https://www.egbgroup.com/wp-content/uploads/2024/10/EGB-MANUAL-TECNICO-PPC.pdf" TargetMode="External"/><Relationship Id="rId112" Type="http://schemas.openxmlformats.org/officeDocument/2006/relationships/hyperlink" Target="https://www.egbgroup.com/wp-content/uploads/2024/10/EGB-MANUAL-TECNICO-PPC.pdf" TargetMode="External"/><Relationship Id="rId113" Type="http://schemas.openxmlformats.org/officeDocument/2006/relationships/hyperlink" Target="https://www.egbgroup.com/wp-content/uploads/2024/10/EGB-MANUAL-TECNICO-PPC.pdf" TargetMode="External"/><Relationship Id="rId114" Type="http://schemas.openxmlformats.org/officeDocument/2006/relationships/hyperlink" Target="https://www.egbgroup.com/wp-content/uploads/2024/10/EGB-MANUAL-TECNICO-PPC.pdf" TargetMode="External"/><Relationship Id="rId115" Type="http://schemas.openxmlformats.org/officeDocument/2006/relationships/hyperlink" Target="https://www.egbgroup.com/wp-content/uploads/2024/10/EGB-MANUAL-TECNICO-PPC.pdf" TargetMode="External"/><Relationship Id="rId116" Type="http://schemas.openxmlformats.org/officeDocument/2006/relationships/hyperlink" Target="https://www.egbgroup.com/wp-content/uploads/2024/10/EGB-MANUAL-TECNICO-PPC.pdf" TargetMode="External"/><Relationship Id="rId117" Type="http://schemas.openxmlformats.org/officeDocument/2006/relationships/hyperlink" Target="https://www.egbgroup.com/wp-content/uploads/2024/10/EGB-MANUAL-TECNICO-PPC.pdf" TargetMode="External"/><Relationship Id="rId118" Type="http://schemas.openxmlformats.org/officeDocument/2006/relationships/hyperlink" Target="https://www.egbgroup.com/wp-content/uploads/2024/10/EGB-MANUAL-TECNICO-PPC.pdf" TargetMode="External"/><Relationship Id="rId119" Type="http://schemas.openxmlformats.org/officeDocument/2006/relationships/hyperlink" Target="https://www.egbgroup.com/wp-content/uploads/2024/10/EGB-MANUAL-TECNICO-PPC.pdf" TargetMode="External"/><Relationship Id="rId120" Type="http://schemas.openxmlformats.org/officeDocument/2006/relationships/hyperlink" Target="https://www.egbgroup.com/wp-content/uploads/2024/10/EGB-MANUAL-TECNICO-PPC.pdf" TargetMode="External"/><Relationship Id="rId121" Type="http://schemas.openxmlformats.org/officeDocument/2006/relationships/hyperlink" Target="https://www.egbgroup.com/wp-content/uploads/2024/10/EGB-MANUAL-TECNICO-PPC.pdf" TargetMode="External"/><Relationship Id="rId122" Type="http://schemas.openxmlformats.org/officeDocument/2006/relationships/hyperlink" Target="https://www.egbgroup.com/wp-content/uploads/2024/10/EGB-MANUAL-TECNICO-PPC.pdf" TargetMode="External"/><Relationship Id="rId123" Type="http://schemas.openxmlformats.org/officeDocument/2006/relationships/hyperlink" Target="https://www.egbgroup.com/wp-content/uploads/2024/10/EGB-MANUAL-TECNICO-PPC.pdf" TargetMode="External"/><Relationship Id="rId124" Type="http://schemas.openxmlformats.org/officeDocument/2006/relationships/hyperlink" Target="https://www.egbgroup.com/wp-content/uploads/2024/10/EGB-MANUAL-TECNICO-PPC.pdf" TargetMode="External"/><Relationship Id="rId125" Type="http://schemas.openxmlformats.org/officeDocument/2006/relationships/hyperlink" Target="https://www.egbgroup.com/wp-content/uploads/2024/10/EGB-MANUAL-TECNICO-PPC.pdf" TargetMode="External"/><Relationship Id="rId126" Type="http://schemas.openxmlformats.org/officeDocument/2006/relationships/hyperlink" Target="https://www.egbgroup.com/wp-content/uploads/2024/10/EGB-MANUAL-TECNICO-PPC.pdf" TargetMode="External"/><Relationship Id="rId127" Type="http://schemas.openxmlformats.org/officeDocument/2006/relationships/hyperlink" Target="https://www.egbgroup.com/wp-content/uploads/2024/10/EGB-MANUAL-TECNICO-PPC.pdf" TargetMode="External"/><Relationship Id="rId128" Type="http://schemas.openxmlformats.org/officeDocument/2006/relationships/hyperlink" Target="https://www.egbgroup.com/wp-content/uploads/2024/10/EGB-MANUAL-TECNICO-PPC.pdf" TargetMode="External"/><Relationship Id="rId129" Type="http://schemas.openxmlformats.org/officeDocument/2006/relationships/hyperlink" Target="https://www.egbgroup.com/wp-content/uploads/2024/10/EGB-MANUAL-TECNICO-PPC.pdf" TargetMode="External"/><Relationship Id="rId130" Type="http://schemas.openxmlformats.org/officeDocument/2006/relationships/hyperlink" Target="https://www.egbgroup.com/wp-content/uploads/2024/10/EGB-MANUAL-TECNICO-PPC.pdf" TargetMode="External"/><Relationship Id="rId131" Type="http://schemas.openxmlformats.org/officeDocument/2006/relationships/hyperlink" Target="https://www.egbgroup.com/wp-content/uploads/2024/10/EGB-MANUAL-TECNICO-PPC.pdf" TargetMode="External"/><Relationship Id="rId132" Type="http://schemas.openxmlformats.org/officeDocument/2006/relationships/hyperlink" Target="https://www.egbgroup.com/wp-content/uploads/2024/10/EGB-MANUAL-TECNICO-PPC.pdf" TargetMode="External"/><Relationship Id="rId133" Type="http://schemas.openxmlformats.org/officeDocument/2006/relationships/hyperlink" Target="https://www.egbgroup.com/wp-content/uploads/2024/10/EGB-MANUAL-TECNICO-PPC.pdf" TargetMode="External"/><Relationship Id="rId134" Type="http://schemas.openxmlformats.org/officeDocument/2006/relationships/hyperlink" Target="https://www.egbgroup.com/wp-content/uploads/2024/10/EGB-MANUAL-TECNICO-PPC.pdf" TargetMode="External"/><Relationship Id="rId135" Type="http://schemas.openxmlformats.org/officeDocument/2006/relationships/hyperlink" Target="https://www.egbgroup.com/wp-content/uploads/2024/10/EGB-MANUAL-TECNICO-PPC.pdf" TargetMode="External"/><Relationship Id="rId136" Type="http://schemas.openxmlformats.org/officeDocument/2006/relationships/hyperlink" Target="https://www.egbgroup.com/wp-content/uploads/2024/10/EGB-MANUAL-TECNICO-PPC.pdf" TargetMode="External"/><Relationship Id="rId137" Type="http://schemas.openxmlformats.org/officeDocument/2006/relationships/hyperlink" Target="https://www.egbgroup.com/wp-content/uploads/2024/10/EGB-MANUAL-TECNICO-PPC.pdf" TargetMode="External"/><Relationship Id="rId138" Type="http://schemas.openxmlformats.org/officeDocument/2006/relationships/hyperlink" Target="https://www.egbgroup.com/wp-content/uploads/2024/10/EGB-MANUAL-TECNICO-PPC.pdf" TargetMode="External"/><Relationship Id="rId139" Type="http://schemas.openxmlformats.org/officeDocument/2006/relationships/hyperlink" Target="https://www.egbgroup.com/wp-content/uploads/2024/10/EGB-MANUAL-TECNICO-PPC.pdf" TargetMode="External"/><Relationship Id="rId140" Type="http://schemas.openxmlformats.org/officeDocument/2006/relationships/hyperlink" Target="https://www.egbgroup.com/wp-content/uploads/2024/10/EGB-MANUAL-TECNICO-PPC.pdf" TargetMode="External"/><Relationship Id="rId141" Type="http://schemas.openxmlformats.org/officeDocument/2006/relationships/hyperlink" Target="https://www.egbgroup.com/wp-content/uploads/2024/10/EGB-MANUAL-TECNICO-PPC.pdf" TargetMode="External"/><Relationship Id="rId142" Type="http://schemas.openxmlformats.org/officeDocument/2006/relationships/hyperlink" Target="https://www.egbgroup.com/wp-content/uploads/2024/10/EGB-MANUAL-TECNICO-PPC.pdf" TargetMode="External"/><Relationship Id="rId143" Type="http://schemas.openxmlformats.org/officeDocument/2006/relationships/hyperlink" Target="https://www.egbgroup.com/wp-content/uploads/2024/10/EGB-MANUAL-TECNICO-PPC.pdf" TargetMode="External"/><Relationship Id="rId144" Type="http://schemas.openxmlformats.org/officeDocument/2006/relationships/hyperlink" Target="https://www.egbgroup.com/wp-content/uploads/2024/10/EGB-MANUAL-TECNICO-PPC.pdf" TargetMode="External"/><Relationship Id="rId145" Type="http://schemas.openxmlformats.org/officeDocument/2006/relationships/hyperlink" Target="https://www.egbgroup.com/wp-content/uploads/2024/10/EGB-MANUAL-TECNICO-PPC.pdf" TargetMode="External"/><Relationship Id="rId146" Type="http://schemas.openxmlformats.org/officeDocument/2006/relationships/hyperlink" Target="https://www.egbgroup.com/wp-content/uploads/2024/10/EGB-MANUAL-TECNICO-PPC.pdf" TargetMode="External"/><Relationship Id="rId147" Type="http://schemas.openxmlformats.org/officeDocument/2006/relationships/hyperlink" Target="https://www.egbgroup.com/wp-content/uploads/2024/10/EGB-MANUAL-TECNICO-PPC.pdf" TargetMode="External"/><Relationship Id="rId148" Type="http://schemas.openxmlformats.org/officeDocument/2006/relationships/hyperlink" Target="https://www.egbgroup.com/wp-content/uploads/2024/10/EGB-MANUAL-TECNICO-PPC.pdf" TargetMode="External"/><Relationship Id="rId149" Type="http://schemas.openxmlformats.org/officeDocument/2006/relationships/hyperlink" Target="https://www.turiego.es/media/fichas_tecnicas/catalogos/CEPEX%20FOLLETO%20TECNICO%20ACCESORIOS%20PP.pdf" TargetMode="External"/><Relationship Id="rId150" Type="http://schemas.openxmlformats.org/officeDocument/2006/relationships/hyperlink" Target="https://www.turiego.es/media/fichas_tecnicas/catalogos/CEPEX%20FOLLETO%20TECNICO%20ACCESORIOS%20PP.pdf" TargetMode="External"/><Relationship Id="rId151" Type="http://schemas.openxmlformats.org/officeDocument/2006/relationships/hyperlink" Target="https://www.turiego.es/media/fichas_tecnicas/catalogos/CEPEX%20FOLLETO%20TECNICO%20ACCESORIOS%20PP.pdf" TargetMode="External"/><Relationship Id="rId152" Type="http://schemas.openxmlformats.org/officeDocument/2006/relationships/hyperlink" Target="https://www.turiego.es/media/fichas_tecnicas/catalogos/CEPEX%20FOLLETO%20TECNICO%20ACCESORIOS%20PP.pdf" TargetMode="External"/><Relationship Id="rId153" Type="http://schemas.openxmlformats.org/officeDocument/2006/relationships/hyperlink" Target="https://www.turiego.es/media/fichas_tecnicas/catalogos/CEPEX%20FOLLETO%20TECNICO%20ACCESORIOS%20PP.pdf" TargetMode="External"/><Relationship Id="rId154" Type="http://schemas.openxmlformats.org/officeDocument/2006/relationships/hyperlink" Target="https://www.turiego.es/media/fichas_tecnicas/catalogos/CEPEX%20FOLLETO%20TECNICO%20ACCESORIOS%20PP.pdf" TargetMode="External"/><Relationship Id="rId155" Type="http://schemas.openxmlformats.org/officeDocument/2006/relationships/hyperlink" Target="https://www.turiego.es/media/fichas_tecnicas/catalogos/CEPEX%20FOLLETO%20TECNICO%20ACCESORIOS%20PP.pdf" TargetMode="External"/><Relationship Id="rId156" Type="http://schemas.openxmlformats.org/officeDocument/2006/relationships/hyperlink" Target="https://www.turiego.es/media/fichas_tecnicas/catalogos/CEPEX%20FOLLETO%20TECNICO%20ACCESORIOS%20PP.pdf" TargetMode="External"/><Relationship Id="rId157" Type="http://schemas.openxmlformats.org/officeDocument/2006/relationships/hyperlink" Target="https://www.turiego.es/media/fichas_tecnicas/catalogos/CEPEX%20FOLLETO%20TECNICO%20ACCESORIOS%20PP.pdf" TargetMode="External"/><Relationship Id="rId158" Type="http://schemas.openxmlformats.org/officeDocument/2006/relationships/hyperlink" Target="https://www.turiego.es/media/fichas_tecnicas/catalogos/CEPEX%20FOLLETO%20TECNICO%20ACCESORIOS%20PP.pdf" TargetMode="External"/><Relationship Id="rId159" Type="http://schemas.openxmlformats.org/officeDocument/2006/relationships/hyperlink" Target="https://www.turiego.es/media/fichas_tecnicas/catalogos/CEPEX%20FOLLETO%20TECNICO%20ACCESORIOS%20PP.pdf" TargetMode="External"/><Relationship Id="rId160" Type="http://schemas.openxmlformats.org/officeDocument/2006/relationships/hyperlink" Target="https://www.turiego.es/media/fichas_tecnicas/catalogos/CEPEX%20FOLLETO%20TECNICO%20ACCESORIOS%20PP.pdf" TargetMode="External"/><Relationship Id="rId161" Type="http://schemas.openxmlformats.org/officeDocument/2006/relationships/hyperlink" Target="https://www.turiego.es/media/fichas_tecnicas/catalogos/CEPEX%20FOLLETO%20TECNICO%20ACCESORIOS%20PP.pdf" TargetMode="External"/><Relationship Id="rId162" Type="http://schemas.openxmlformats.org/officeDocument/2006/relationships/hyperlink" Target="https://www.turiego.es/media/fichas_tecnicas/catalogos/CEPEX%20FOLLETO%20TECNICO%20ACCESORIOS%20PP.pdf" TargetMode="External"/><Relationship Id="rId163" Type="http://schemas.openxmlformats.org/officeDocument/2006/relationships/hyperlink" Target="https://www.turiego.es/media/fichas_tecnicas/catalogos/CEPEX%20FOLLETO%20TECNICO%20ACCESORIOS%20PP.pdf" TargetMode="External"/><Relationship Id="rId164" Type="http://schemas.openxmlformats.org/officeDocument/2006/relationships/hyperlink" Target="https://www.turiego.es/media/fichas_tecnicas/catalogos/CEPEX%20FOLLETO%20TECNICO%20ACCESORIOS%20PP.pdf" TargetMode="External"/><Relationship Id="rId165" Type="http://schemas.openxmlformats.org/officeDocument/2006/relationships/hyperlink" Target="https://www.turiego.es/media/fichas_tecnicas/catalogos/CEPEX%20FOLLETO%20TECNICO%20ACCESORIOS%20PP.pdf" TargetMode="External"/><Relationship Id="rId166" Type="http://schemas.openxmlformats.org/officeDocument/2006/relationships/hyperlink" Target="https://www.turiego.es/media/fichas_tecnicas/catalogos/CEPEX%20FOLLETO%20TECNICO%20ACCESORIOS%20PP.pdf" TargetMode="External"/><Relationship Id="rId167" Type="http://schemas.openxmlformats.org/officeDocument/2006/relationships/hyperlink" Target="https://www.turiego.es/media/fichas_tecnicas/catalogos/CEPEX%20FOLLETO%20TECNICO%20ACCESORIOS%20PP.pdf" TargetMode="External"/><Relationship Id="rId168" Type="http://schemas.openxmlformats.org/officeDocument/2006/relationships/hyperlink" Target="https://www.turiego.es/media/fichas_tecnicas/catalogos/CEPEX%20FOLLETO%20TECNICO%20ACCESORIOS%20PP.pdf" TargetMode="External"/><Relationship Id="rId169" Type="http://schemas.openxmlformats.org/officeDocument/2006/relationships/hyperlink" Target="https://www.turiego.es/media/fichas_tecnicas/catalogos/CEPEX%20FOLLETO%20TECNICO%20ACCESORIOS%20PP.pdf" TargetMode="External"/><Relationship Id="rId170" Type="http://schemas.openxmlformats.org/officeDocument/2006/relationships/hyperlink" Target="https://www.turiego.es/media/fichas_tecnicas/catalogos/CEPEX%20FOLLETO%20TECNICO%20ACCESORIOS%20PP.pdf" TargetMode="External"/><Relationship Id="rId171" Type="http://schemas.openxmlformats.org/officeDocument/2006/relationships/hyperlink" Target="https://www.turiego.es/media/fichas_tecnicas/catalogos/CEPEX%20FOLLETO%20TECNICO%20ACCESORIOS%20PP.pdf" TargetMode="External"/><Relationship Id="rId172" Type="http://schemas.openxmlformats.org/officeDocument/2006/relationships/hyperlink" Target="https://www.turiego.es/media/fichas_tecnicas/catalogos/CEPEX%20FOLLETO%20TECNICO%20ACCESORIOS%20PP.pdf" TargetMode="External"/><Relationship Id="rId173" Type="http://schemas.openxmlformats.org/officeDocument/2006/relationships/hyperlink" Target="https://www.turiego.es/media/fichas_tecnicas/catalogos/CEPEX%20FOLLETO%20TECNICO%20ACCESORIOS%20PP.pdf" TargetMode="External"/><Relationship Id="rId174" Type="http://schemas.openxmlformats.org/officeDocument/2006/relationships/hyperlink" Target="https://www.turiego.es/media/fichas_tecnicas/catalogos/CEPEX%20FOLLETO%20TECNICO%20ACCESORIOS%20PP.pdf" TargetMode="External"/><Relationship Id="rId175" Type="http://schemas.openxmlformats.org/officeDocument/2006/relationships/hyperlink" Target="https://www.turiego.es/media/fichas_tecnicas/catalogos/CEPEX%20FOLLETO%20TECNICO%20ACCESORIOS%20PP.pdf" TargetMode="External"/><Relationship Id="rId176" Type="http://schemas.openxmlformats.org/officeDocument/2006/relationships/hyperlink" Target="https://www.turiego.es/media/fichas_tecnicas/catalogos/CEPEX%20FOLLETO%20TECNICO%20ACCESORIOS%20PP.pdf" TargetMode="External"/><Relationship Id="rId177" Type="http://schemas.openxmlformats.org/officeDocument/2006/relationships/hyperlink" Target="https://www.turiego.es/media/fichas_tecnicas/catalogos/CEPEX%20FOLLETO%20TECNICO%20ACCESORIOS%20PP.pdf" TargetMode="External"/><Relationship Id="rId178" Type="http://schemas.openxmlformats.org/officeDocument/2006/relationships/hyperlink" Target="https://www.turiego.es/media/fichas_tecnicas/catalogos/CEPEX%20FOLLETO%20TECNICO%20ACCESORIOS%20PP.pdf" TargetMode="External"/><Relationship Id="rId179" Type="http://schemas.openxmlformats.org/officeDocument/2006/relationships/hyperlink" Target="https://www.turiego.es/media/fichas_tecnicas/catalogos/CEPEX%20FOLLETO%20TECNICO%20ACCESORIOS%20PP.pdf" TargetMode="External"/><Relationship Id="rId180" Type="http://schemas.openxmlformats.org/officeDocument/2006/relationships/hyperlink" Target="https://www.turiego.es/media/fichas_tecnicas/catalogos/CEPEX%20FOLLETO%20TECNICO%20ACCESORIOS%20PP.pdf" TargetMode="External"/><Relationship Id="rId181" Type="http://schemas.openxmlformats.org/officeDocument/2006/relationships/hyperlink" Target="https://www.turiego.es/media/fichas_tecnicas/catalogos/CEPEX%20FOLLETO%20TECNICO%20ACCESORIOS%20PP.pdf" TargetMode="External"/><Relationship Id="rId182" Type="http://schemas.openxmlformats.org/officeDocument/2006/relationships/hyperlink" Target="https://www.turiego.es/media/fichas_tecnicas/catalogos/CEPEX%20FOLLETO%20TECNICO%20ACCESORIOS%20PP.pdf" TargetMode="External"/><Relationship Id="rId183" Type="http://schemas.openxmlformats.org/officeDocument/2006/relationships/hyperlink" Target="https://www.turiego.es/media/fichas_tecnicas/catalogos/CEPEX%20FOLLETO%20TECNICO%20ACCESORIOS%20PP.pdf" TargetMode="External"/><Relationship Id="rId184" Type="http://schemas.openxmlformats.org/officeDocument/2006/relationships/hyperlink" Target="https://www.turiego.es/media/fichas_tecnicas/catalogos/CEPEX%20FOLLETO%20TECNICO%20ACCESORIOS%20PP.pdf" TargetMode="External"/><Relationship Id="rId185" Type="http://schemas.openxmlformats.org/officeDocument/2006/relationships/hyperlink" Target="https://www.turiego.es/media/fichas_tecnicas/catalogos/CEPEX%20FOLLETO%20TECNICO%20ACCESORIOS%20PP.pdf" TargetMode="External"/><Relationship Id="rId186" Type="http://schemas.openxmlformats.org/officeDocument/2006/relationships/hyperlink" Target="https://www.turiego.es/media/fichas_tecnicas/catalogos/CEPEX%20FOLLETO%20TECNICO%20ACCESORIOS%20PP.pdf" TargetMode="External"/><Relationship Id="rId187" Type="http://schemas.openxmlformats.org/officeDocument/2006/relationships/hyperlink" Target="https://www.turiego.es/media/fichas_tecnicas/catalogos/CEPEX%20FOLLETO%20TECNICO%20ACCESORIOS%20PP.pdf" TargetMode="External"/><Relationship Id="rId188" Type="http://schemas.openxmlformats.org/officeDocument/2006/relationships/hyperlink" Target="https://www.turiego.es/media/fichas_tecnicas/catalogos/CEPEX%20FOLLETO%20TECNICO%20ACCESORIOS%20PP.pdf" TargetMode="External"/><Relationship Id="rId189" Type="http://schemas.openxmlformats.org/officeDocument/2006/relationships/hyperlink" Target="https://www.turiego.es/media/fichas_tecnicas/catalogos/CEPEX%20FOLLETO%20TECNICO%20ACCESORIOS%20PP.pdf" TargetMode="External"/><Relationship Id="rId190" Type="http://schemas.openxmlformats.org/officeDocument/2006/relationships/hyperlink" Target="https://www.turiego.es/media/fichas_tecnicas/catalogos/CEPEX%20FOLLETO%20TECNICO%20ACCESORIOS%20PP.pdf" TargetMode="External"/><Relationship Id="rId191" Type="http://schemas.openxmlformats.org/officeDocument/2006/relationships/hyperlink" Target="https://www.turiego.es/media/fichas_tecnicas/catalogos/CEPEX%20FOLLETO%20TECNICO%20ACCESORIOS%20PP.pdf" TargetMode="External"/><Relationship Id="rId192" Type="http://schemas.openxmlformats.org/officeDocument/2006/relationships/hyperlink" Target="https://www.turiego.es/media/fichas_tecnicas/catalogos/CEPEX%20FOLLETO%20TECNICO%20ACCESORIOS%20PP.pdf" TargetMode="External"/><Relationship Id="rId193" Type="http://schemas.openxmlformats.org/officeDocument/2006/relationships/hyperlink" Target="https://www.turiego.es/media/fichas_tecnicas/catalogos/CEPEX%20FOLLETO%20TECNICO%20ACCESORIOS%20PP.pdf" TargetMode="External"/><Relationship Id="rId194" Type="http://schemas.openxmlformats.org/officeDocument/2006/relationships/hyperlink" Target="https://www.turiego.es/media/fichas_tecnicas/catalogos/CEPEX%20FOLLETO%20TECNICO%20ACCESORIOS%20PP.pdf" TargetMode="External"/><Relationship Id="rId195" Type="http://schemas.openxmlformats.org/officeDocument/2006/relationships/hyperlink" Target="https://www.turiego.es/media/fichas_tecnicas/catalogos/CEPEX%20FOLLETO%20TECNICO%20ACCESORIOS%20PP.pdf" TargetMode="External"/><Relationship Id="rId196" Type="http://schemas.openxmlformats.org/officeDocument/2006/relationships/hyperlink" Target="https://www.turiego.es/media/fichas_tecnicas/catalogos/CEPEX%20FOLLETO%20TECNICO%20ACCESORIOS%20PP.pdf" TargetMode="External"/><Relationship Id="rId197" Type="http://schemas.openxmlformats.org/officeDocument/2006/relationships/hyperlink" Target="https://www.turiego.es/media/fichas_tecnicas/catalogos/CEPEX%20FOLLETO%20TECNICO%20ACCESORIOS%20PP.pdf" TargetMode="External"/><Relationship Id="rId198" Type="http://schemas.openxmlformats.org/officeDocument/2006/relationships/hyperlink" Target="https://www.turiego.es/media/fichas_tecnicas/catalogos/CEPEX%20FOLLETO%20TECNICO%20ACCESORIOS%20PP.pdf" TargetMode="External"/><Relationship Id="rId199" Type="http://schemas.openxmlformats.org/officeDocument/2006/relationships/hyperlink" Target="https://www.turiego.es/media/fichas_tecnicas/catalogos/CEPEX%20FOLLETO%20TECNICO%20ACCESORIOS%20PP.pdf" TargetMode="External"/><Relationship Id="rId200" Type="http://schemas.openxmlformats.org/officeDocument/2006/relationships/hyperlink" Target="https://www.turiego.es/media/fichas_tecnicas/catalogos/CEPEX%20FOLLETO%20TECNICO%20ACCESORIOS%20PP.pdf" TargetMode="External"/><Relationship Id="rId201" Type="http://schemas.openxmlformats.org/officeDocument/2006/relationships/hyperlink" Target="https://www.turiego.es/media/fichas_tecnicas/catalogos/CEPEX%20FOLLETO%20TECNICO%20ACCESORIOS%20PP.pdf" TargetMode="External"/><Relationship Id="rId202" Type="http://schemas.openxmlformats.org/officeDocument/2006/relationships/hyperlink" Target="https://www.turiego.es/media/fichas_tecnicas/catalogos/CEPEX%20FOLLETO%20TECNICO%20ACCESORIOS%20PP.pdf" TargetMode="External"/><Relationship Id="rId203" Type="http://schemas.openxmlformats.org/officeDocument/2006/relationships/hyperlink" Target="https://www.turiego.es/media/fichas_tecnicas/catalogos/CEPEX%20FOLLETO%20TECNICO%20ACCESORIOS%20PP.pdf" TargetMode="External"/><Relationship Id="rId204" Type="http://schemas.openxmlformats.org/officeDocument/2006/relationships/hyperlink" Target="https://www.turiego.es/media/fichas_tecnicas/catalogos/CEPEX%20FOLLETO%20TECNICO%20ACCESORIOS%20PP.pdf" TargetMode="External"/><Relationship Id="rId205" Type="http://schemas.openxmlformats.org/officeDocument/2006/relationships/hyperlink" Target="https://www.turiego.es/media/fichas_tecnicas/catalogos/CEPEX%20FOLLETO%20TECNICO%20ACCESORIOS%20PP.pdf" TargetMode="External"/><Relationship Id="rId206" Type="http://schemas.openxmlformats.org/officeDocument/2006/relationships/hyperlink" Target="https://www.turiego.es/media/fichas_tecnicas/catalogos/CEPEX%20FOLLETO%20TECNICO%20ACCESORIOS%20PP.pdf" TargetMode="External"/><Relationship Id="rId207" Type="http://schemas.openxmlformats.org/officeDocument/2006/relationships/hyperlink" Target="https://www.turiego.es/media/fichas_tecnicas/catalogos/CEPEX%20FOLLETO%20TECNICO%20ACCESORIOS%20PP.pdf" TargetMode="External"/><Relationship Id="rId208" Type="http://schemas.openxmlformats.org/officeDocument/2006/relationships/hyperlink" Target="https://www.turiego.es/media/fichas_tecnicas/catalogos/CEPEX%20FOLLETO%20TECNICO%20ACCESORIOS%20PP.pdf" TargetMode="External"/><Relationship Id="rId209" Type="http://schemas.openxmlformats.org/officeDocument/2006/relationships/hyperlink" Target="https://www.turiego.es/media/fichas_tecnicas/catalogos/CEPEX%20FOLLETO%20TECNICO%20ACCESORIOS%20PP.pdf" TargetMode="External"/><Relationship Id="rId210" Type="http://schemas.openxmlformats.org/officeDocument/2006/relationships/hyperlink" Target="https://www.turiego.es/media/fichas_tecnicas/catalogos/CEPEX%20FOLLETO%20TECNICO%20ACCESORIOS%20PP.pdf" TargetMode="External"/><Relationship Id="rId211" Type="http://schemas.openxmlformats.org/officeDocument/2006/relationships/hyperlink" Target="https://www.turiego.es/media/fichas_tecnicas/catalogos/CEPEX%20FOLLETO%20TECNICO%20ACCESORIOS%20PP.pdf" TargetMode="External"/><Relationship Id="rId212" Type="http://schemas.openxmlformats.org/officeDocument/2006/relationships/hyperlink" Target="https://www.turiego.es/media/fichas_tecnicas/catalogos/CEPEX%20FOLLETO%20TECNICO%20ACCESORIOS%20PP.pdf" TargetMode="External"/><Relationship Id="rId213" Type="http://schemas.openxmlformats.org/officeDocument/2006/relationships/hyperlink" Target="https://www.turiego.es/media/fichas_tecnicas/catalogos/CEPEX%20FOLLETO%20TECNICO%20ACCESORIOS%20PP.pdf" TargetMode="External"/><Relationship Id="rId214" Type="http://schemas.openxmlformats.org/officeDocument/2006/relationships/hyperlink" Target="https://www.turiego.es/media/fichas_tecnicas/catalogos/CEPEX%20FOLLETO%20TECNICO%20ACCESORIOS%20PP.pdf" TargetMode="External"/><Relationship Id="rId215" Type="http://schemas.openxmlformats.org/officeDocument/2006/relationships/hyperlink" Target="https://www.turiego.es/media/fichas_tecnicas/catalogos/CEPEX%20FOLLETO%20TECNICO%20ACCESORIOS%20PP.pdf" TargetMode="External"/><Relationship Id="rId216" Type="http://schemas.openxmlformats.org/officeDocument/2006/relationships/hyperlink" Target="https://www.turiego.es/media/fichas_tecnicas/catalogos/CEPEX%20FOLLETO%20TECNICO%20ACCESORIOS%20PP.pdf" TargetMode="External"/><Relationship Id="rId217" Type="http://schemas.openxmlformats.org/officeDocument/2006/relationships/hyperlink" Target="https://www.turiego.es/media/fichas_tecnicas/catalogos/CEPEX%20FOLLETO%20TECNICO%20ACCESORIOS%20PP.pdf" TargetMode="External"/><Relationship Id="rId218" Type="http://schemas.openxmlformats.org/officeDocument/2006/relationships/hyperlink" Target="https://www.turiego.es/media/fichas_tecnicas/catalogos/CEPEX%20FOLLETO%20TECNICO%20ACCESORIOS%20PP.pdf" TargetMode="External"/><Relationship Id="rId219" Type="http://schemas.openxmlformats.org/officeDocument/2006/relationships/hyperlink" Target="https://www.turiego.es/media/fichas_tecnicas/catalogos/CEPEX%20FOLLETO%20TECNICO%20ACCESORIOS%20PP.pdf" TargetMode="External"/><Relationship Id="rId220" Type="http://schemas.openxmlformats.org/officeDocument/2006/relationships/hyperlink" Target="https://www.turiego.es/media/fichas_tecnicas/catalogos/CEPEX%20FOLLETO%20TECNICO%20ACCESORIOS%20PP.pdf" TargetMode="External"/><Relationship Id="rId221" Type="http://schemas.openxmlformats.org/officeDocument/2006/relationships/hyperlink" Target="https://www.turiego.es/media/fichas_tecnicas/catalogos/CEPEX%20FOLLETO%20TECNICO%20ACCESORIOS%20PP.pdf" TargetMode="External"/><Relationship Id="rId222" Type="http://schemas.openxmlformats.org/officeDocument/2006/relationships/hyperlink" Target="https://www.turiego.es/media/fichas_tecnicas/catalogos/CEPEX%20FOLLETO%20TECNICO%20ACCESORIOS%20PP.pdf" TargetMode="External"/><Relationship Id="rId223" Type="http://schemas.openxmlformats.org/officeDocument/2006/relationships/hyperlink" Target="https://www.turiego.es/media/fichas_tecnicas/catalogos/CEPEX%20FOLLETO%20TECNICO%20ACCESORIOS%20PP.pdf" TargetMode="External"/><Relationship Id="rId224" Type="http://schemas.openxmlformats.org/officeDocument/2006/relationships/hyperlink" Target="https://www.turiego.es/media/fichas_tecnicas/catalogos/CEPEX%20FOLLETO%20TECNICO%20ACCESORIOS%20PP.pdf" TargetMode="External"/><Relationship Id="rId225" Type="http://schemas.openxmlformats.org/officeDocument/2006/relationships/hyperlink" Target="https://www.turiego.es/media/fichas_tecnicas/catalogos/CEPEX%20FOLLETO%20TECNICO%20ACCESORIOS%20PP.pdf" TargetMode="External"/><Relationship Id="rId226" Type="http://schemas.openxmlformats.org/officeDocument/2006/relationships/hyperlink" Target="https://www.turiego.es/media/fichas_tecnicas/catalogos/CEPEX%20FOLLETO%20TECNICO%20ACCESORIOS%20PP.pdf" TargetMode="External"/><Relationship Id="rId227" Type="http://schemas.openxmlformats.org/officeDocument/2006/relationships/hyperlink" Target="https://www.turiego.es/media/fichas_tecnicas/catalogos/CEPEX%20FOLLETO%20TECNICO%20ACCESORIOS%20PP.pdf" TargetMode="External"/><Relationship Id="rId228" Type="http://schemas.openxmlformats.org/officeDocument/2006/relationships/hyperlink" Target="https://www.turiego.es/media/fichas_tecnicas/catalogos/CEPEX%20FOLLETO%20TECNICO%20ACCESORIOS%20PP.pdf" TargetMode="External"/><Relationship Id="rId229" Type="http://schemas.openxmlformats.org/officeDocument/2006/relationships/hyperlink" Target="https://www.turiego.es/media/fichas_tecnicas/catalogos/CEPEX%20FOLLETO%20TECNICO%20ACCESORIOS%20PP.pdf" TargetMode="External"/><Relationship Id="rId230" Type="http://schemas.openxmlformats.org/officeDocument/2006/relationships/hyperlink" Target="https://www.turiego.es/media/fichas_tecnicas/catalogos/CEPEX%20FOLLETO%20TECNICO%20ACCESORIOS%20PP.pdf" TargetMode="External"/><Relationship Id="rId231" Type="http://schemas.openxmlformats.org/officeDocument/2006/relationships/hyperlink" Target="https://www.turiego.es/media/fichas_tecnicas/catalogos/CEPEX%20FOLLETO%20TECNICO%20ACCESORIOS%20PP.pdf" TargetMode="External"/><Relationship Id="rId232" Type="http://schemas.openxmlformats.org/officeDocument/2006/relationships/hyperlink" Target="https://www.turiego.es/media/fichas_tecnicas/catalogos/CEPEX%20FOLLETO%20TECNICO%20ACCESORIOS%20PP.pdf" TargetMode="External"/><Relationship Id="rId233" Type="http://schemas.openxmlformats.org/officeDocument/2006/relationships/hyperlink" Target="https://www.turiego.es/media/fichas_tecnicas/catalogos/CEPEX%20FOLLETO%20TECNICO%20ACCESORIOS%20PP.pdf" TargetMode="External"/><Relationship Id="rId234" Type="http://schemas.openxmlformats.org/officeDocument/2006/relationships/hyperlink" Target="https://www.turiego.es/media/fichas_tecnicas/catalogos/CEPEX%20FOLLETO%20TECNICO%20ACCESORIOS%20PP.pdf" TargetMode="External"/><Relationship Id="rId235" Type="http://schemas.openxmlformats.org/officeDocument/2006/relationships/hyperlink" Target="https://www.turiego.es/media/fichas_tecnicas/catalogos/CEPEX%20FOLLETO%20TECNICO%20ACCESORIOS%20PP.pdf" TargetMode="External"/><Relationship Id="rId236" Type="http://schemas.openxmlformats.org/officeDocument/2006/relationships/hyperlink" Target="https://www.turiego.es/media/fichas_tecnicas/catalogos/CEPEX%20FOLLETO%20TECNICO%20ACCESORIOS%20PP.pdf" TargetMode="External"/><Relationship Id="rId237" Type="http://schemas.openxmlformats.org/officeDocument/2006/relationships/hyperlink" Target="https://www.turiego.es/media/fichas_tecnicas/catalogos/CEPEX%20FOLLETO%20TECNICO%20ACCESORIOS%20PP.pdf" TargetMode="External"/><Relationship Id="rId238" Type="http://schemas.openxmlformats.org/officeDocument/2006/relationships/hyperlink" Target="https://www.turiego.es/media/fichas_tecnicas/catalogos/CEPEX%20FOLLETO%20TECNICO%20ACCESORIOS%20PP.pdf" TargetMode="External"/><Relationship Id="rId239" Type="http://schemas.openxmlformats.org/officeDocument/2006/relationships/hyperlink" Target="https://www.turiego.es/media/fichas_tecnicas/catalogos/CEPEX%20FOLLETO%20TECNICO%20ACCESORIOS%20PP.pdf" TargetMode="External"/><Relationship Id="rId240" Type="http://schemas.openxmlformats.org/officeDocument/2006/relationships/hyperlink" Target="https://www.turiego.es/media/fichas_tecnicas/catalogos/CEPEX%20FOLLETO%20TECNICO%20ACCESORIOS%20PP.pdf" TargetMode="External"/><Relationship Id="rId241" Type="http://schemas.openxmlformats.org/officeDocument/2006/relationships/hyperlink" Target="https://www.turiego.es/media/fichas_tecnicas/catalogos/CEPEX%20FOLLETO%20TECNICO%20ACCESORIOS%20PP.pdf" TargetMode="External"/><Relationship Id="rId242" Type="http://schemas.openxmlformats.org/officeDocument/2006/relationships/hyperlink" Target="https://www.turiego.es/media/fichas_tecnicas/catalogos/CEPEX%20FOLLETO%20TECNICO%20ACCESORIOS%20PP.pdf" TargetMode="External"/><Relationship Id="rId243" Type="http://schemas.openxmlformats.org/officeDocument/2006/relationships/hyperlink" Target="https://www.turiego.es/media/fichas_tecnicas/catalogos/CEPEX%20FOLLETO%20TECNICO%20ACCESORIOS%20PP.pdf" TargetMode="External"/><Relationship Id="rId244" Type="http://schemas.openxmlformats.org/officeDocument/2006/relationships/hyperlink" Target="https://www.turiego.es/media/fichas_tecnicas/catalogos/CEPEX%20FOLLETO%20TECNICO%20ACCESORIOS%20PP.pdf" TargetMode="External"/><Relationship Id="rId245" Type="http://schemas.openxmlformats.org/officeDocument/2006/relationships/hyperlink" Target="https://www.turiego.es/media/fichas_tecnicas/catalogos/CEPEX%20FOLLETO%20TECNICO%20ACCESORIOS%20PP.pdf" TargetMode="External"/><Relationship Id="rId246" Type="http://schemas.openxmlformats.org/officeDocument/2006/relationships/hyperlink" Target="https://www.turiego.es/media/fichas_tecnicas/catalogos/CEPEX%20FOLLETO%20TECNICO%20ACCESORIOS%20PP.pdf" TargetMode="External"/><Relationship Id="rId247" Type="http://schemas.openxmlformats.org/officeDocument/2006/relationships/hyperlink" Target="https://www.turiego.es/media/fichas_tecnicas/catalogos/CEPEX%20FOLLETO%20TECNICO%20ACCESORIOS%20PP.pdf" TargetMode="External"/><Relationship Id="rId248" Type="http://schemas.openxmlformats.org/officeDocument/2006/relationships/hyperlink" Target="https://www.turiego.es/media/fichas_tecnicas/catalogos/CEPEX%20FOLLETO%20TECNICO%20ACCESORIOS%20PP.pdf" TargetMode="External"/><Relationship Id="rId249" Type="http://schemas.openxmlformats.org/officeDocument/2006/relationships/hyperlink" Target="https://www.turiego.es/media/fichas_tecnicas/catalogos/CEPEX%20FOLLETO%20TECNICO%20ACCESORIOS%20PP.pdf" TargetMode="External"/><Relationship Id="rId250" Type="http://schemas.openxmlformats.org/officeDocument/2006/relationships/hyperlink" Target="https://www.turiego.es/media/fichas_tecnicas/catalogos/CEPEX%20FOLLETO%20TECNICO%20ACCESORIOS%20PP.pdf" TargetMode="External"/><Relationship Id="rId251" Type="http://schemas.openxmlformats.org/officeDocument/2006/relationships/hyperlink" Target="https://www.turiego.es/media/fichas_tecnicas/catalogos/CEPEX%20FOLLETO%20TECNICO%20ACCESORIOS%20PP.pdf" TargetMode="External"/><Relationship Id="rId252" Type="http://schemas.openxmlformats.org/officeDocument/2006/relationships/hyperlink" Target="https://www.turiego.es/media/fichas_tecnicas/catalogos/CEPEX%20FOLLETO%20TECNICO%20ACCESORIOS%20PP.pdf" TargetMode="External"/><Relationship Id="rId253" Type="http://schemas.openxmlformats.org/officeDocument/2006/relationships/hyperlink" Target="https://www.turiego.es/media/fichas_tecnicas/catalogos/CEPEX%20FOLLETO%20TECNICO%20ACCESORIOS%20PP.pdf" TargetMode="External"/><Relationship Id="rId254" Type="http://schemas.openxmlformats.org/officeDocument/2006/relationships/hyperlink" Target="https://www.turiego.es/media/fichas_tecnicas/catalogos/CEPEX%20FOLLETO%20TECNICO%20ACCESORIOS%20PP.pdf" TargetMode="External"/><Relationship Id="rId255" Type="http://schemas.openxmlformats.org/officeDocument/2006/relationships/hyperlink" Target="https://www.turiego.es/media/fichas_tecnicas/catalogos/CEPEX%20FOLLETO%20TECNICO%20ACCESORIOS%20PP.pdf" TargetMode="External"/><Relationship Id="rId256" Type="http://schemas.openxmlformats.org/officeDocument/2006/relationships/hyperlink" Target="https://www.turiego.es/media/fichas_tecnicas/catalogos/CEPEX%20FOLLETO%20TECNICO%20ACCESORIOS%20PP.pdf" TargetMode="External"/><Relationship Id="rId257" Type="http://schemas.openxmlformats.org/officeDocument/2006/relationships/hyperlink" Target="https://www.turiego.es/media/fichas_tecnicas/catalogos/CEPEX%20FOLLETO%20TECNICO%20ACCESORIOS%20PP.pdf" TargetMode="External"/><Relationship Id="rId258" Type="http://schemas.openxmlformats.org/officeDocument/2006/relationships/hyperlink" Target="https://www.turiego.es/media/fichas_tecnicas/catalogos/CEPEX%20FOLLETO%20TECNICO%20ACCESORIOS%20PP.pdf" TargetMode="External"/><Relationship Id="rId259" Type="http://schemas.openxmlformats.org/officeDocument/2006/relationships/hyperlink" Target="https://www.turiego.es/media/fichas_tecnicas/catalogos/CEPEX%20FOLLETO%20TECNICO%20ACCESORIOS%20PP.pdf" TargetMode="External"/><Relationship Id="rId260" Type="http://schemas.openxmlformats.org/officeDocument/2006/relationships/hyperlink" Target="https://www.turiego.es/media/fichas_tecnicas/catalogos/CEPEX%20FOLLETO%20TECNICO%20ACCESORIOS%20PP.pdf" TargetMode="External"/><Relationship Id="rId261" Type="http://schemas.openxmlformats.org/officeDocument/2006/relationships/hyperlink" Target="https://www.turiego.es/media/fichas_tecnicas/catalogos/CEPEX%20FOLLETO%20TECNICO%20ACCESORIOS%20PP.pdf" TargetMode="External"/><Relationship Id="rId262" Type="http://schemas.openxmlformats.org/officeDocument/2006/relationships/hyperlink" Target="https://www.turiego.es/media/fichas_tecnicas/catalogos/CEPEX%20FOLLETO%20TECNICO%20ACCESORIOS%20PP.pdf" TargetMode="External"/><Relationship Id="rId263" Type="http://schemas.openxmlformats.org/officeDocument/2006/relationships/hyperlink" Target="https://www.turiego.es/media/fichas_tecnicas/catalogos/CEPEX%20FOLLETO%20TECNICO%20ACCESORIOS%20PP.pdf" TargetMode="External"/><Relationship Id="rId264" Type="http://schemas.openxmlformats.org/officeDocument/2006/relationships/hyperlink" Target="https://www.turiego.es/media/fichas_tecnicas/catalogos/CEPEX%20FOLLETO%20TECNICO%20ACCESORIOS%20PP.pdf" TargetMode="External"/><Relationship Id="rId265" Type="http://schemas.openxmlformats.org/officeDocument/2006/relationships/hyperlink" Target="https://www.turiego.es/media/fichas_tecnicas/catalogos/CEPEX%20FOLLETO%20TECNICO%20ACCESORIOS%20PP.pdf" TargetMode="External"/><Relationship Id="rId266" Type="http://schemas.openxmlformats.org/officeDocument/2006/relationships/hyperlink" Target="https://www.turiego.es/media/fichas_tecnicas/catalogos/CEPEX%20FOLLETO%20TECNICO%20ACCESORIOS%20PP.pdf" TargetMode="External"/><Relationship Id="rId267" Type="http://schemas.openxmlformats.org/officeDocument/2006/relationships/hyperlink" Target="https://www.turiego.es/media/fichas_tecnicas/catalogos/CEPEX%20FOLLETO%20TECNICO%20ACCESORIOS%20PP.pdf" TargetMode="External"/><Relationship Id="rId268" Type="http://schemas.openxmlformats.org/officeDocument/2006/relationships/hyperlink" Target="https://www.turiego.es/media/fichas_tecnicas/catalogos/CEPEX%20FOLLETO%20TECNICO%20ACCESORIOS%20PP.pdf" TargetMode="External"/><Relationship Id="rId269" Type="http://schemas.openxmlformats.org/officeDocument/2006/relationships/hyperlink" Target="https://www.turiego.es/media/fichas_tecnicas/catalogos/CEPEX%20FOLLETO%20TECNICO%20ACCESORIOS%20PP.pdf" TargetMode="External"/><Relationship Id="rId270" Type="http://schemas.openxmlformats.org/officeDocument/2006/relationships/hyperlink" Target="https://www.turiego.es/media/fichas_tecnicas/catalogos/CEPEX%20FOLLETO%20TECNICO%20ACCESORIOS%20PP.pdf" TargetMode="External"/><Relationship Id="rId271" Type="http://schemas.openxmlformats.org/officeDocument/2006/relationships/hyperlink" Target="https://www.turiego.es/media/fichas_tecnicas/catalogos/CEPEX%20FOLLETO%20TECNICO%20ACCESORIOS%20PP.pdf" TargetMode="External"/><Relationship Id="rId272" Type="http://schemas.openxmlformats.org/officeDocument/2006/relationships/hyperlink" Target="https://www.turiego.es/media/fichas_tecnicas/catalogos/CEPEX%20FOLLETO%20TECNICO%20ACCESORIOS%20PP.pdf" TargetMode="External"/><Relationship Id="rId273" Type="http://schemas.openxmlformats.org/officeDocument/2006/relationships/hyperlink" Target="https://www.turiego.es/media/fichas_tecnicas/catalogos/CEPEX%20FOLLETO%20TECNICO%20ACCESORIOS%20PP.pdf" TargetMode="External"/><Relationship Id="rId274" Type="http://schemas.openxmlformats.org/officeDocument/2006/relationships/hyperlink" Target="https://www.turiego.es/media/fichas_tecnicas/catalogos/CEPEX%20FOLLETO%20TECNICO%20ACCESORIOS%20PP.pdf" TargetMode="External"/><Relationship Id="rId275" Type="http://schemas.openxmlformats.org/officeDocument/2006/relationships/hyperlink" Target="https://www.turiego.es/media/fichas_tecnicas/catalogos/CEPEX%20FOLLETO%20TECNICO%20ACCESORIOS%20PP.pdf" TargetMode="External"/><Relationship Id="rId276" Type="http://schemas.openxmlformats.org/officeDocument/2006/relationships/hyperlink" Target="https://www.turiego.es/media/fichas_tecnicas/catalogos/CEPEX%20FOLLETO%20TECNICO%20ACCESORIOS%20PP.pdf" TargetMode="External"/><Relationship Id="rId277" Type="http://schemas.openxmlformats.org/officeDocument/2006/relationships/hyperlink" Target="https://www.turiego.es/media/fichas_tecnicas/catalogos/CEPEX%20FOLLETO%20TECNICO%20ACCESORIOS%20PP.pdf" TargetMode="External"/><Relationship Id="rId278" Type="http://schemas.openxmlformats.org/officeDocument/2006/relationships/hyperlink" Target="https://www.turiego.es/media/fichas_tecnicas/catalogos/CEPEX%20FOLLETO%20TECNICO%20ACCESORIOS%20PP.pdf" TargetMode="External"/><Relationship Id="rId279" Type="http://schemas.openxmlformats.org/officeDocument/2006/relationships/hyperlink" Target="https://www.turiego.es/media/fichas_tecnicas/catalogos/CEPEX%20FOLLETO%20TECNICO%20ACCESORIOS%20PP.pdf" TargetMode="External"/><Relationship Id="rId280" Type="http://schemas.openxmlformats.org/officeDocument/2006/relationships/hyperlink" Target="https://www.turiego.es/media/fichas_tecnicas/catalogos/CEPEX%20FOLLETO%20TECNICO%20ACCESORIOS%20PP.pdf" TargetMode="External"/><Relationship Id="rId281" Type="http://schemas.openxmlformats.org/officeDocument/2006/relationships/hyperlink" Target="https://www.turiego.es/media/fichas_tecnicas/catalogos/CEPEX%20FOLLETO%20TECNICO%20ACCESORIOS%20PP.pdf" TargetMode="External"/><Relationship Id="rId282" Type="http://schemas.openxmlformats.org/officeDocument/2006/relationships/hyperlink" Target="https://www.turiego.es/media/fichas_tecnicas/catalogos/CEPEX%20FOLLETO%20TECNICO%20ACCESORIOS%20PP.pdf" TargetMode="External"/><Relationship Id="rId283" Type="http://schemas.openxmlformats.org/officeDocument/2006/relationships/hyperlink" Target="https://www.turiego.es/media/fichas_tecnicas/catalogos/CEPEX%20FOLLETO%20TECNICO%20ACCESORIOS%20PP.pdf" TargetMode="External"/><Relationship Id="rId284" Type="http://schemas.openxmlformats.org/officeDocument/2006/relationships/hyperlink" Target="https://www.turiego.es/media/fichas_tecnicas/catalogos/CEPEX%20FOLLETO%20TECNICO%20ACCESORIOS%20PP.pdf" TargetMode="External"/><Relationship Id="rId285" Type="http://schemas.openxmlformats.org/officeDocument/2006/relationships/hyperlink" Target="https://www.turiego.es/media/fichas_tecnicas/catalogos/CEPEX%20FOLLETO%20TECNICO%20ACCESORIOS%20PP.pdf" TargetMode="External"/><Relationship Id="rId286" Type="http://schemas.openxmlformats.org/officeDocument/2006/relationships/hyperlink" Target="https://www.turiego.es/media/fichas_tecnicas/catalogos/CEPEX%20FOLLETO%20TECNICO%20ACCESORIOS%20PP.pdf" TargetMode="External"/><Relationship Id="rId287" Type="http://schemas.openxmlformats.org/officeDocument/2006/relationships/hyperlink" Target="https://www.turiego.es/media/fichas_tecnicas/catalogos/CEPEX%20FOLLETO%20TECNICO%20ACCESORIOS%20PP.pdf" TargetMode="External"/><Relationship Id="rId288" Type="http://schemas.openxmlformats.org/officeDocument/2006/relationships/hyperlink" Target="https://www.turiego.es/media/fichas_tecnicas/catalogos/CEPEX%20FOLLETO%20TECNICO%20ACCESORIOS%20PP.pdf" TargetMode="External"/><Relationship Id="rId289" Type="http://schemas.openxmlformats.org/officeDocument/2006/relationships/hyperlink" Target="https://www.turiego.es/media/fichas_tecnicas/catalogos/CEPEX%20FOLLETO%20TECNICO%20ACCESORIOS%20PP.pdf" TargetMode="External"/><Relationship Id="rId290" Type="http://schemas.openxmlformats.org/officeDocument/2006/relationships/hyperlink" Target="https://www.turiego.es/media/fichas_tecnicas/catalogos/CEPEX%20FOLLETO%20TECNICO%20ACCESORIOS%20PP.pdf" TargetMode="External"/><Relationship Id="rId291" Type="http://schemas.openxmlformats.org/officeDocument/2006/relationships/hyperlink" Target="https://www.turiego.es/media/fichas_tecnicas/catalogos/CEPEX%20FOLLETO%20TECNICO%20ACCESORIOS%20PP.pdf" TargetMode="External"/><Relationship Id="rId292" Type="http://schemas.openxmlformats.org/officeDocument/2006/relationships/hyperlink" Target="https://www.turiego.es/media/fichas_tecnicas/catalogos/CEPEX%20FOLLETO%20TECNICO%20ACCESORIOS%20PP.pdf" TargetMode="External"/><Relationship Id="rId293" Type="http://schemas.openxmlformats.org/officeDocument/2006/relationships/hyperlink" Target="https://www.turiego.es/media/fichas_tecnicas/catalogos/CEPEX%20FOLLETO%20TECNICO%20ACCESORIOS%20PP.pdf" TargetMode="External"/><Relationship Id="rId294" Type="http://schemas.openxmlformats.org/officeDocument/2006/relationships/hyperlink" Target="https://www.turiego.es/media/fichas_tecnicas/catalogos/CEPEX%20FOLLETO%20TECNICO%20ACCESORIOS%20PP.pdf" TargetMode="External"/><Relationship Id="rId295" Type="http://schemas.openxmlformats.org/officeDocument/2006/relationships/hyperlink" Target="https://www.turiego.es/media/fichas_tecnicas/catalogos/CEPEX%20FOLLETO%20TECNICO%20ACCESORIOS%20PP.pdf" TargetMode="External"/><Relationship Id="rId296" Type="http://schemas.openxmlformats.org/officeDocument/2006/relationships/hyperlink" Target="https://www.turiego.es/media/fichas_tecnicas/catalogos/CEPEX%20FOLLETO%20TECNICO%20ACCESORIOS%20PP.pdf" TargetMode="External"/><Relationship Id="rId297" Type="http://schemas.openxmlformats.org/officeDocument/2006/relationships/hyperlink" Target="https://www.turiego.es/media/fichas_tecnicas/catalogos/CEPEX%20FOLLETO%20TECNICO%20ACCESORIOS%20PP.pdf" TargetMode="External"/><Relationship Id="rId298" Type="http://schemas.openxmlformats.org/officeDocument/2006/relationships/hyperlink" Target="https://www.turiego.es/media/fichas_tecnicas/catalogos/CEPEX%20FOLLETO%20TECNICO%20ACCESORIOS%20PP.pdf" TargetMode="External"/><Relationship Id="rId299" Type="http://schemas.openxmlformats.org/officeDocument/2006/relationships/hyperlink" Target="https://www.turiego.es/media/fichas_tecnicas/catalogos/CEPEX%20FOLLETO%20TECNICO%20ACCESORIOS%20PP.pdf" TargetMode="External"/><Relationship Id="rId300" Type="http://schemas.openxmlformats.org/officeDocument/2006/relationships/hyperlink" Target="https://www.turiego.es/media/fichas_tecnicas/catalogos/CEPEX%20FOLLETO%20TECNICO%20ACCESORIOS%20PP.pdf" TargetMode="External"/><Relationship Id="rId301" Type="http://schemas.openxmlformats.org/officeDocument/2006/relationships/hyperlink" Target="https://www.turiego.es/media/fichas_tecnicas/catalogos/CEPEX%20FOLLETO%20TECNICO%20ACCESORIOS%20PP.pdf" TargetMode="External"/><Relationship Id="rId302" Type="http://schemas.openxmlformats.org/officeDocument/2006/relationships/hyperlink" Target="https://www.turiego.es/media/fichas_tecnicas/catalogos/CEPEX%20FOLLETO%20TECNICO%20ACCESORIOS%20PP.pdf" TargetMode="External"/><Relationship Id="rId303" Type="http://schemas.openxmlformats.org/officeDocument/2006/relationships/hyperlink" Target="https://www.turiego.es/media/fichas_tecnicas/catalogos/CEPEX%20FOLLETO%20TECNICO%20ACCESORIOS%20PP.pdf" TargetMode="External"/><Relationship Id="rId304" Type="http://schemas.openxmlformats.org/officeDocument/2006/relationships/hyperlink" Target="https://www.turiego.es/media/fichas_tecnicas/catalogos/CEPEX%20FOLLETO%20TECNICO%20ACCESORIOS%20PP.pdf" TargetMode="External"/><Relationship Id="rId305" Type="http://schemas.openxmlformats.org/officeDocument/2006/relationships/hyperlink" Target="https://www.turiego.es/media/fichas_tecnicas/catalogos/CEPEX%20FOLLETO%20TECNICO%20ACCESORIOS%20PP.pdf" TargetMode="External"/><Relationship Id="rId306" Type="http://schemas.openxmlformats.org/officeDocument/2006/relationships/hyperlink" Target="https://www.turiego.es/media/fichas_tecnicas/catalogos/CEPEX%20FOLLETO%20TECNICO%20ACCESORIOS%20PP.pdf" TargetMode="External"/><Relationship Id="rId307" Type="http://schemas.openxmlformats.org/officeDocument/2006/relationships/hyperlink" Target="https://www.turiego.es/media/fichas_tecnicas/catalogos/CEPEX%20FOLLETO%20TECNICO%20ACCESORIOS%20PP.pdf" TargetMode="External"/><Relationship Id="rId308" Type="http://schemas.openxmlformats.org/officeDocument/2006/relationships/hyperlink" Target="https://www.turiego.es/media/fichas_tecnicas/catalogos/CEPEX%20FOLLETO%20TECNICO%20ACCESORIOS%20PP.pdf" TargetMode="External"/><Relationship Id="rId309" Type="http://schemas.openxmlformats.org/officeDocument/2006/relationships/hyperlink" Target="https://www.turiego.es/media/fichas_tecnicas/catalogos/CEPEX%20FOLLETO%20TECNICO%20ACCESORIOS%20PP.pdf" TargetMode="External"/><Relationship Id="rId310" Type="http://schemas.openxmlformats.org/officeDocument/2006/relationships/hyperlink" Target="https://www.turiego.es/media/fichas_tecnicas/catalogos/CEPEX%20FOLLETO%20TECNICO%20ACCESORIOS%20PP.pdf" TargetMode="External"/><Relationship Id="rId311" Type="http://schemas.openxmlformats.org/officeDocument/2006/relationships/hyperlink" Target="https://www.turiego.es/media/fichas_tecnicas/catalogos/CEPEX%20FOLLETO%20TECNICO%20ACCESORIOS%20PP.pdf" TargetMode="External"/><Relationship Id="rId312" Type="http://schemas.openxmlformats.org/officeDocument/2006/relationships/hyperlink" Target="https://www.turiego.es/media/fichas_tecnicas/catalogos/CEPEX%20FOLLETO%20TECNICO%20ACCESORIOS%20PP.pdf" TargetMode="External"/><Relationship Id="rId313" Type="http://schemas.openxmlformats.org/officeDocument/2006/relationships/hyperlink" Target="https://www.turiego.es/media/fichas_tecnicas/catalogos/CEPEX%20FOLLETO%20TECNICO%20ACCESORIOS%20PP.pdf" TargetMode="External"/><Relationship Id="rId314" Type="http://schemas.openxmlformats.org/officeDocument/2006/relationships/hyperlink" Target="https://www.turiego.es/media/fichas_tecnicas/catalogos/CEPEX%20FOLLETO%20TECNICO%20ACCESORIOS%20PP.pdf" TargetMode="External"/><Relationship Id="rId315" Type="http://schemas.openxmlformats.org/officeDocument/2006/relationships/hyperlink" Target="https://www.turiego.es/media/fichas_tecnicas/catalogos/CEPEX%20FOLLETO%20TECNICO%20ACCESORIOS%20PP.pdf" TargetMode="External"/><Relationship Id="rId316" Type="http://schemas.openxmlformats.org/officeDocument/2006/relationships/hyperlink" Target="https://www.turiego.es/media/fichas_tecnicas/catalogos/CEPEX%20FOLLETO%20TECNICO%20ACCESORIOS%20PP.pdf" TargetMode="External"/><Relationship Id="rId317" Type="http://schemas.openxmlformats.org/officeDocument/2006/relationships/hyperlink" Target="https://www.turiego.es/media/fichas_tecnicas/catalogos/CEPEX%20FOLLETO%20TECNICO%20ACCESORIOS%20PP.pdf" TargetMode="External"/><Relationship Id="rId318" Type="http://schemas.openxmlformats.org/officeDocument/2006/relationships/hyperlink" Target="https://www.turiego.es/media/fichas_tecnicas/catalogos/CEPEX%20FOLLETO%20TECNICO%20ACCESORIOS%20PP.pdf" TargetMode="External"/><Relationship Id="rId319" Type="http://schemas.openxmlformats.org/officeDocument/2006/relationships/hyperlink" Target="https://www.turiego.es/media/fichas_tecnicas/catalogos/CEPEX%20FOLLETO%20TECNICO%20ACCESORIOS%20PP.pdf" TargetMode="External"/><Relationship Id="rId320" Type="http://schemas.openxmlformats.org/officeDocument/2006/relationships/hyperlink" Target="https://www.turiego.es/media/fichas_tecnicas/catalogos/CEPEX%20FOLLETO%20TECNICO%20ACCESORIOS%20PP.pdf" TargetMode="External"/><Relationship Id="rId321" Type="http://schemas.openxmlformats.org/officeDocument/2006/relationships/hyperlink" Target="https://www.turiego.es/media/fichas_tecnicas/catalogos/CEPEX%20FOLLETO%20TECNICO%20ACCESORIOS%20PP.pdf" TargetMode="External"/><Relationship Id="rId322" Type="http://schemas.openxmlformats.org/officeDocument/2006/relationships/hyperlink" Target="https://www.turiego.es/media/fichas_tecnicas/catalogos/CEPEX%20FOLLETO%20TECNICO%20ACCESORIOS%20PP.pdf" TargetMode="External"/><Relationship Id="rId323" Type="http://schemas.openxmlformats.org/officeDocument/2006/relationships/hyperlink" Target="https://www.turiego.es/media/fichas_tecnicas/catalogos/CEPEX%20FOLLETO%20TECNICO%20ACCESORIOS%20PP.pdf" TargetMode="External"/><Relationship Id="rId324" Type="http://schemas.openxmlformats.org/officeDocument/2006/relationships/hyperlink" Target="https://www.turiego.es/media/fichas_tecnicas/catalogos/CEPEX%20FOLLETO%20TECNICO%20ACCESORIOS%20PP.pdf" TargetMode="External"/><Relationship Id="rId325" Type="http://schemas.openxmlformats.org/officeDocument/2006/relationships/hyperlink" Target="https://www.turiego.es/media/fichas_tecnicas/catalogos/CEPEX%20FOLLETO%20TECNICO%20ACCESORIOS%20PP.pdf" TargetMode="External"/><Relationship Id="rId326" Type="http://schemas.openxmlformats.org/officeDocument/2006/relationships/hyperlink" Target="https://www.turiego.es/media/fichas_tecnicas/catalogos/CEPEX%20FOLLETO%20TECNICO%20ACCESORIOS%20PP.pdf" TargetMode="External"/><Relationship Id="rId327" Type="http://schemas.openxmlformats.org/officeDocument/2006/relationships/hyperlink" Target="https://www.turiego.es/media/fichas_tecnicas/catalogos/CEPEX%20FOLLETO%20TECNICO%20ACCESORIOS%20PP.pdf" TargetMode="External"/><Relationship Id="rId328" Type="http://schemas.openxmlformats.org/officeDocument/2006/relationships/hyperlink" Target="https://www.turiego.es/media/fichas_tecnicas/catalogos/CEPEX%20FOLLETO%20TECNICO%20ACCESORIOS%20PP.pdf" TargetMode="External"/><Relationship Id="rId329" Type="http://schemas.openxmlformats.org/officeDocument/2006/relationships/hyperlink" Target="https://www.turiego.es/media/fichas_tecnicas/catalogos/CEPEX%20FOLLETO%20TECNICO%20ACCESORIOS%20PP.pdf" TargetMode="External"/><Relationship Id="rId330" Type="http://schemas.openxmlformats.org/officeDocument/2006/relationships/hyperlink" Target="https://www.turiego.es/media/fichas_tecnicas/catalogos/CEPEX%20FOLLETO%20TECNICO%20ACCESORIOS%20PP.pdf" TargetMode="External"/><Relationship Id="rId331" Type="http://schemas.openxmlformats.org/officeDocument/2006/relationships/hyperlink" Target="https://www.turiego.es/media/fichas_tecnicas/catalogos/CEPEX%20FOLLETO%20TECNICO%20ACCESORIOS%20PP.pdf" TargetMode="External"/><Relationship Id="rId332" Type="http://schemas.openxmlformats.org/officeDocument/2006/relationships/hyperlink" Target="https://www.turiego.es/media/fichas_tecnicas/catalogos/CEPEX%20FOLLETO%20TECNICO%20ACCESORIOS%20PP.pdf" TargetMode="External"/><Relationship Id="rId333" Type="http://schemas.openxmlformats.org/officeDocument/2006/relationships/hyperlink" Target="https://www.turiego.es/media/fichas_tecnicas/catalogos/CEPEX%20FOLLETO%20TECNICO%20ACCESORIOS%20PP.pdf" TargetMode="External"/><Relationship Id="rId334" Type="http://schemas.openxmlformats.org/officeDocument/2006/relationships/hyperlink" Target="https://www.turiego.es/media/fichas_tecnicas/catalogos/CEPEX%20FOLLETO%20TECNICO%20ACCESORIOS%20PP.pdf" TargetMode="External"/><Relationship Id="rId335" Type="http://schemas.openxmlformats.org/officeDocument/2006/relationships/hyperlink" Target="https://www.turiego.es/media/fichas_tecnicas/catalogos/CEPEX%20FOLLETO%20TECNICO%20ACCESORIOS%20PP.pdf" TargetMode="External"/><Relationship Id="rId336" Type="http://schemas.openxmlformats.org/officeDocument/2006/relationships/hyperlink" Target="https://www.turiego.es/media/fichas_tecnicas/catalogos/CEPEX%20FOLLETO%20TECNICO%20ACCESORIOS%20PP.pdf" TargetMode="External"/><Relationship Id="rId337" Type="http://schemas.openxmlformats.org/officeDocument/2006/relationships/hyperlink" Target="https://www.turiego.es/media/fichas_tecnicas/catalogos/CEPEX%20FOLLETO%20TECNICO%20ACCESORIOS%20PP.pdf" TargetMode="External"/><Relationship Id="rId338" Type="http://schemas.openxmlformats.org/officeDocument/2006/relationships/hyperlink" Target="https://www.turiego.es/media/fichas_tecnicas/catalogos/CEPEX%20FOLLETO%20TECNICO%20ACCESORIOS%20PP.pdf" TargetMode="External"/><Relationship Id="rId339" Type="http://schemas.openxmlformats.org/officeDocument/2006/relationships/hyperlink" Target="https://www.turiego.es/media/fichas_tecnicas/catalogos/CEPEX%20FOLLETO%20TECNICO%20ACCESORIOS%20PP.pdf" TargetMode="External"/><Relationship Id="rId340" Type="http://schemas.openxmlformats.org/officeDocument/2006/relationships/hyperlink" Target="https://www.turiego.es/media/fichas_tecnicas/catalogos/CEPEX%20FOLLETO%20TECNICO%20ACCESORIOS%20PP.pdf" TargetMode="External"/><Relationship Id="rId341" Type="http://schemas.openxmlformats.org/officeDocument/2006/relationships/hyperlink" Target="https://www.turiego.es/media/fichas_tecnicas/catalogos/CEPEX%20FOLLETO%20TECNICO%20ACCESORIOS%20PP.pdf" TargetMode="External"/><Relationship Id="rId342" Type="http://schemas.openxmlformats.org/officeDocument/2006/relationships/hyperlink" Target="https://www.turiego.es/media/fichas_tecnicas/catalogos/CEPEX%20FOLLETO%20TECNICO%20ACCESORIOS%20PP.pdf" TargetMode="External"/><Relationship Id="rId343" Type="http://schemas.openxmlformats.org/officeDocument/2006/relationships/hyperlink" Target="https://www.turiego.es/media/fichas_tecnicas/catalogos/CEPEX%20FOLLETO%20TECNICO%20ACCESORIOS%20PP.pdf" TargetMode="External"/><Relationship Id="rId344" Type="http://schemas.openxmlformats.org/officeDocument/2006/relationships/hyperlink" Target="https://www.turiego.es/media/fichas_tecnicas/catalogos/CEPEX%20FOLLETO%20TECNICO%20ACCESORIOS%20PP.pdf" TargetMode="External"/><Relationship Id="rId345" Type="http://schemas.openxmlformats.org/officeDocument/2006/relationships/hyperlink" Target="https://www.turiego.es/media/fichas_tecnicas/catalogos/CEPEX%20FOLLETO%20TECNICO%20ACCESORIOS%20PP.pdf" TargetMode="External"/><Relationship Id="rId346" Type="http://schemas.openxmlformats.org/officeDocument/2006/relationships/hyperlink" Target="https://www.turiego.es/media/fichas_tecnicas/catalogos/CEPEX%20FOLLETO%20TECNICO%20ACCESORIOS%20PP.pdf" TargetMode="External"/><Relationship Id="rId347" Type="http://schemas.openxmlformats.org/officeDocument/2006/relationships/hyperlink" Target="https://www.turiego.es/media/fichas_tecnicas/catalogos/CEPEX%20FOLLETO%20TECNICO%20ACCESORIOS%20PP.pdf" TargetMode="External"/><Relationship Id="rId348" Type="http://schemas.openxmlformats.org/officeDocument/2006/relationships/hyperlink" Target="https://www.turiego.es/media/fichas_tecnicas/catalogos/CEPEX%20FOLLETO%20TECNICO%20ACCESORIOS%20PP.pdf" TargetMode="External"/><Relationship Id="rId349" Type="http://schemas.openxmlformats.org/officeDocument/2006/relationships/hyperlink" Target="https://www.turiego.es/media/fichas_tecnicas/catalogos/CEPEX%20FOLLETO%20TECNICO%20ACCESORIOS%20PP.pdf" TargetMode="External"/><Relationship Id="rId350" Type="http://schemas.openxmlformats.org/officeDocument/2006/relationships/hyperlink" Target="https://www.turiego.es/media/fichas_tecnicas/catalogos/CEPEX%20FOLLETO%20TECNICO%20ACCESORIOS%20PP.pdf" TargetMode="External"/><Relationship Id="rId351" Type="http://schemas.openxmlformats.org/officeDocument/2006/relationships/hyperlink" Target="https://www.turiego.es/media/fichas_tecnicas/catalogos/CEPEX%20FOLLETO%20TECNICO%20ACCESORIOS%20PP.pdf" TargetMode="External"/><Relationship Id="rId352" Type="http://schemas.openxmlformats.org/officeDocument/2006/relationships/hyperlink" Target="https://www.turiego.es/media/fichas_tecnicas/catalogos/CEPEX%20FOLLETO%20TECNICO%20ACCESORIOS%20PP.pdf" TargetMode="External"/><Relationship Id="rId353" Type="http://schemas.openxmlformats.org/officeDocument/2006/relationships/hyperlink" Target="https://www.turiego.es/media/fichas_tecnicas/catalogos/CEPEX%20FOLLETO%20TECNICO%20ACCESORIOS%20PP.pdf" TargetMode="External"/><Relationship Id="rId354" Type="http://schemas.openxmlformats.org/officeDocument/2006/relationships/hyperlink" Target="https://www.poolaria.com/collarines-de-toma-y-pinzas/647-collarin-de-toma.html" TargetMode="External"/><Relationship Id="rId355" Type="http://schemas.openxmlformats.org/officeDocument/2006/relationships/hyperlink" Target="https://www.poolaria.com/collarines-de-toma-y-pinzas/647-collarin-de-toma.html" TargetMode="External"/><Relationship Id="rId356" Type="http://schemas.openxmlformats.org/officeDocument/2006/relationships/hyperlink" Target="https://www.poolaria.com/collarines-de-toma-y-pinzas/647-collarin-de-toma.html" TargetMode="External"/><Relationship Id="rId357" Type="http://schemas.openxmlformats.org/officeDocument/2006/relationships/hyperlink" Target="https://www.poolaria.com/collarines-de-toma-y-pinzas/647-collarin-de-toma.html" TargetMode="External"/><Relationship Id="rId358" Type="http://schemas.openxmlformats.org/officeDocument/2006/relationships/hyperlink" Target="https://www.poolaria.com/collarines-de-toma-y-pinzas/647-collarin-de-toma.html" TargetMode="External"/><Relationship Id="rId359" Type="http://schemas.openxmlformats.org/officeDocument/2006/relationships/hyperlink" Target="https://www.poolaria.com/collarines-de-toma-y-pinzas/647-collarin-de-toma.html" TargetMode="External"/><Relationship Id="rId360" Type="http://schemas.openxmlformats.org/officeDocument/2006/relationships/hyperlink" Target="https://www.poolaria.com/collarines-de-toma-y-pinzas/647-collarin-de-toma.html" TargetMode="External"/><Relationship Id="rId361" Type="http://schemas.openxmlformats.org/officeDocument/2006/relationships/hyperlink" Target="https://www.poolaria.com/collarines-de-toma-y-pinzas/647-collarin-de-toma.html" TargetMode="External"/><Relationship Id="rId362" Type="http://schemas.openxmlformats.org/officeDocument/2006/relationships/hyperlink" Target="https://www.poolaria.com/collarines-de-toma-y-pinzas/647-collarin-de-toma.html" TargetMode="External"/><Relationship Id="rId363" Type="http://schemas.openxmlformats.org/officeDocument/2006/relationships/hyperlink" Target="https://www.poolaria.com/collarines-de-toma-y-pinzas/647-collarin-de-toma.html" TargetMode="External"/><Relationship Id="rId364" Type="http://schemas.openxmlformats.org/officeDocument/2006/relationships/hyperlink" Target="https://www.poolaria.com/collarines-de-toma-y-pinzas/647-collarin-de-toma.html" TargetMode="External"/><Relationship Id="rId365" Type="http://schemas.openxmlformats.org/officeDocument/2006/relationships/hyperlink" Target="https://www.poolaria.com/collarines-de-toma-y-pinzas/647-collarin-de-toma.html" TargetMode="External"/><Relationship Id="rId366" Type="http://schemas.openxmlformats.org/officeDocument/2006/relationships/hyperlink" Target="https://www.poolaria.com/collarines-de-toma-y-pinzas/647-collarin-de-toma.html" TargetMode="External"/><Relationship Id="rId367" Type="http://schemas.openxmlformats.org/officeDocument/2006/relationships/hyperlink" Target="https://www.poolaria.com/collarines-de-toma-y-pinzas/647-collarin-de-toma.html" TargetMode="External"/><Relationship Id="rId368" Type="http://schemas.openxmlformats.org/officeDocument/2006/relationships/hyperlink" Target="https://www.poolaria.com/collarines-de-toma-y-pinzas/647-collarin-de-toma.html" TargetMode="External"/><Relationship Id="rId369" Type="http://schemas.openxmlformats.org/officeDocument/2006/relationships/hyperlink" Target="https://www.poolaria.com/collarines-de-toma-y-pinzas/647-collarin-de-toma.html" TargetMode="External"/><Relationship Id="rId370" Type="http://schemas.openxmlformats.org/officeDocument/2006/relationships/hyperlink" Target="https://www.poolaria.com/collarines-de-toma-y-pinzas/647-collarin-de-toma.html" TargetMode="External"/><Relationship Id="rId371" Type="http://schemas.openxmlformats.org/officeDocument/2006/relationships/hyperlink" Target="https://www.poolaria.com/collarines-de-toma-y-pinzas/647-collarin-de-toma.html" TargetMode="External"/><Relationship Id="rId372" Type="http://schemas.openxmlformats.org/officeDocument/2006/relationships/hyperlink" Target="https://www.poolaria.com/collarines-de-toma-y-pinzas/647-collarin-de-toma.html" TargetMode="External"/><Relationship Id="rId373" Type="http://schemas.openxmlformats.org/officeDocument/2006/relationships/hyperlink" Target="https://www.poolaria.com/collarines-de-toma-y-pinzas/647-collarin-de-toma.html" TargetMode="External"/><Relationship Id="rId374" Type="http://schemas.openxmlformats.org/officeDocument/2006/relationships/hyperlink" Target="https://www.poolaria.com/collarines-de-toma-y-pinzas/647-collarin-de-toma.html" TargetMode="External"/><Relationship Id="rId375" Type="http://schemas.openxmlformats.org/officeDocument/2006/relationships/hyperlink" Target="https://www.poolaria.com/collarines-de-toma-y-pinzas/647-collarin-de-toma.html" TargetMode="External"/><Relationship Id="rId376" Type="http://schemas.openxmlformats.org/officeDocument/2006/relationships/hyperlink" Target="https://www.poolaria.com/collarines-de-toma-y-pinzas/647-collarin-de-toma.html" TargetMode="External"/><Relationship Id="rId377" Type="http://schemas.openxmlformats.org/officeDocument/2006/relationships/hyperlink" Target="https://www.poolaria.com/collarines-de-toma-y-pinzas/647-collarin-de-toma.html" TargetMode="External"/><Relationship Id="rId378" Type="http://schemas.openxmlformats.org/officeDocument/2006/relationships/hyperlink" Target="https://www.poolaria.com/collarines-de-toma-y-pinzas/647-collarin-de-toma.html" TargetMode="External"/><Relationship Id="rId379" Type="http://schemas.openxmlformats.org/officeDocument/2006/relationships/hyperlink" Target="https://www.poolaria.com/collarines-de-toma-y-pinzas/647-collarin-de-toma.html" TargetMode="External"/><Relationship Id="rId380" Type="http://schemas.openxmlformats.org/officeDocument/2006/relationships/hyperlink" Target="https://www.poolaria.com/collarines-de-toma-y-pinzas/647-collarin-de-toma.html" TargetMode="External"/><Relationship Id="rId381" Type="http://schemas.openxmlformats.org/officeDocument/2006/relationships/hyperlink" Target="https://www.poolaria.com/collarines-de-toma-y-pinzas/647-collarin-de-toma.html" TargetMode="External"/><Relationship Id="rId382" Type="http://schemas.openxmlformats.org/officeDocument/2006/relationships/hyperlink" Target="https://www.poolaria.com/collarines-de-toma-y-pinzas/647-collarin-de-toma.html" TargetMode="External"/><Relationship Id="rId383" Type="http://schemas.openxmlformats.org/officeDocument/2006/relationships/hyperlink" Target="https://www.poolaria.com/collarines-de-toma-y-pinzas/647-collarin-de-toma.html" TargetMode="External"/><Relationship Id="rId384" Type="http://schemas.openxmlformats.org/officeDocument/2006/relationships/hyperlink" Target="https://www.poolaria.com/collarines-de-toma-y-pinzas/647-collarin-de-toma.html" TargetMode="External"/><Relationship Id="rId385" Type="http://schemas.openxmlformats.org/officeDocument/2006/relationships/hyperlink" Target="https://www.poolaria.com/collarines-de-toma-y-pinzas/647-collarin-de-toma.html" TargetMode="External"/><Relationship Id="rId386" Type="http://schemas.openxmlformats.org/officeDocument/2006/relationships/hyperlink" Target="https://www.poolaria.com/collarines-de-toma-y-pinzas/647-collarin-de-toma.html" TargetMode="External"/><Relationship Id="rId387" Type="http://schemas.openxmlformats.org/officeDocument/2006/relationships/hyperlink" Target="https://www.poolaria.com/collarines-de-toma-y-pinzas/647-collarin-de-toma.html" TargetMode="External"/><Relationship Id="rId388" Type="http://schemas.openxmlformats.org/officeDocument/2006/relationships/hyperlink" Target="https://www.poolaria.com/collarines-de-toma-y-pinzas/647-collarin-de-toma.html" TargetMode="External"/><Relationship Id="rId389" Type="http://schemas.openxmlformats.org/officeDocument/2006/relationships/hyperlink" Target="https://www.poolaria.com/collarines-de-toma-y-pinzas/647-collarin-de-toma.html" TargetMode="External"/><Relationship Id="rId390" Type="http://schemas.openxmlformats.org/officeDocument/2006/relationships/hyperlink" Target="https://www.poolaria.com/collarines-de-toma-y-pinzas/647-collarin-de-toma.html" TargetMode="External"/><Relationship Id="rId391" Type="http://schemas.openxmlformats.org/officeDocument/2006/relationships/hyperlink" Target="https://www.poolaria.com/collarines-de-toma-y-pinzas/647-collarin-de-toma.html" TargetMode="External"/><Relationship Id="rId392" Type="http://schemas.openxmlformats.org/officeDocument/2006/relationships/hyperlink" Target="https://www.poolaria.com/collarines-de-toma-y-pinzas/647-collarin-de-toma.html" TargetMode="External"/><Relationship Id="rId393" Type="http://schemas.openxmlformats.org/officeDocument/2006/relationships/hyperlink" Target="https://www.poolaria.com/collarines-de-toma-y-pinzas/647-collarin-de-toma.html" TargetMode="External"/><Relationship Id="rId394" Type="http://schemas.openxmlformats.org/officeDocument/2006/relationships/hyperlink" Target="https://www.poolaria.com/collarines-de-toma-y-pinzas/647-collarin-de-toma.html" TargetMode="External"/><Relationship Id="rId395" Type="http://schemas.openxmlformats.org/officeDocument/2006/relationships/hyperlink" Target="https://www.poolaria.com/collarines-de-toma-y-pinzas/647-collarin-de-toma.html" TargetMode="External"/><Relationship Id="rId396" Type="http://schemas.openxmlformats.org/officeDocument/2006/relationships/hyperlink" Target="https://www.poolaria.com/collarines-de-toma-y-pinzas/647-collarin-de-toma.html" TargetMode="External"/><Relationship Id="rId397" Type="http://schemas.openxmlformats.org/officeDocument/2006/relationships/hyperlink" Target="https://www.poolaria.com/collarines-de-toma-y-pinzas/647-collarin-de-toma.html" TargetMode="External"/><Relationship Id="rId398" Type="http://schemas.openxmlformats.org/officeDocument/2006/relationships/hyperlink" Target="https://www.poolaria.com/collarines-de-toma-y-pinzas/647-collarin-de-toma.html" TargetMode="External"/><Relationship Id="rId399" Type="http://schemas.openxmlformats.org/officeDocument/2006/relationships/hyperlink" Target="https://www.poolaria.com/collarines-de-toma-y-pinzas/647-collarin-de-toma.html" TargetMode="External"/><Relationship Id="rId400" Type="http://schemas.openxmlformats.org/officeDocument/2006/relationships/hyperlink" Target="https://www.poolaria.com/collarines-de-toma-y-pinzas/647-collarin-de-toma.html" TargetMode="External"/><Relationship Id="rId401" Type="http://schemas.openxmlformats.org/officeDocument/2006/relationships/hyperlink" Target="https://www.poolaria.com/collarines-de-toma-y-pinzas/647-collarin-de-toma.html" TargetMode="External"/><Relationship Id="rId402" Type="http://schemas.openxmlformats.org/officeDocument/2006/relationships/hyperlink" Target="https://www.poolaria.com/collarines-de-toma-y-pinzas/647-collarin-de-toma.html" TargetMode="External"/><Relationship Id="rId403" Type="http://schemas.openxmlformats.org/officeDocument/2006/relationships/hyperlink" Target="https://www.poolaria.com/collarines-de-toma-y-pinzas/647-collarin-de-toma.html" TargetMode="External"/><Relationship Id="rId404" Type="http://schemas.openxmlformats.org/officeDocument/2006/relationships/hyperlink" Target="https://www.poolaria.com/collarines-de-toma-y-pinzas/647-collarin-de-toma.html" TargetMode="External"/><Relationship Id="rId405" Type="http://schemas.openxmlformats.org/officeDocument/2006/relationships/hyperlink" Target="https://www.poolaria.com/collarines-de-toma-y-pinzas/647-collarin-de-toma.html" TargetMode="External"/><Relationship Id="rId406" Type="http://schemas.openxmlformats.org/officeDocument/2006/relationships/hyperlink" Target="https://www.poolaria.com/collarines-de-toma-y-pinzas/647-collarin-de-toma.html" TargetMode="External"/><Relationship Id="rId407" Type="http://schemas.openxmlformats.org/officeDocument/2006/relationships/hyperlink" Target="https://www.poolaria.com/collarines-de-toma-y-pinzas/647-collarin-de-toma.html" TargetMode="External"/><Relationship Id="rId408" Type="http://schemas.openxmlformats.org/officeDocument/2006/relationships/hyperlink" Target="https://www.poolaria.com/collarines-de-toma-y-pinzas/647-collarin-de-toma.html" TargetMode="External"/><Relationship Id="rId409" Type="http://schemas.openxmlformats.org/officeDocument/2006/relationships/hyperlink" Target="https://www.poolaria.com/collarines-de-toma-y-pinzas/647-collarin-de-toma.html" TargetMode="External"/><Relationship Id="rId410" Type="http://schemas.openxmlformats.org/officeDocument/2006/relationships/hyperlink" Target="https://www.poolaria.com/collarines-de-toma-y-pinzas/647-collarin-de-toma.html" TargetMode="External"/><Relationship Id="rId411" Type="http://schemas.openxmlformats.org/officeDocument/2006/relationships/hyperlink" Target="https://www.poolaria.com/collarines-de-toma-y-pinzas/647-collarin-de-toma.html" TargetMode="External"/><Relationship Id="rId412" Type="http://schemas.openxmlformats.org/officeDocument/2006/relationships/hyperlink" Target="https://www.poolaria.com/collarines-de-toma-y-pinzas/647-collarin-de-toma.html" TargetMode="External"/><Relationship Id="rId413" Type="http://schemas.openxmlformats.org/officeDocument/2006/relationships/hyperlink" Target="https://www.poolaria.com/collarines-de-toma-y-pinzas/647-collarin-de-toma.html" TargetMode="External"/><Relationship Id="rId414" Type="http://schemas.openxmlformats.org/officeDocument/2006/relationships/hyperlink" Target="https://www.poolaria.com/collarines-de-toma-y-pinzas/647-collarin-de-toma.html" TargetMode="External"/><Relationship Id="rId415" Type="http://schemas.openxmlformats.org/officeDocument/2006/relationships/hyperlink" Target="https://www.egbgroup.com/wp-content/uploads/2022/04/TARIFA_EGB_ACCESORIOS-DE-POLIETILENO_2022_04.pdf" TargetMode="External"/><Relationship Id="rId416" Type="http://schemas.openxmlformats.org/officeDocument/2006/relationships/hyperlink" Target="https://www.egbgroup.com/wp-content/uploads/2022/04/TARIFA_EGB_ACCESORIOS-DE-POLIETILENO_2022_04.pdf" TargetMode="External"/><Relationship Id="rId417" Type="http://schemas.openxmlformats.org/officeDocument/2006/relationships/hyperlink" Target="https://www.egbgroup.com/wp-content/uploads/2022/04/TARIFA_EGB_ACCESORIOS-DE-POLIETILENO_2022_04.pdf" TargetMode="External"/><Relationship Id="rId418" Type="http://schemas.openxmlformats.org/officeDocument/2006/relationships/hyperlink" Target="https://www.egbgroup.com/wp-content/uploads/2022/04/TARIFA_EGB_ACCESORIOS-DE-POLIETILENO_2022_04.pdf" TargetMode="External"/><Relationship Id="rId419" Type="http://schemas.openxmlformats.org/officeDocument/2006/relationships/hyperlink" Target="https://www.egbgroup.com/wp-content/uploads/2022/04/TARIFA_EGB_ACCESORIOS-DE-POLIETILENO_2022_04.pdf" TargetMode="External"/><Relationship Id="rId420" Type="http://schemas.openxmlformats.org/officeDocument/2006/relationships/hyperlink" Target="https://www.egbgroup.com/wp-content/uploads/2022/04/TARIFA_EGB_ACCESORIOS-DE-POLIETILENO_2022_04.pdf" TargetMode="External"/><Relationship Id="rId421" Type="http://schemas.openxmlformats.org/officeDocument/2006/relationships/hyperlink" Target="https://www.egbgroup.com/wp-content/uploads/2022/04/TARIFA_EGB_ACCESORIOS-DE-POLIETILENO_2022_04.pdf" TargetMode="External"/><Relationship Id="rId422" Type="http://schemas.openxmlformats.org/officeDocument/2006/relationships/hyperlink" Target="https://www.egbgroup.com/wp-content/uploads/2022/04/TARIFA_EGB_ACCESORIOS-DE-POLIETILENO_2022_04.pdf" TargetMode="External"/><Relationship Id="rId423" Type="http://schemas.openxmlformats.org/officeDocument/2006/relationships/hyperlink" Target="https://www.egbgroup.com/wp-content/uploads/2022/04/TARIFA_EGB_ACCESORIOS-DE-POLIETILENO_2022_04.pdf" TargetMode="External"/><Relationship Id="rId424" Type="http://schemas.openxmlformats.org/officeDocument/2006/relationships/hyperlink" Target="https://www.egbgroup.com/wp-content/uploads/2022/04/TARIFA_EGB_ACCESORIOS-DE-POLIETILENO_2022_04.pdf" TargetMode="External"/><Relationship Id="rId425" Type="http://schemas.openxmlformats.org/officeDocument/2006/relationships/hyperlink" Target="https://www.egbgroup.com/wp-content/uploads/2022/04/TARIFA_EGB_ACCESORIOS-DE-POLIETILENO_2022_04.pdf" TargetMode="External"/><Relationship Id="rId426" Type="http://schemas.openxmlformats.org/officeDocument/2006/relationships/hyperlink" Target="https://www.egbgroup.com/wp-content/uploads/2022/04/TARIFA_EGB_ACCESORIOS-DE-POLIETILENO_2022_04.pdf" TargetMode="External"/><Relationship Id="rId427" Type="http://schemas.openxmlformats.org/officeDocument/2006/relationships/hyperlink" Target="https://www.egbgroup.com/wp-content/uploads/2022/04/TARIFA_EGB_ACCESORIOS-DE-POLIETILENO_2022_04.pdf" TargetMode="External"/><Relationship Id="rId428" Type="http://schemas.openxmlformats.org/officeDocument/2006/relationships/hyperlink" Target="https://www.egbgroup.com/wp-content/uploads/2022/04/TARIFA_EGB_ACCESORIOS-DE-POLIETILENO_2022_04.pdf" TargetMode="External"/><Relationship Id="rId429" Type="http://schemas.openxmlformats.org/officeDocument/2006/relationships/hyperlink" Target="https://www.egbgroup.com/wp-content/uploads/2022/04/TARIFA_EGB_ACCESORIOS-DE-POLIETILENO_2022_04.pdf" TargetMode="External"/><Relationship Id="rId430" Type="http://schemas.openxmlformats.org/officeDocument/2006/relationships/hyperlink" Target="https://www.egbgroup.com/wp-content/uploads/2022/04/TARIFA_EGB_ACCESORIOS-DE-POLIETILENO_2022_04.pdf" TargetMode="External"/><Relationship Id="rId431" Type="http://schemas.openxmlformats.org/officeDocument/2006/relationships/hyperlink" Target="https://www.egbgroup.com/wp-content/uploads/2022/04/TARIFA_EGB_ACCESORIOS-DE-POLIETILENO_2022_04.pdf" TargetMode="External"/><Relationship Id="rId432" Type="http://schemas.openxmlformats.org/officeDocument/2006/relationships/hyperlink" Target="https://www.egbgroup.com/wp-content/uploads/2022/04/TARIFA_EGB_ACCESORIOS-DE-POLIETILENO_2022_04.pdf" TargetMode="External"/><Relationship Id="rId433" Type="http://schemas.openxmlformats.org/officeDocument/2006/relationships/hyperlink" Target="https://www.egbgroup.com/wp-content/uploads/2022/04/TARIFA_EGB_ACCESORIOS-DE-POLIETILENO_2022_04.pdf" TargetMode="External"/><Relationship Id="rId434" Type="http://schemas.openxmlformats.org/officeDocument/2006/relationships/hyperlink" Target="https://www.egbgroup.com/wp-content/uploads/2022/04/TARIFA_EGB_ACCESORIOS-DE-POLIETILENO_2022_04.pdf" TargetMode="External"/><Relationship Id="rId435" Type="http://schemas.openxmlformats.org/officeDocument/2006/relationships/hyperlink" Target="https://www.egbgroup.com/wp-content/uploads/2022/04/TARIFA_EGB_ACCESORIOS-DE-POLIETILENO_2022_04.pdf" TargetMode="External"/><Relationship Id="rId436" Type="http://schemas.openxmlformats.org/officeDocument/2006/relationships/hyperlink" Target="https://www.egbgroup.com/wp-content/uploads/2022/04/TARIFA_EGB_ACCESORIOS-DE-POLIETILENO_2022_04.pdf" TargetMode="External"/><Relationship Id="rId437" Type="http://schemas.openxmlformats.org/officeDocument/2006/relationships/hyperlink" Target="https://www.egbgroup.com/wp-content/uploads/2022/04/TARIFA_EGB_ACCESORIOS-DE-POLIETILENO_2022_04.pdf" TargetMode="External"/><Relationship Id="rId438" Type="http://schemas.openxmlformats.org/officeDocument/2006/relationships/hyperlink" Target="https://www.egbgroup.com/wp-content/uploads/2022/04/TARIFA_EGB_ACCESORIOS-DE-POLIETILENO_2022_04.pdf" TargetMode="External"/><Relationship Id="rId439" Type="http://schemas.openxmlformats.org/officeDocument/2006/relationships/hyperlink" Target="https://www.egbgroup.com/wp-content/uploads/2022/04/TARIFA_EGB_ACCESORIOS-DE-POLIETILENO_2022_04.pdf" TargetMode="External"/><Relationship Id="rId440" Type="http://schemas.openxmlformats.org/officeDocument/2006/relationships/hyperlink" Target="https://www.egbgroup.com/wp-content/uploads/2022/04/TARIFA_EGB_ACCESORIOS-DE-POLIETILENO_2022_04.pdf" TargetMode="External"/><Relationship Id="rId441" Type="http://schemas.openxmlformats.org/officeDocument/2006/relationships/hyperlink" Target="https://www.egbgroup.com/wp-content/uploads/2022/04/TARIFA_EGB_ACCESORIOS-DE-POLIETILENO_2022_04.pdf" TargetMode="External"/><Relationship Id="rId442" Type="http://schemas.openxmlformats.org/officeDocument/2006/relationships/hyperlink" Target="https://www.egbgroup.com/wp-content/uploads/2022/04/TARIFA_EGB_ACCESORIOS-DE-POLIETILENO_2022_04.pdf" TargetMode="External"/><Relationship Id="rId443" Type="http://schemas.openxmlformats.org/officeDocument/2006/relationships/hyperlink" Target="https://www.egbgroup.com/wp-content/uploads/2022/04/TARIFA_EGB_ACCESORIOS-DE-POLIETILENO_2022_04.pdf" TargetMode="External"/><Relationship Id="rId444" Type="http://schemas.openxmlformats.org/officeDocument/2006/relationships/hyperlink" Target="https://www.egbgroup.com/wp-content/uploads/2022/04/TARIFA_EGB_ACCESORIOS-DE-POLIETILENO_2022_04.pdf" TargetMode="External"/><Relationship Id="rId445" Type="http://schemas.openxmlformats.org/officeDocument/2006/relationships/hyperlink" Target="https://www.egbgroup.com/wp-content/uploads/2022/04/TARIFA_EGB_ACCESORIOS-DE-POLIETILENO_2022_04.pdf" TargetMode="External"/><Relationship Id="rId446" Type="http://schemas.openxmlformats.org/officeDocument/2006/relationships/hyperlink" Target="https://www.egbgroup.com/wp-content/uploads/2022/04/TARIFA_EGB_ACCESORIOS-DE-POLIETILENO_2022_04.pdf" TargetMode="External"/><Relationship Id="rId447" Type="http://schemas.openxmlformats.org/officeDocument/2006/relationships/hyperlink" Target="https://www.egbgroup.com/wp-content/uploads/2022/04/TARIFA_EGB_ACCESORIOS-DE-POLIETILENO_2022_04.pdf" TargetMode="External"/><Relationship Id="rId448" Type="http://schemas.openxmlformats.org/officeDocument/2006/relationships/hyperlink" Target="https://www.egbgroup.com/wp-content/uploads/2022/04/TARIFA_EGB_ACCESORIOS-DE-POLIETILENO_2022_04.pdf" TargetMode="External"/><Relationship Id="rId449" Type="http://schemas.openxmlformats.org/officeDocument/2006/relationships/hyperlink" Target="https://www.egbgroup.com/wp-content/uploads/2022/04/TARIFA_EGB_ACCESORIOS-DE-POLIETILENO_2022_04.pdf" TargetMode="External"/><Relationship Id="rId450" Type="http://schemas.openxmlformats.org/officeDocument/2006/relationships/hyperlink" Target="https://www.egbgroup.com/wp-content/uploads/2022/04/TARIFA_EGB_ACCESORIOS-DE-POLIETILENO_2022_04.pdf" TargetMode="External"/><Relationship Id="rId451" Type="http://schemas.openxmlformats.org/officeDocument/2006/relationships/hyperlink" Target="https://www.egbgroup.com/wp-content/uploads/2022/04/TARIFA_EGB_ACCESORIOS-DE-POLIETILENO_2022_04.pdf" TargetMode="External"/><Relationship Id="rId452" Type="http://schemas.openxmlformats.org/officeDocument/2006/relationships/hyperlink" Target="https://www.egbgroup.com/wp-content/uploads/2022/04/TARIFA_EGB_ACCESORIOS-DE-POLIETILENO_2022_04.pdf" TargetMode="External"/><Relationship Id="rId453" Type="http://schemas.openxmlformats.org/officeDocument/2006/relationships/hyperlink" Target="https://www.egbgroup.com/wp-content/uploads/2022/04/TARIFA_EGB_ACCESORIOS-DE-POLIETILENO_2022_04.pdf" TargetMode="External"/><Relationship Id="rId454" Type="http://schemas.openxmlformats.org/officeDocument/2006/relationships/hyperlink" Target="https://www.egbgroup.com/wp-content/uploads/2022/04/TARIFA_EGB_ACCESORIOS-DE-POLIETILENO_2022_04.pdf" TargetMode="External"/><Relationship Id="rId455" Type="http://schemas.openxmlformats.org/officeDocument/2006/relationships/hyperlink" Target="https://www.egbgroup.com/wp-content/uploads/2022/04/TARIFA_EGB_ACCESORIOS-DE-POLIETILENO_2022_04.pdf" TargetMode="External"/><Relationship Id="rId456" Type="http://schemas.openxmlformats.org/officeDocument/2006/relationships/hyperlink" Target="https://www.egbgroup.com/wp-content/uploads/2022/04/TARIFA_EGB_ACCESORIOS-DE-POLIETILENO_2022_04.pdf" TargetMode="External"/><Relationship Id="rId457" Type="http://schemas.openxmlformats.org/officeDocument/2006/relationships/hyperlink" Target="https://www.egbgroup.com/wp-content/uploads/2022/04/TARIFA_EGB_ACCESORIOS-DE-POLIETILENO_2022_04.pdf" TargetMode="External"/><Relationship Id="rId458" Type="http://schemas.openxmlformats.org/officeDocument/2006/relationships/hyperlink" Target="https://www.egbgroup.com/wp-content/uploads/2022/04/TARIFA_EGB_ACCESORIOS-DE-POLIETILENO_2022_04.pdf" TargetMode="External"/><Relationship Id="rId459" Type="http://schemas.openxmlformats.org/officeDocument/2006/relationships/hyperlink" Target="https://www.egbgroup.com/wp-content/uploads/2022/04/TARIFA_EGB_ACCESORIOS-DE-POLIETILENO_2022_04.pdf" TargetMode="External"/><Relationship Id="rId460" Type="http://schemas.openxmlformats.org/officeDocument/2006/relationships/hyperlink" Target="https://www.egbgroup.com/wp-content/uploads/2022/04/TARIFA_EGB_ACCESORIOS-DE-POLIETILENO_2022_04.pdf" TargetMode="External"/><Relationship Id="rId461" Type="http://schemas.openxmlformats.org/officeDocument/2006/relationships/hyperlink" Target="https://www.egbgroup.com/wp-content/uploads/2022/04/TARIFA_EGB_ACCESORIOS-DE-POLIETILENO_2022_04.pdf" TargetMode="External"/><Relationship Id="rId462" Type="http://schemas.openxmlformats.org/officeDocument/2006/relationships/hyperlink" Target="https://www.egbgroup.com/wp-content/uploads/2022/04/TARIFA_EGB_ACCESORIOS-DE-POLIETILENO_2022_04.pdf" TargetMode="External"/><Relationship Id="rId463" Type="http://schemas.openxmlformats.org/officeDocument/2006/relationships/hyperlink" Target="https://www.egbgroup.com/wp-content/uploads/2022/04/TARIFA_EGB_ACCESORIOS-DE-POLIETILENO_2022_04.pdf" TargetMode="External"/><Relationship Id="rId464" Type="http://schemas.openxmlformats.org/officeDocument/2006/relationships/hyperlink" Target="https://www.egbgroup.com/wp-content/uploads/2022/04/TARIFA_EGB_ACCESORIOS-DE-POLIETILENO_2022_04.pdf" TargetMode="External"/><Relationship Id="rId465" Type="http://schemas.openxmlformats.org/officeDocument/2006/relationships/hyperlink" Target="https://www.egbgroup.com/wp-content/uploads/2022/04/TARIFA_EGB_ACCESORIOS-DE-POLIETILENO_2022_04.pdf" TargetMode="External"/><Relationship Id="rId466" Type="http://schemas.openxmlformats.org/officeDocument/2006/relationships/hyperlink" Target="https://www.egbgroup.com/wp-content/uploads/2022/04/TARIFA_EGB_ACCESORIOS-DE-POLIETILENO_2022_04.pdf" TargetMode="External"/><Relationship Id="rId467" Type="http://schemas.openxmlformats.org/officeDocument/2006/relationships/hyperlink" Target="https://www.egbgroup.com/wp-content/uploads/2022/04/TARIFA_EGB_ACCESORIOS-DE-POLIETILENO_2022_04.pdf" TargetMode="External"/><Relationship Id="rId468" Type="http://schemas.openxmlformats.org/officeDocument/2006/relationships/hyperlink" Target="https://www.egbgroup.com/wp-content/uploads/2022/04/TARIFA_EGB_ACCESORIOS-DE-POLIETILENO_2022_04.pdf" TargetMode="External"/><Relationship Id="rId469" Type="http://schemas.openxmlformats.org/officeDocument/2006/relationships/hyperlink" Target="https://www.egbgroup.com/wp-content/uploads/2022/04/TARIFA_EGB_ACCESORIOS-DE-POLIETILENO_2022_04.pdf" TargetMode="External"/><Relationship Id="rId470" Type="http://schemas.openxmlformats.org/officeDocument/2006/relationships/hyperlink" Target="https://www.egbgroup.com/wp-content/uploads/2022/04/TARIFA_EGB_ACCESORIOS-DE-POLIETILENO_2022_04.pdf" TargetMode="External"/><Relationship Id="rId471" Type="http://schemas.openxmlformats.org/officeDocument/2006/relationships/hyperlink" Target="https://www.egbgroup.com/wp-content/uploads/2022/04/TARIFA_EGB_ACCESORIOS-DE-POLIETILENO_2022_04.pdf" TargetMode="External"/><Relationship Id="rId472" Type="http://schemas.openxmlformats.org/officeDocument/2006/relationships/hyperlink" Target="https://www.egbgroup.com/wp-content/uploads/2022/04/TARIFA_EGB_ACCESORIOS-DE-POLIETILENO_2022_04.pdf" TargetMode="External"/><Relationship Id="rId473" Type="http://schemas.openxmlformats.org/officeDocument/2006/relationships/hyperlink" Target="https://www.egbgroup.com/wp-content/uploads/2022/04/TARIFA_EGB_ACCESORIOS-DE-POLIETILENO_2022_04.pdf" TargetMode="External"/><Relationship Id="rId474" Type="http://schemas.openxmlformats.org/officeDocument/2006/relationships/hyperlink" Target="https://www.egbgroup.com/wp-content/uploads/2022/04/TARIFA_EGB_ACCESORIOS-DE-POLIETILENO_2022_04.pdf" TargetMode="External"/><Relationship Id="rId475" Type="http://schemas.openxmlformats.org/officeDocument/2006/relationships/hyperlink" Target="https://www.egbgroup.com/wp-content/uploads/2022/04/TARIFA_EGB_ACCESORIOS-DE-POLIETILENO_2022_04.pdf" TargetMode="External"/><Relationship Id="rId476" Type="http://schemas.openxmlformats.org/officeDocument/2006/relationships/hyperlink" Target="https://www.egbgroup.com/wp-content/uploads/2022/04/TARIFA_EGB_ACCESORIOS-DE-POLIETILENO_2022_04.pdf" TargetMode="External"/><Relationship Id="rId477" Type="http://schemas.openxmlformats.org/officeDocument/2006/relationships/hyperlink" Target="https://www.egbgroup.com/wp-content/uploads/2022/04/TARIFA_EGB_ACCESORIOS-DE-POLIETILENO_2022_04.pdf" TargetMode="External"/><Relationship Id="rId478" Type="http://schemas.openxmlformats.org/officeDocument/2006/relationships/hyperlink" Target="https://www.egbgroup.com/wp-content/uploads/2022/04/TARIFA_EGB_ACCESORIOS-DE-POLIETILENO_2022_04.pdf" TargetMode="External"/><Relationship Id="rId479" Type="http://schemas.openxmlformats.org/officeDocument/2006/relationships/hyperlink" Target="https://www.egbgroup.com/wp-content/uploads/2022/04/TARIFA_EGB_ACCESORIOS-DE-POLIETILENO_2022_04.pdf" TargetMode="External"/><Relationship Id="rId480" Type="http://schemas.openxmlformats.org/officeDocument/2006/relationships/hyperlink" Target="https://www.egbgroup.com/wp-content/uploads/2022/04/TARIFA_EGB_ACCESORIOS-DE-POLIETILENO_2022_04.pdf" TargetMode="External"/><Relationship Id="rId481" Type="http://schemas.openxmlformats.org/officeDocument/2006/relationships/hyperlink" Target="https://www.egbgroup.com/wp-content/uploads/2022/04/TARIFA_EGB_ACCESORIOS-DE-POLIETILENO_2022_04.pdf" TargetMode="External"/><Relationship Id="rId482" Type="http://schemas.openxmlformats.org/officeDocument/2006/relationships/hyperlink" Target="https://www.egbgroup.com/wp-content/uploads/2022/04/TARIFA_EGB_ACCESORIOS-DE-POLIETILENO_2022_04.pdf" TargetMode="External"/><Relationship Id="rId483" Type="http://schemas.openxmlformats.org/officeDocument/2006/relationships/hyperlink" Target="https://www.egbgroup.com/wp-content/uploads/2022/04/TARIFA_EGB_ACCESORIOS-DE-POLIETILENO_2022_04.pdf" TargetMode="External"/><Relationship Id="rId484" Type="http://schemas.openxmlformats.org/officeDocument/2006/relationships/hyperlink" Target="https://www.egbgroup.com/wp-content/uploads/2022/04/TARIFA_EGB_ACCESORIOS-DE-POLIETILENO_2022_04.pdf" TargetMode="External"/><Relationship Id="rId485" Type="http://schemas.openxmlformats.org/officeDocument/2006/relationships/hyperlink" Target="https://www.egbgroup.com/wp-content/uploads/2022/04/TARIFA_EGB_ACCESORIOS-DE-POLIETILENO_2022_04.pdf" TargetMode="External"/><Relationship Id="rId486" Type="http://schemas.openxmlformats.org/officeDocument/2006/relationships/hyperlink" Target="https://www.egbgroup.com/wp-content/uploads/2022/04/TARIFA_EGB_ACCESORIOS-DE-POLIETILENO_2022_04.pdf" TargetMode="External"/><Relationship Id="rId487" Type="http://schemas.openxmlformats.org/officeDocument/2006/relationships/hyperlink" Target="https://www.egbgroup.com/wp-content/uploads/2022/04/TARIFA_EGB_ACCESORIOS-DE-POLIETILENO_2022_04.pdf" TargetMode="External"/><Relationship Id="rId488" Type="http://schemas.openxmlformats.org/officeDocument/2006/relationships/hyperlink" Target="https://www.egbgroup.com/wp-content/uploads/2022/04/TARIFA_EGB_ACCESORIOS-DE-POLIETILENO_2022_04.pdf" TargetMode="External"/><Relationship Id="rId489" Type="http://schemas.openxmlformats.org/officeDocument/2006/relationships/hyperlink" Target="https://www.egbgroup.com/wp-content/uploads/2022/04/TARIFA_EGB_ACCESORIOS-DE-POLIETILENO_2022_04.pdf" TargetMode="External"/><Relationship Id="rId490" Type="http://schemas.openxmlformats.org/officeDocument/2006/relationships/hyperlink" Target="https://www.egbgroup.com/wp-content/uploads/2022/04/TARIFA_EGB_ACCESORIOS-DE-POLIETILENO_2022_04.pdf" TargetMode="External"/><Relationship Id="rId491" Type="http://schemas.openxmlformats.org/officeDocument/2006/relationships/hyperlink" Target="https://www.egbgroup.com/wp-content/uploads/2022/04/TARIFA_EGB_ACCESORIOS-DE-POLIETILENO_2022_04.pdf" TargetMode="External"/><Relationship Id="rId492" Type="http://schemas.openxmlformats.org/officeDocument/2006/relationships/hyperlink" Target="https://www.egbgroup.com/wp-content/uploads/2022/04/TARIFA_EGB_ACCESORIOS-DE-POLIETILENO_2022_04.pdf" TargetMode="External"/><Relationship Id="rId493" Type="http://schemas.openxmlformats.org/officeDocument/2006/relationships/hyperlink" Target="https://www.egbgroup.com/wp-content/uploads/2022/04/TARIFA_EGB_ACCESORIOS-DE-POLIETILENO_2022_04.pdf" TargetMode="External"/><Relationship Id="rId494" Type="http://schemas.openxmlformats.org/officeDocument/2006/relationships/hyperlink" Target="https://www.egbgroup.com/wp-content/uploads/2022/04/TARIFA_EGB_ACCESORIOS-DE-POLIETILENO_2022_04.pdf" TargetMode="External"/><Relationship Id="rId495" Type="http://schemas.openxmlformats.org/officeDocument/2006/relationships/hyperlink" Target="https://www.egbgroup.com/wp-content/uploads/2022/04/TARIFA_EGB_ACCESORIOS-DE-POLIETILENO_2022_04.pdf" TargetMode="External"/><Relationship Id="rId496" Type="http://schemas.openxmlformats.org/officeDocument/2006/relationships/hyperlink" Target="https://www.egbgroup.com/wp-content/uploads/2022/04/TARIFA_EGB_ACCESORIOS-DE-POLIETILENO_2022_04.pdf" TargetMode="External"/><Relationship Id="rId497" Type="http://schemas.openxmlformats.org/officeDocument/2006/relationships/hyperlink" Target="https://www.egbgroup.com/wp-content/uploads/2022/04/TARIFA_EGB_ACCESORIOS-DE-POLIETILENO_2022_04.pdf" TargetMode="External"/><Relationship Id="rId498" Type="http://schemas.openxmlformats.org/officeDocument/2006/relationships/hyperlink" Target="https://www.egbgroup.com/wp-content/uploads/2022/04/TARIFA_EGB_ACCESORIOS-DE-POLIETILENO_2022_04.pdf" TargetMode="External"/><Relationship Id="rId499" Type="http://schemas.openxmlformats.org/officeDocument/2006/relationships/hyperlink" Target="https://www.egbgroup.com/wp-content/uploads/2022/04/TARIFA_EGB_ACCESORIOS-DE-POLIETILENO_2022_04.pdf" TargetMode="External"/><Relationship Id="rId500" Type="http://schemas.openxmlformats.org/officeDocument/2006/relationships/hyperlink" Target="https://www.egbgroup.com/wp-content/uploads/2022/04/TARIFA_EGB_ACCESORIOS-DE-POLIETILENO_2022_04.pdf" TargetMode="External"/><Relationship Id="rId501" Type="http://schemas.openxmlformats.org/officeDocument/2006/relationships/hyperlink" Target="https://www.egbgroup.com/wp-content/uploads/2022/04/TARIFA_EGB_ACCESORIOS-DE-POLIETILENO_2022_04.pdf" TargetMode="External"/><Relationship Id="rId502" Type="http://schemas.openxmlformats.org/officeDocument/2006/relationships/hyperlink" Target="https://www.egbgroup.com/wp-content/uploads/2022/04/TARIFA_EGB_ACCESORIOS-DE-POLIETILENO_2022_04.pdf" TargetMode="External"/><Relationship Id="rId503" Type="http://schemas.openxmlformats.org/officeDocument/2006/relationships/hyperlink" Target="https://www.egbgroup.com/wp-content/uploads/2022/04/TARIFA_EGB_ACCESORIOS-DE-POLIETILENO_2022_04.pdf" TargetMode="External"/><Relationship Id="rId504" Type="http://schemas.openxmlformats.org/officeDocument/2006/relationships/hyperlink" Target="https://www.egbgroup.com/wp-content/uploads/2022/04/TARIFA_EGB_ACCESORIOS-DE-POLIETILENO_2022_04.pdf" TargetMode="External"/><Relationship Id="rId505" Type="http://schemas.openxmlformats.org/officeDocument/2006/relationships/hyperlink" Target="https://www.egbgroup.com/wp-content/uploads/2022/04/TARIFA_EGB_ACCESORIOS-DE-POLIETILENO_2022_04.pdf" TargetMode="External"/><Relationship Id="rId506" Type="http://schemas.openxmlformats.org/officeDocument/2006/relationships/hyperlink" Target="https://www.egbgroup.com/wp-content/uploads/2022/04/TARIFA_EGB_ACCESORIOS-DE-POLIETILENO_2022_04.pdf" TargetMode="External"/><Relationship Id="rId507" Type="http://schemas.openxmlformats.org/officeDocument/2006/relationships/hyperlink" Target="https://www.egbgroup.com/wp-content/uploads/2022/04/TARIFA_EGB_ACCESORIOS-DE-POLIETILENO_2022_04.pdf" TargetMode="External"/><Relationship Id="rId508" Type="http://schemas.openxmlformats.org/officeDocument/2006/relationships/hyperlink" Target="https://www.egbgroup.com/wp-content/uploads/2022/04/TARIFA_EGB_ACCESORIOS-DE-POLIETILENO_2022_04.pdf" TargetMode="External"/><Relationship Id="rId509" Type="http://schemas.openxmlformats.org/officeDocument/2006/relationships/hyperlink" Target="https://www.egbgroup.com/wp-content/uploads/2022/04/TARIFA_EGB_ACCESORIOS-DE-POLIETILENO_2022_04.pdf" TargetMode="External"/><Relationship Id="rId510" Type="http://schemas.openxmlformats.org/officeDocument/2006/relationships/hyperlink" Target="https://www.egbgroup.com/wp-content/uploads/2022/04/TARIFA_EGB_ACCESORIOS-DE-POLIETILENO_2022_04.pdf" TargetMode="External"/><Relationship Id="rId511" Type="http://schemas.openxmlformats.org/officeDocument/2006/relationships/hyperlink" Target="https://www.egbgroup.com/wp-content/uploads/2022/04/TARIFA_EGB_ACCESORIOS-DE-POLIETILENO_2022_04.pdf" TargetMode="External"/><Relationship Id="rId512" Type="http://schemas.openxmlformats.org/officeDocument/2006/relationships/hyperlink" Target="https://www.egbgroup.com/wp-content/uploads/2022/04/TARIFA_EGB_ACCESORIOS-DE-POLIETILENO_2022_04.pdf" TargetMode="External"/><Relationship Id="rId513" Type="http://schemas.openxmlformats.org/officeDocument/2006/relationships/hyperlink" Target="https://www.egbgroup.com/wp-content/uploads/2022/04/TARIFA_EGB_ACCESORIOS-DE-POLIETILENO_2022_04.pdf" TargetMode="External"/><Relationship Id="rId514" Type="http://schemas.openxmlformats.org/officeDocument/2006/relationships/hyperlink" Target="https://www.egbgroup.com/wp-content/uploads/2022/04/TARIFA_EGB_ACCESORIOS-DE-POLIETILENO_2022_04.pdf" TargetMode="External"/><Relationship Id="rId515" Type="http://schemas.openxmlformats.org/officeDocument/2006/relationships/hyperlink" Target="https://www.egbgroup.com/wp-content/uploads/2022/04/TARIFA_EGB_ACCESORIOS-DE-POLIETILENO_2022_04.pdf" TargetMode="External"/><Relationship Id="rId516" Type="http://schemas.openxmlformats.org/officeDocument/2006/relationships/hyperlink" Target="https://www.egbgroup.com/wp-content/uploads/2022/04/TARIFA_EGB_ACCESORIOS-DE-POLIETILENO_2022_04.pdf" TargetMode="External"/><Relationship Id="rId517" Type="http://schemas.openxmlformats.org/officeDocument/2006/relationships/hyperlink" Target="https://www.egbgroup.com/wp-content/uploads/2022/04/TARIFA_EGB_ACCESORIOS-DE-POLIETILENO_2022_04.pdf" TargetMode="External"/><Relationship Id="rId518" Type="http://schemas.openxmlformats.org/officeDocument/2006/relationships/hyperlink" Target="https://www.egbgroup.com/wp-content/uploads/2022/04/TARIFA_EGB_ACCESORIOS-DE-POLIETILENO_2022_04.pdf" TargetMode="External"/><Relationship Id="rId519" Type="http://schemas.openxmlformats.org/officeDocument/2006/relationships/hyperlink" Target="https://www.egbgroup.com/wp-content/uploads/2022/04/TARIFA_EGB_ACCESORIOS-DE-POLIETILENO_2022_04.pdf" TargetMode="External"/><Relationship Id="rId520" Type="http://schemas.openxmlformats.org/officeDocument/2006/relationships/hyperlink" Target="https://www.egbgroup.com/wp-content/uploads/2022/04/TARIFA_EGB_ACCESORIOS-DE-POLIETILENO_2022_04.pdf" TargetMode="External"/><Relationship Id="rId521" Type="http://schemas.openxmlformats.org/officeDocument/2006/relationships/hyperlink" Target="https://www.egbgroup.com/wp-content/uploads/2022/04/TARIFA_EGB_ACCESORIOS-DE-POLIETILENO_2022_04.pdf" TargetMode="External"/><Relationship Id="rId522" Type="http://schemas.openxmlformats.org/officeDocument/2006/relationships/hyperlink" Target="https://www.egbgroup.com/wp-content/uploads/2022/04/TARIFA_EGB_ACCESORIOS-DE-POLIETILENO_2022_04.pdf" TargetMode="External"/><Relationship Id="rId523" Type="http://schemas.openxmlformats.org/officeDocument/2006/relationships/hyperlink" Target="https://www.egbgroup.com/wp-content/uploads/2022/04/TARIFA_EGB_ACCESORIOS-DE-POLIETILENO_2022_04.pdf" TargetMode="External"/><Relationship Id="rId524" Type="http://schemas.openxmlformats.org/officeDocument/2006/relationships/hyperlink" Target="https://www.egbgroup.com/wp-content/uploads/2022/04/TARIFA_EGB_ACCESORIOS-DE-POLIETILENO_2022_04.pdf" TargetMode="External"/><Relationship Id="rId525" Type="http://schemas.openxmlformats.org/officeDocument/2006/relationships/hyperlink" Target="https://www.egbgroup.com/wp-content/uploads/2022/04/TARIFA_EGB_ACCESORIOS-DE-POLIETILENO_2022_04.pdf" TargetMode="External"/><Relationship Id="rId526" Type="http://schemas.openxmlformats.org/officeDocument/2006/relationships/hyperlink" Target="https://www.egbgroup.com/wp-content/uploads/2022/04/TARIFA_EGB_ACCESORIOS-DE-POLIETILENO_2022_04.pdf" TargetMode="External"/><Relationship Id="rId527" Type="http://schemas.openxmlformats.org/officeDocument/2006/relationships/hyperlink" Target="https://www.egbgroup.com/wp-content/uploads/2022/04/TARIFA_EGB_ACCESORIOS-DE-POLIETILENO_2022_04.pdf" TargetMode="External"/><Relationship Id="rId528" Type="http://schemas.openxmlformats.org/officeDocument/2006/relationships/hyperlink" Target="https://www.egbgroup.com/wp-content/uploads/2022/04/TARIFA_EGB_ACCESORIOS-DE-POLIETILENO_2022_04.pdf" TargetMode="External"/><Relationship Id="rId529" Type="http://schemas.openxmlformats.org/officeDocument/2006/relationships/hyperlink" Target="https://www.egbgroup.com/wp-content/uploads/2022/04/TARIFA_EGB_ACCESORIOS-DE-POLIETILENO_2022_04.pdf" TargetMode="External"/><Relationship Id="rId530" Type="http://schemas.openxmlformats.org/officeDocument/2006/relationships/hyperlink" Target="https://www.egbgroup.com/wp-content/uploads/2022/04/TARIFA_EGB_ACCESORIOS-DE-POLIETILENO_2022_04.pdf" TargetMode="External"/><Relationship Id="rId531" Type="http://schemas.openxmlformats.org/officeDocument/2006/relationships/hyperlink" Target="https://www.egbgroup.com/wp-content/uploads/2022/04/TARIFA_EGB_ACCESORIOS-DE-POLIETILENO_2022_04.pdf" TargetMode="External"/><Relationship Id="rId532" Type="http://schemas.openxmlformats.org/officeDocument/2006/relationships/hyperlink" Target="https://www.egbgroup.com/wp-content/uploads/2022/04/TARIFA_EGB_ACCESORIOS-DE-POLIETILENO_2022_04.pdf" TargetMode="External"/><Relationship Id="rId533" Type="http://schemas.openxmlformats.org/officeDocument/2006/relationships/hyperlink" Target="https://www.egbgroup.com/wp-content/uploads/2022/04/TARIFA_EGB_ACCESORIOS-DE-POLIETILENO_2022_04.pdf" TargetMode="External"/><Relationship Id="rId534" Type="http://schemas.openxmlformats.org/officeDocument/2006/relationships/hyperlink" Target="https://www.egbgroup.com/wp-content/uploads/2022/04/TARIFA_EGB_ACCESORIOS-DE-POLIETILENO_2022_04.pdf" TargetMode="External"/><Relationship Id="rId535" Type="http://schemas.openxmlformats.org/officeDocument/2006/relationships/hyperlink" Target="https://www.egbgroup.com/wp-content/uploads/2022/04/TARIFA_EGB_ACCESORIOS-DE-POLIETILENO_2022_04.pdf" TargetMode="External"/><Relationship Id="rId536" Type="http://schemas.openxmlformats.org/officeDocument/2006/relationships/hyperlink" Target="https://www.egbgroup.com/wp-content/uploads/2022/04/TARIFA_EGB_ACCESORIOS-DE-POLIETILENO_2022_04.pdf" TargetMode="External"/><Relationship Id="rId537" Type="http://schemas.openxmlformats.org/officeDocument/2006/relationships/hyperlink" Target="https://www.egbgroup.com/wp-content/uploads/2022/04/TARIFA_EGB_ACCESORIOS-DE-POLIETILENO_2022_04.pdf" TargetMode="External"/><Relationship Id="rId538" Type="http://schemas.openxmlformats.org/officeDocument/2006/relationships/hyperlink" Target="https://www.egbgroup.com/wp-content/uploads/2022/04/TARIFA_EGB_ACCESORIOS-DE-POLIETILENO_2022_04.pdf" TargetMode="External"/><Relationship Id="rId539" Type="http://schemas.openxmlformats.org/officeDocument/2006/relationships/hyperlink" Target="https://www.egbgroup.com/wp-content/uploads/2022/04/TARIFA_EGB_ACCESORIOS-DE-POLIETILENO_2022_04.pdf" TargetMode="External"/><Relationship Id="rId540" Type="http://schemas.openxmlformats.org/officeDocument/2006/relationships/hyperlink" Target="https://www.egbgroup.com/wp-content/uploads/2022/04/TARIFA_EGB_ACCESORIOS-DE-POLIETILENO_2022_04.pdf" TargetMode="External"/><Relationship Id="rId541" Type="http://schemas.openxmlformats.org/officeDocument/2006/relationships/hyperlink" Target="https://www.egbgroup.com/wp-content/uploads/2022/04/TARIFA_EGB_ACCESORIOS-DE-POLIETILENO_2022_04.pdf" TargetMode="External"/><Relationship Id="rId542" Type="http://schemas.openxmlformats.org/officeDocument/2006/relationships/hyperlink" Target="https://www.egbgroup.com/wp-content/uploads/2022/04/TARIFA_EGB_ACCESORIOS-DE-POLIETILENO_2022_04.pdf" TargetMode="External"/><Relationship Id="rId543" Type="http://schemas.openxmlformats.org/officeDocument/2006/relationships/hyperlink" Target="https://www.egbgroup.com/wp-content/uploads/2022/04/TARIFA_EGB_ACCESORIOS-DE-POLIETILENO_2022_04.pdf" TargetMode="External"/><Relationship Id="rId544" Type="http://schemas.openxmlformats.org/officeDocument/2006/relationships/hyperlink" Target="https://www.egbgroup.com/wp-content/uploads/2022/04/TARIFA_EGB_ACCESORIOS-DE-POLIETILENO_2022_04.pdf" TargetMode="External"/><Relationship Id="rId545" Type="http://schemas.openxmlformats.org/officeDocument/2006/relationships/hyperlink" Target="https://www.egbgroup.com/wp-content/uploads/2022/04/TARIFA_EGB_ACCESORIOS-DE-POLIETILENO_2022_04.pdf" TargetMode="External"/><Relationship Id="rId546" Type="http://schemas.openxmlformats.org/officeDocument/2006/relationships/hyperlink" Target="https://www.egbgroup.com/wp-content/uploads/2022/04/TARIFA_EGB_ACCESORIOS-DE-POLIETILENO_2022_04.pdf" TargetMode="External"/><Relationship Id="rId547" Type="http://schemas.openxmlformats.org/officeDocument/2006/relationships/hyperlink" Target="https://www.egbgroup.com/wp-content/uploads/2022/04/TARIFA_EGB_ACCESORIOS-DE-POLIETILENO_2022_04.pdf" TargetMode="External"/><Relationship Id="rId548" Type="http://schemas.openxmlformats.org/officeDocument/2006/relationships/hyperlink" Target="https://www.egbgroup.com/wp-content/uploads/2022/04/TARIFA_EGB_ACCESORIOS-DE-POLIETILENO_2022_04.pdf" TargetMode="External"/><Relationship Id="rId549" Type="http://schemas.openxmlformats.org/officeDocument/2006/relationships/hyperlink" Target="https://www.egbgroup.com/wp-content/uploads/2022/04/TARIFA_EGB_ACCESORIOS-DE-POLIETILENO_2022_04.pdf" TargetMode="External"/><Relationship Id="rId550" Type="http://schemas.openxmlformats.org/officeDocument/2006/relationships/hyperlink" Target="https://www.egbgroup.com/wp-content/uploads/2022/04/TARIFA_EGB_ACCESORIOS-DE-POLIETILENO_2022_04.pdf" TargetMode="External"/><Relationship Id="rId551" Type="http://schemas.openxmlformats.org/officeDocument/2006/relationships/hyperlink" Target="https://www.egbgroup.com/wp-content/uploads/2022/04/TARIFA_EGB_ACCESORIOS-DE-POLIETILENO_2022_04.pdf" TargetMode="External"/><Relationship Id="rId552" Type="http://schemas.openxmlformats.org/officeDocument/2006/relationships/hyperlink" Target="https://www.egbgroup.com/wp-content/uploads/2022/04/TARIFA_EGB_ACCESORIOS-DE-POLIETILENO_2022_04.pdf" TargetMode="External"/><Relationship Id="rId553" Type="http://schemas.openxmlformats.org/officeDocument/2006/relationships/hyperlink" Target="https://www.egbgroup.com/wp-content/uploads/2022/04/TARIFA_EGB_ACCESORIOS-DE-POLIETILENO_2022_04.pdf" TargetMode="External"/><Relationship Id="rId554" Type="http://schemas.openxmlformats.org/officeDocument/2006/relationships/hyperlink" Target="https://www.egbgroup.com/wp-content/uploads/2022/04/TARIFA_EGB_ACCESORIOS-DE-POLIETILENO_2022_04.pdf" TargetMode="External"/><Relationship Id="rId555" Type="http://schemas.openxmlformats.org/officeDocument/2006/relationships/hyperlink" Target="https://www.egbgroup.com/wp-content/uploads/2022/04/TARIFA_EGB_ACCESORIOS-DE-POLIETILENO_2022_04.pdf" TargetMode="External"/><Relationship Id="rId556" Type="http://schemas.openxmlformats.org/officeDocument/2006/relationships/hyperlink" Target="https://www.egbgroup.com/wp-content/uploads/2022/04/TARIFA_EGB_ACCESORIOS-DE-POLIETILENO_2022_04.pdf" TargetMode="External"/><Relationship Id="rId557" Type="http://schemas.openxmlformats.org/officeDocument/2006/relationships/hyperlink" Target="https://www.egbgroup.com/wp-content/uploads/2022/04/TARIFA_EGB_ACCESORIOS-DE-POLIETILENO_2022_04.pdf" TargetMode="External"/><Relationship Id="rId558" Type="http://schemas.openxmlformats.org/officeDocument/2006/relationships/hyperlink" Target="https://www.egbgroup.com/wp-content/uploads/2022/04/TARIFA_EGB_ACCESORIOS-DE-POLIETILENO_2022_04.pdf" TargetMode="External"/><Relationship Id="rId559" Type="http://schemas.openxmlformats.org/officeDocument/2006/relationships/hyperlink" Target="https://www.egbgroup.com/wp-content/uploads/2022/04/TARIFA_EGB_ACCESORIOS-DE-POLIETILENO_2022_04.pdf" TargetMode="External"/><Relationship Id="rId560" Type="http://schemas.openxmlformats.org/officeDocument/2006/relationships/hyperlink" Target="https://www.egbgroup.com/wp-content/uploads/2022/04/TARIFA_EGB_ACCESORIOS-DE-POLIETILENO_2022_04.pdf" TargetMode="External"/><Relationship Id="rId561" Type="http://schemas.openxmlformats.org/officeDocument/2006/relationships/hyperlink" Target="https://www.egbgroup.com/wp-content/uploads/2022/04/TARIFA_EGB_ACCESORIOS-DE-POLIETILENO_2022_04.pdf" TargetMode="External"/><Relationship Id="rId562" Type="http://schemas.openxmlformats.org/officeDocument/2006/relationships/hyperlink" Target="https://www.egbgroup.com/wp-content/uploads/2022/04/TARIFA_EGB_ACCESORIOS-DE-POLIETILENO_2022_04.pdf" TargetMode="External"/><Relationship Id="rId563" Type="http://schemas.openxmlformats.org/officeDocument/2006/relationships/hyperlink" Target="https://www.egbgroup.com/wp-content/uploads/2022/04/TARIFA_EGB_ACCESORIOS-DE-POLIETILENO_2022_04.pdf" TargetMode="External"/><Relationship Id="rId564" Type="http://schemas.openxmlformats.org/officeDocument/2006/relationships/hyperlink" Target="https://www.egbgroup.com/wp-content/uploads/2022/04/TARIFA_EGB_ACCESORIOS-DE-POLIETILENO_2022_04.pdf" TargetMode="External"/><Relationship Id="rId565" Type="http://schemas.openxmlformats.org/officeDocument/2006/relationships/hyperlink" Target="https://www.egbgroup.com/wp-content/uploads/2022/04/TARIFA_EGB_ACCESORIOS-DE-POLIETILENO_2022_04.pdf" TargetMode="External"/><Relationship Id="rId566" Type="http://schemas.openxmlformats.org/officeDocument/2006/relationships/hyperlink" Target="https://www.egbgroup.com/wp-content/uploads/2022/04/TARIFA_EGB_ACCESORIOS-DE-POLIETILENO_2022_04.pdf" TargetMode="External"/><Relationship Id="rId567" Type="http://schemas.openxmlformats.org/officeDocument/2006/relationships/hyperlink" Target="https://www.egbgroup.com/wp-content/uploads/2022/04/TARIFA_EGB_ACCESORIOS-DE-POLIETILENO_2022_04.pdf" TargetMode="External"/><Relationship Id="rId568" Type="http://schemas.openxmlformats.org/officeDocument/2006/relationships/hyperlink" Target="https://www.egbgroup.com/wp-content/uploads/2022/04/TARIFA_EGB_ACCESORIOS-DE-POLIETILENO_2022_04.pdf" TargetMode="External"/><Relationship Id="rId569" Type="http://schemas.openxmlformats.org/officeDocument/2006/relationships/hyperlink" Target="https://www.egbgroup.com/wp-content/uploads/2022/04/TARIFA_EGB_ACCESORIOS-DE-POLIETILENO_2022_04.pdf" TargetMode="External"/><Relationship Id="rId570" Type="http://schemas.openxmlformats.org/officeDocument/2006/relationships/hyperlink" Target="https://www.egbgroup.com/wp-content/uploads/2022/04/TARIFA_EGB_ACCESORIOS-DE-POLIETILENO_2022_04.pdf" TargetMode="External"/><Relationship Id="rId571" Type="http://schemas.openxmlformats.org/officeDocument/2006/relationships/hyperlink" Target="https://www.egbgroup.com/wp-content/uploads/2022/04/TARIFA_EGB_ACCESORIOS-DE-POLIETILENO_2022_04.pdf" TargetMode="External"/><Relationship Id="rId572" Type="http://schemas.openxmlformats.org/officeDocument/2006/relationships/hyperlink" Target="https://www.egbgroup.com/wp-content/uploads/2022/04/TARIFA_EGB_ACCESORIOS-DE-POLIETILENO_2022_04.pdf" TargetMode="External"/><Relationship Id="rId573" Type="http://schemas.openxmlformats.org/officeDocument/2006/relationships/hyperlink" Target="https://www.egbgroup.com/wp-content/uploads/2022/04/TARIFA_EGB_ACCESORIOS-DE-POLIETILENO_2022_04.pdf" TargetMode="External"/><Relationship Id="rId574" Type="http://schemas.openxmlformats.org/officeDocument/2006/relationships/hyperlink" Target="https://www.egbgroup.com/wp-content/uploads/2022/04/TARIFA_EGB_ACCESORIOS-DE-POLIETILENO_2022_04.pdf" TargetMode="External"/><Relationship Id="rId575" Type="http://schemas.openxmlformats.org/officeDocument/2006/relationships/hyperlink" Target="https://www.egbgroup.com/wp-content/uploads/2022/04/TARIFA_EGB_ACCESORIOS-DE-POLIETILENO_2022_04.pdf" TargetMode="External"/><Relationship Id="rId576" Type="http://schemas.openxmlformats.org/officeDocument/2006/relationships/hyperlink" Target="https://www.egbgroup.com/wp-content/uploads/2022/04/TARIFA_EGB_ACCESORIOS-DE-POLIETILENO_2022_04.pdf" TargetMode="External"/><Relationship Id="rId577" Type="http://schemas.openxmlformats.org/officeDocument/2006/relationships/hyperlink" Target="https://www.egbgroup.com/wp-content/uploads/2022/04/TARIFA_EGB_ACCESORIOS-DE-POLIETILENO_2022_04.pdf" TargetMode="External"/><Relationship Id="rId578" Type="http://schemas.openxmlformats.org/officeDocument/2006/relationships/hyperlink" Target="https://www.egbgroup.com/wp-content/uploads/2022/04/TARIFA_EGB_ACCESORIOS-DE-POLIETILENO_2022_04.pdf" TargetMode="External"/><Relationship Id="rId579" Type="http://schemas.openxmlformats.org/officeDocument/2006/relationships/hyperlink" Target="https://www.egbgroup.com/wp-content/uploads/2022/04/TARIFA_EGB_ACCESORIOS-DE-POLIETILENO_2022_04.pdf" TargetMode="External"/><Relationship Id="rId580" Type="http://schemas.openxmlformats.org/officeDocument/2006/relationships/hyperlink" Target="https://www.egbgroup.com/wp-content/uploads/2022/04/TARIFA_EGB_ACCESORIOS-DE-POLIETILENO_2022_04.pdf" TargetMode="External"/><Relationship Id="rId581" Type="http://schemas.openxmlformats.org/officeDocument/2006/relationships/hyperlink" Target="https://www.egbgroup.com/wp-content/uploads/2022/04/TARIFA_EGB_ACCESORIOS-DE-POLIETILENO_2022_04.pdf" TargetMode="External"/><Relationship Id="rId582" Type="http://schemas.openxmlformats.org/officeDocument/2006/relationships/hyperlink" Target="https://www.egbgroup.com/wp-content/uploads/2022/04/TARIFA_EGB_ACCESORIOS-DE-POLIETILENO_2022_04.pdf" TargetMode="External"/><Relationship Id="rId583" Type="http://schemas.openxmlformats.org/officeDocument/2006/relationships/hyperlink" Target="https://www.egbgroup.com/wp-content/uploads/2022/04/TARIFA_EGB_ACCESORIOS-DE-POLIETILENO_2022_04.pdf" TargetMode="External"/><Relationship Id="rId584" Type="http://schemas.openxmlformats.org/officeDocument/2006/relationships/hyperlink" Target="https://www.egbgroup.com/wp-content/uploads/2022/04/TARIFA_EGB_ACCESORIOS-DE-POLIETILENO_2022_04.pdf" TargetMode="External"/><Relationship Id="rId585" Type="http://schemas.openxmlformats.org/officeDocument/2006/relationships/hyperlink" Target="https://www.egbgroup.com/wp-content/uploads/2022/04/TARIFA_EGB_ACCESORIOS-DE-POLIETILENO_2022_04.pdf" TargetMode="External"/><Relationship Id="rId586" Type="http://schemas.openxmlformats.org/officeDocument/2006/relationships/hyperlink" Target="https://www.egbgroup.com/wp-content/uploads/2022/04/TARIFA_EGB_ACCESORIOS-DE-POLIETILENO_2022_04.pdf" TargetMode="External"/><Relationship Id="rId587" Type="http://schemas.openxmlformats.org/officeDocument/2006/relationships/hyperlink" Target="https://www.egbgroup.com/wp-content/uploads/2022/04/TARIFA_EGB_ACCESORIOS-DE-POLIETILENO_2022_04.pdf" TargetMode="External"/><Relationship Id="rId588" Type="http://schemas.openxmlformats.org/officeDocument/2006/relationships/hyperlink" Target="https://www.egbgroup.com/wp-content/uploads/2022/04/TARIFA_EGB_ACCESORIOS-DE-POLIETILENO_2022_04.pdf" TargetMode="External"/><Relationship Id="rId589" Type="http://schemas.openxmlformats.org/officeDocument/2006/relationships/hyperlink" Target="https://www.egbgroup.com/wp-content/uploads/2022/04/TARIFA_EGB_ACCESORIOS-DE-POLIETILENO_2022_04.pdf" TargetMode="External"/><Relationship Id="rId590" Type="http://schemas.openxmlformats.org/officeDocument/2006/relationships/hyperlink" Target="https://www.egbgroup.com/wp-content/uploads/2022/04/TARIFA_EGB_ACCESORIOS-DE-POLIETILENO_2022_04.pdf" TargetMode="External"/><Relationship Id="rId591" Type="http://schemas.openxmlformats.org/officeDocument/2006/relationships/hyperlink" Target="https://www.egbgroup.com/wp-content/uploads/2022/04/TARIFA_EGB_ACCESORIOS-DE-POLIETILENO_2022_04.pdf" TargetMode="External"/><Relationship Id="rId592" Type="http://schemas.openxmlformats.org/officeDocument/2006/relationships/hyperlink" Target="https://www.egbgroup.com/wp-content/uploads/2022/04/TARIFA_EGB_ACCESORIOS-DE-POLIETILENO_2022_04.pdf" TargetMode="External"/><Relationship Id="rId593" Type="http://schemas.openxmlformats.org/officeDocument/2006/relationships/hyperlink" Target="https://www.egbgroup.com/wp-content/uploads/2022/04/TARIFA_EGB_ACCESORIOS-DE-POLIETILENO_2022_04.pdf" TargetMode="External"/><Relationship Id="rId594" Type="http://schemas.openxmlformats.org/officeDocument/2006/relationships/hyperlink" Target="https://www.egbgroup.com/wp-content/uploads/2022/04/TARIFA_EGB_ACCESORIOS-DE-POLIETILENO_2022_04.pdf" TargetMode="External"/><Relationship Id="rId595" Type="http://schemas.openxmlformats.org/officeDocument/2006/relationships/hyperlink" Target="https://www.egbgroup.com/wp-content/uploads/2022/04/TARIFA_EGB_ACCESORIOS-DE-POLIETILENO_2022_04.pdf" TargetMode="External"/><Relationship Id="rId596" Type="http://schemas.openxmlformats.org/officeDocument/2006/relationships/hyperlink" Target="https://www.egbgroup.com/wp-content/uploads/2022/04/TARIFA_EGB_ACCESORIOS-DE-POLIETILENO_2022_04.pdf" TargetMode="External"/><Relationship Id="rId597" Type="http://schemas.openxmlformats.org/officeDocument/2006/relationships/hyperlink" Target="https://www.egbgroup.com/wp-content/uploads/2022/04/TARIFA_EGB_ACCESORIOS-DE-POLIETILENO_2022_04.pdf" TargetMode="External"/><Relationship Id="rId598" Type="http://schemas.openxmlformats.org/officeDocument/2006/relationships/hyperlink" Target="https://www.egbgroup.com/wp-content/uploads/2022/04/TARIFA_EGB_ACCESORIOS-DE-POLIETILENO_2022_04.pdf" TargetMode="External"/><Relationship Id="rId599" Type="http://schemas.openxmlformats.org/officeDocument/2006/relationships/hyperlink" Target="https://www.egbgroup.com/wp-content/uploads/2022/04/TARIFA_EGB_ACCESORIOS-DE-POLIETILENO_2022_04.pdf" TargetMode="External"/><Relationship Id="rId600" Type="http://schemas.openxmlformats.org/officeDocument/2006/relationships/hyperlink" Target="https://www.egbgroup.com/wp-content/uploads/2022/04/TARIFA_EGB_ACCESORIOS-DE-POLIETILENO_2022_04.pdf" TargetMode="External"/><Relationship Id="rId601" Type="http://schemas.openxmlformats.org/officeDocument/2006/relationships/hyperlink" Target="https://www.egbgroup.com/wp-content/uploads/2022/04/TARIFA_EGB_ACCESORIOS-DE-POLIETILENO_2022_04.pdf" TargetMode="External"/><Relationship Id="rId602" Type="http://schemas.openxmlformats.org/officeDocument/2006/relationships/hyperlink" Target="https://www.egbgroup.com/wp-content/uploads/2022/04/TARIFA_EGB_ACCESORIOS-DE-POLIETILENO_2022_04.pdf" TargetMode="External"/><Relationship Id="rId603" Type="http://schemas.openxmlformats.org/officeDocument/2006/relationships/hyperlink" Target="https://www.egbgroup.com/wp-content/uploads/2022/04/TARIFA_EGB_ACCESORIOS-DE-POLIETILENO_2022_04.pdf" TargetMode="External"/><Relationship Id="rId604" Type="http://schemas.openxmlformats.org/officeDocument/2006/relationships/hyperlink" Target="https://www.egbgroup.com/wp-content/uploads/2022/04/TARIFA_EGB_ACCESORIOS-DE-POLIETILENO_2022_04.pdf" TargetMode="External"/><Relationship Id="rId605" Type="http://schemas.openxmlformats.org/officeDocument/2006/relationships/hyperlink" Target="https://www.egbgroup.com/wp-content/uploads/2022/04/TARIFA_EGB_ACCESORIOS-DE-POLIETILENO_2022_04.pdf" TargetMode="External"/><Relationship Id="rId606" Type="http://schemas.openxmlformats.org/officeDocument/2006/relationships/hyperlink" Target="https://www.egbgroup.com/wp-content/uploads/2022/04/TARIFA_EGB_ACCESORIOS-DE-POLIETILENO_2022_04.pdf" TargetMode="External"/><Relationship Id="rId607" Type="http://schemas.openxmlformats.org/officeDocument/2006/relationships/hyperlink" Target="https://www.egbgroup.com/wp-content/uploads/2022/04/TARIFA_EGB_ACCESORIOS-DE-POLIETILENO_2022_04.pdf" TargetMode="External"/><Relationship Id="rId608" Type="http://schemas.openxmlformats.org/officeDocument/2006/relationships/hyperlink" Target="https://www.egbgroup.com/wp-content/uploads/2022/04/TARIFA_EGB_ACCESORIOS-DE-POLIETILENO_2022_04.pdf" TargetMode="External"/><Relationship Id="rId609" Type="http://schemas.openxmlformats.org/officeDocument/2006/relationships/hyperlink" Target="https://www.egbgroup.com/wp-content/uploads/2022/04/TARIFA_EGB_ACCESORIOS-DE-POLIETILENO_2022_04.pdf" TargetMode="External"/><Relationship Id="rId610" Type="http://schemas.openxmlformats.org/officeDocument/2006/relationships/hyperlink" Target="https://www.egbgroup.com/wp-content/uploads/2022/04/TARIFA_EGB_ACCESORIOS-DE-POLIETILENO_2022_04.pdf" TargetMode="External"/><Relationship Id="rId611" Type="http://schemas.openxmlformats.org/officeDocument/2006/relationships/hyperlink" Target="https://www.egbgroup.com/wp-content/uploads/2022/04/TARIFA_EGB_ACCESORIOS-DE-POLIETILENO_2022_04.pdf" TargetMode="External"/><Relationship Id="rId612" Type="http://schemas.openxmlformats.org/officeDocument/2006/relationships/hyperlink" Target="https://www.egbgroup.com/wp-content/uploads/2022/04/TARIFA_EGB_ACCESORIOS-DE-POLIETILENO_2022_04.pdf" TargetMode="External"/><Relationship Id="rId613" Type="http://schemas.openxmlformats.org/officeDocument/2006/relationships/hyperlink" Target="https://www.egbgroup.com/wp-content/uploads/2022/04/TARIFA_EGB_ACCESORIOS-DE-POLIETILENO_2022_04.pdf" TargetMode="External"/><Relationship Id="rId614" Type="http://schemas.openxmlformats.org/officeDocument/2006/relationships/hyperlink" Target="https://www.egbgroup.com/wp-content/uploads/2022/04/TARIFA_EGB_ACCESORIOS-DE-POLIETILENO_2022_04.pdf" TargetMode="External"/><Relationship Id="rId615" Type="http://schemas.openxmlformats.org/officeDocument/2006/relationships/hyperlink" Target="https://www.egbgroup.com/wp-content/uploads/2022/04/TARIFA_EGB_ACCESORIOS-DE-POLIETILENO_2022_04.pdf" TargetMode="External"/><Relationship Id="rId616" Type="http://schemas.openxmlformats.org/officeDocument/2006/relationships/hyperlink" Target="https://www.egbgroup.com/wp-content/uploads/2022/04/TARIFA_EGB_ACCESORIOS-DE-POLIETILENO_2022_04.pdf" TargetMode="External"/><Relationship Id="rId617" Type="http://schemas.openxmlformats.org/officeDocument/2006/relationships/hyperlink" Target="https://www.egbgroup.com/wp-content/uploads/2022/04/TARIFA_EGB_ACCESORIOS-DE-POLIETILENO_2022_04.pdf" TargetMode="External"/><Relationship Id="rId618" Type="http://schemas.openxmlformats.org/officeDocument/2006/relationships/hyperlink" Target="https://www.egbgroup.com/wp-content/uploads/2022/04/TARIFA_EGB_ACCESORIOS-DE-POLIETILENO_2022_04.pdf" TargetMode="External"/><Relationship Id="rId619" Type="http://schemas.openxmlformats.org/officeDocument/2006/relationships/hyperlink" Target="https://www.egbgroup.com/wp-content/uploads/2022/04/TARIFA_EGB_ACCESORIOS-DE-POLIETILENO_2022_04.pdf" TargetMode="External"/><Relationship Id="rId620" Type="http://schemas.openxmlformats.org/officeDocument/2006/relationships/hyperlink" Target="https://www.egbgroup.com/wp-content/uploads/2022/04/TARIFA_EGB_ACCESORIOS-DE-POLIETILENO_2022_04.pdf" TargetMode="External"/><Relationship Id="rId621" Type="http://schemas.openxmlformats.org/officeDocument/2006/relationships/hyperlink" Target="https://www.egbgroup.com/wp-content/uploads/2022/04/TARIFA_EGB_ACCESORIOS-DE-POLIETILENO_2022_04.pdf" TargetMode="External"/><Relationship Id="rId622" Type="http://schemas.openxmlformats.org/officeDocument/2006/relationships/hyperlink" Target="https://www.egbgroup.com/wp-content/uploads/2022/04/TARIFA_EGB_ACCESORIOS-DE-POLIETILENO_2022_04.pdf" TargetMode="External"/><Relationship Id="rId623" Type="http://schemas.openxmlformats.org/officeDocument/2006/relationships/hyperlink" Target="https://www.egbgroup.com/wp-content/uploads/2022/04/TARIFA_EGB_ACCESORIOS-DE-POLIETILENO_2022_04.pdf" TargetMode="External"/><Relationship Id="rId624" Type="http://schemas.openxmlformats.org/officeDocument/2006/relationships/hyperlink" Target="https://www.egbgroup.com/wp-content/uploads/2022/04/TARIFA_EGB_ACCESORIOS-DE-POLIETILENO_2022_04.pdf" TargetMode="External"/><Relationship Id="rId625" Type="http://schemas.openxmlformats.org/officeDocument/2006/relationships/hyperlink" Target="https://www.egbgroup.com/wp-content/uploads/2022/04/TARIFA_EGB_ACCESORIOS-DE-POLIETILENO_2022_04.pdf" TargetMode="External"/><Relationship Id="rId626" Type="http://schemas.openxmlformats.org/officeDocument/2006/relationships/hyperlink" Target="https://www.egbgroup.com/wp-content/uploads/2022/04/TARIFA_EGB_ACCESORIOS-DE-POLIETILENO_2022_04.pdf" TargetMode="External"/><Relationship Id="rId627" Type="http://schemas.openxmlformats.org/officeDocument/2006/relationships/hyperlink" Target="https://www.egbgroup.com/wp-content/uploads/2022/04/TARIFA_EGB_ACCESORIOS-DE-POLIETILENO_2022_04.pdf" TargetMode="External"/><Relationship Id="rId628" Type="http://schemas.openxmlformats.org/officeDocument/2006/relationships/hyperlink" Target="https://www.egbgroup.com/wp-content/uploads/2022/04/TARIFA_EGB_ACCESORIOS-DE-POLIETILENO_2022_04.pdf" TargetMode="External"/><Relationship Id="rId629" Type="http://schemas.openxmlformats.org/officeDocument/2006/relationships/hyperlink" Target="https://www.egbgroup.com/wp-content/uploads/2022/04/TARIFA_EGB_ACCESORIOS-DE-POLIETILENO_2022_04.pdf" TargetMode="External"/><Relationship Id="rId630" Type="http://schemas.openxmlformats.org/officeDocument/2006/relationships/hyperlink" Target="https://www.egbgroup.com/wp-content/uploads/2022/04/TARIFA_EGB_ACCESORIOS-DE-POLIETILENO_2022_04.pdf" TargetMode="External"/><Relationship Id="rId631" Type="http://schemas.openxmlformats.org/officeDocument/2006/relationships/hyperlink" Target="https://www.egbgroup.com/wp-content/uploads/2022/04/TARIFA_EGB_ACCESORIOS-DE-POLIETILENO_2022_04.pdf" TargetMode="External"/><Relationship Id="rId632" Type="http://schemas.openxmlformats.org/officeDocument/2006/relationships/hyperlink" Target="https://www.egbgroup.com/wp-content/uploads/2022/04/TARIFA_EGB_ACCESORIOS-DE-POLIETILENO_2022_04.pdf" TargetMode="External"/><Relationship Id="rId633" Type="http://schemas.openxmlformats.org/officeDocument/2006/relationships/hyperlink" Target="https://www.egbgroup.com/wp-content/uploads/2022/04/TARIFA_EGB_ACCESORIOS-DE-POLIETILENO_2022_04.pdf" TargetMode="External"/><Relationship Id="rId634" Type="http://schemas.openxmlformats.org/officeDocument/2006/relationships/hyperlink" Target="https://www.egbgroup.com/wp-content/uploads/2022/04/TARIFA_EGB_ACCESORIOS-DE-POLIETILENO_2022_04.pdf" TargetMode="External"/><Relationship Id="rId635" Type="http://schemas.openxmlformats.org/officeDocument/2006/relationships/hyperlink" Target="https://www.egbgroup.com/wp-content/uploads/2022/04/TARIFA_EGB_ACCESORIOS-DE-POLIETILENO_2022_04.pdf" TargetMode="External"/><Relationship Id="rId636" Type="http://schemas.openxmlformats.org/officeDocument/2006/relationships/hyperlink" Target="https://www.egbgroup.com/wp-content/uploads/2022/04/TARIFA_EGB_ACCESORIOS-DE-POLIETILENO_2022_04.pdf" TargetMode="External"/><Relationship Id="rId637" Type="http://schemas.openxmlformats.org/officeDocument/2006/relationships/hyperlink" Target="https://www.egbgroup.com/wp-content/uploads/2022/04/TARIFA_EGB_ACCESORIOS-DE-POLIETILENO_2022_04.pdf" TargetMode="External"/><Relationship Id="rId638" Type="http://schemas.openxmlformats.org/officeDocument/2006/relationships/hyperlink" Target="https://www.egbgroup.com/wp-content/uploads/2022/04/TARIFA_EGB_ACCESORIOS-DE-POLIETILENO_2022_04.pdf" TargetMode="External"/><Relationship Id="rId639" Type="http://schemas.openxmlformats.org/officeDocument/2006/relationships/hyperlink" Target="https://www.egbgroup.com/wp-content/uploads/2022/04/TARIFA_EGB_ACCESORIOS-DE-POLIETILENO_2022_04.pdf" TargetMode="External"/><Relationship Id="rId640" Type="http://schemas.openxmlformats.org/officeDocument/2006/relationships/hyperlink" Target="https://www.egbgroup.com/wp-content/uploads/2022/04/TARIFA_EGB_ACCESORIOS-DE-POLIETILENO_2022_04.pdf" TargetMode="External"/><Relationship Id="rId641" Type="http://schemas.openxmlformats.org/officeDocument/2006/relationships/hyperlink" Target="https://www.egbgroup.com/wp-content/uploads/2022/04/TARIFA_EGB_ACCESORIOS-DE-POLIETILENO_2022_04.pdf" TargetMode="External"/><Relationship Id="rId642" Type="http://schemas.openxmlformats.org/officeDocument/2006/relationships/hyperlink" Target="https://www.egbgroup.com/wp-content/uploads/2022/04/TARIFA_EGB_ACCESORIOS-DE-POLIETILENO_2022_04.pdf" TargetMode="External"/><Relationship Id="rId643" Type="http://schemas.openxmlformats.org/officeDocument/2006/relationships/hyperlink" Target="https://www.egbgroup.com/wp-content/uploads/2022/04/TARIFA_EGB_ACCESORIOS-DE-POLIETILENO_2022_04.pdf" TargetMode="External"/><Relationship Id="rId644" Type="http://schemas.openxmlformats.org/officeDocument/2006/relationships/hyperlink" Target="https://www.egbgroup.com/wp-content/uploads/2022/04/TARIFA_EGB_ACCESORIOS-DE-POLIETILENO_2022_04.pdf" TargetMode="External"/><Relationship Id="rId645" Type="http://schemas.openxmlformats.org/officeDocument/2006/relationships/hyperlink" Target="https://www.egbgroup.com/wp-content/uploads/2022/04/TARIFA_EGB_ACCESORIOS-DE-POLIETILENO_2022_04.pdf" TargetMode="External"/><Relationship Id="rId646" Type="http://schemas.openxmlformats.org/officeDocument/2006/relationships/hyperlink" Target="https://www.egbgroup.com/wp-content/uploads/2022/04/TARIFA_EGB_ACCESORIOS-DE-POLIETILENO_2022_04.pdf" TargetMode="External"/><Relationship Id="rId647" Type="http://schemas.openxmlformats.org/officeDocument/2006/relationships/hyperlink" Target="https://www.egbgroup.com/wp-content/uploads/2022/04/TARIFA_EGB_ACCESORIOS-DE-POLIETILENO_2022_04.pdf" TargetMode="External"/><Relationship Id="rId648" Type="http://schemas.openxmlformats.org/officeDocument/2006/relationships/hyperlink" Target="https://www.egbgroup.com/wp-content/uploads/2022/04/TARIFA_EGB_ACCESORIOS-DE-POLIETILENO_2022_04.pdf" TargetMode="External"/><Relationship Id="rId649" Type="http://schemas.openxmlformats.org/officeDocument/2006/relationships/hyperlink" Target="https://www.egbgroup.com/wp-content/uploads/2022/04/TARIFA_EGB_ACCESORIOS-DE-POLIETILENO_2022_04.pdf" TargetMode="External"/><Relationship Id="rId650" Type="http://schemas.openxmlformats.org/officeDocument/2006/relationships/hyperlink" Target="https://www.egbgroup.com/wp-content/uploads/2022/04/TARIFA_EGB_ACCESORIOS-DE-POLIETILENO_2022_04.pdf" TargetMode="External"/><Relationship Id="rId651" Type="http://schemas.openxmlformats.org/officeDocument/2006/relationships/hyperlink" Target="https://www.egbgroup.com/wp-content/uploads/2022/04/TARIFA_EGB_ACCESORIOS-DE-POLIETILENO_2022_04.pdf" TargetMode="External"/><Relationship Id="rId652" Type="http://schemas.openxmlformats.org/officeDocument/2006/relationships/hyperlink" Target="https://www.egbgroup.com/wp-content/uploads/2022/04/TARIFA_EGB_ACCESORIOS-DE-POLIETILENO_2022_04.pdf" TargetMode="External"/><Relationship Id="rId653" Type="http://schemas.openxmlformats.org/officeDocument/2006/relationships/hyperlink" Target="https://www.egbgroup.com/wp-content/uploads/2022/04/TARIFA_EGB_ACCESORIOS-DE-POLIETILENO_2022_04.pdf" TargetMode="External"/><Relationship Id="rId654" Type="http://schemas.openxmlformats.org/officeDocument/2006/relationships/hyperlink" Target="https://www.egbgroup.com/wp-content/uploads/2022/04/TARIFA_EGB_ACCESORIOS-DE-POLIETILENO_2022_04.pdf" TargetMode="External"/><Relationship Id="rId655" Type="http://schemas.openxmlformats.org/officeDocument/2006/relationships/hyperlink" Target="https://www.egbgroup.com/wp-content/uploads/2022/04/TARIFA_EGB_ACCESORIOS-DE-POLIETILENO_2022_04.pdf" TargetMode="External"/><Relationship Id="rId656" Type="http://schemas.openxmlformats.org/officeDocument/2006/relationships/hyperlink" Target="https://www.egbgroup.com/wp-content/uploads/2022/04/TARIFA_EGB_ACCESORIOS-DE-POLIETILENO_2022_04.pdf" TargetMode="External"/><Relationship Id="rId657" Type="http://schemas.openxmlformats.org/officeDocument/2006/relationships/hyperlink" Target="https://www.egbgroup.com/wp-content/uploads/2022/04/TARIFA_EGB_ACCESORIOS-DE-POLIETILENO_2022_04.pdf" TargetMode="External"/><Relationship Id="rId658" Type="http://schemas.openxmlformats.org/officeDocument/2006/relationships/hyperlink" Target="https://www.egbgroup.com/wp-content/uploads/2022/04/TARIFA_EGB_ACCESORIOS-DE-POLIETILENO_2022_04.pdf" TargetMode="External"/><Relationship Id="rId659" Type="http://schemas.openxmlformats.org/officeDocument/2006/relationships/hyperlink" Target="https://www.egbgroup.com/wp-content/uploads/2022/04/TARIFA_EGB_ACCESORIOS-DE-POLIETILENO_2022_04.pdf" TargetMode="External"/><Relationship Id="rId660" Type="http://schemas.openxmlformats.org/officeDocument/2006/relationships/hyperlink" Target="https://www.egbgroup.com/wp-content/uploads/2022/04/TARIFA_EGB_ACCESORIOS-DE-POLIETILENO_2022_04.pdf" TargetMode="External"/><Relationship Id="rId661" Type="http://schemas.openxmlformats.org/officeDocument/2006/relationships/hyperlink" Target="https://www.egbgroup.com/wp-content/uploads/2022/04/TARIFA_EGB_ACCESORIOS-DE-POLIETILENO_2022_04.pdf" TargetMode="External"/><Relationship Id="rId662" Type="http://schemas.openxmlformats.org/officeDocument/2006/relationships/hyperlink" Target="https://www.egbgroup.com/wp-content/uploads/2022/04/TARIFA_EGB_ACCESORIOS-DE-POLIETILENO_2022_04.pdf" TargetMode="External"/><Relationship Id="rId663" Type="http://schemas.openxmlformats.org/officeDocument/2006/relationships/hyperlink" Target="https://www.egbgroup.com/wp-content/uploads/2022/04/TARIFA_EGB_ACCESORIOS-DE-POLIETILENO_2022_04.pdf" TargetMode="External"/><Relationship Id="rId664" Type="http://schemas.openxmlformats.org/officeDocument/2006/relationships/hyperlink" Target="https://www.egbgroup.com/wp-content/uploads/2022/04/TARIFA_EGB_ACCESORIOS-DE-POLIETILENO_2022_04.pdf" TargetMode="External"/><Relationship Id="rId665" Type="http://schemas.openxmlformats.org/officeDocument/2006/relationships/hyperlink" Target="https://www.egbgroup.com/wp-content/uploads/2022/04/TARIFA_EGB_ACCESORIOS-DE-POLIETILENO_2022_04.pdf" TargetMode="External"/><Relationship Id="rId666" Type="http://schemas.openxmlformats.org/officeDocument/2006/relationships/hyperlink" Target="https://www.egbgroup.com/wp-content/uploads/2022/04/TARIFA_EGB_ACCESORIOS-DE-POLIETILENO_2022_04.pdf" TargetMode="External"/><Relationship Id="rId667" Type="http://schemas.openxmlformats.org/officeDocument/2006/relationships/hyperlink" Target="https://www.egbgroup.com/wp-content/uploads/2022/04/TARIFA_EGB_ACCESORIOS-DE-POLIETILENO_2022_04.pdf" TargetMode="External"/><Relationship Id="rId668" Type="http://schemas.openxmlformats.org/officeDocument/2006/relationships/hyperlink" Target="https://www.egbgroup.com/wp-content/uploads/2022/04/TARIFA_EGB_ACCESORIOS-DE-POLIETILENO_2022_04.pdf" TargetMode="External"/><Relationship Id="rId669" Type="http://schemas.openxmlformats.org/officeDocument/2006/relationships/hyperlink" Target="https://www.egbgroup.com/wp-content/uploads/2022/04/TARIFA_EGB_ACCESORIOS-DE-POLIETILENO_2022_04.pdf" TargetMode="External"/><Relationship Id="rId670" Type="http://schemas.openxmlformats.org/officeDocument/2006/relationships/hyperlink" Target="https://www.egbgroup.com/wp-content/uploads/2022/04/TARIFA_EGB_ACCESORIOS-DE-POLIETILENO_2022_04.pdf" TargetMode="External"/><Relationship Id="rId671" Type="http://schemas.openxmlformats.org/officeDocument/2006/relationships/hyperlink" Target="https://www.egbgroup.com/wp-content/uploads/2022/04/TARIFA_EGB_ACCESORIOS-DE-POLIETILENO_2022_04.pdf" TargetMode="External"/><Relationship Id="rId672" Type="http://schemas.openxmlformats.org/officeDocument/2006/relationships/hyperlink" Target="https://www.egbgroup.com/wp-content/uploads/2022/04/TARIFA_EGB_ACCESORIOS-DE-POLIETILENO_2022_04.pdf" TargetMode="External"/><Relationship Id="rId673" Type="http://schemas.openxmlformats.org/officeDocument/2006/relationships/hyperlink" Target="https://www.egbgroup.com/wp-content/uploads/2022/04/TARIFA_EGB_ACCESORIOS-DE-POLIETILENO_2022_04.pdf" TargetMode="External"/><Relationship Id="rId674" Type="http://schemas.openxmlformats.org/officeDocument/2006/relationships/hyperlink" Target="https://www.egbgroup.com/wp-content/uploads/2022/04/TARIFA_EGB_ACCESORIOS-DE-POLIETILENO_2022_04.pdf" TargetMode="External"/><Relationship Id="rId675" Type="http://schemas.openxmlformats.org/officeDocument/2006/relationships/hyperlink" Target="https://www.egbgroup.com/wp-content/uploads/2022/04/TARIFA_EGB_ACCESORIOS-DE-POLIETILENO_2022_04.pdf" TargetMode="External"/><Relationship Id="rId676" Type="http://schemas.openxmlformats.org/officeDocument/2006/relationships/hyperlink" Target="https://www.egbgroup.com/wp-content/uploads/2022/04/TARIFA_EGB_ACCESORIOS-DE-POLIETILENO_2022_04.pdf" TargetMode="External"/><Relationship Id="rId677" Type="http://schemas.openxmlformats.org/officeDocument/2006/relationships/hyperlink" Target="https://www.egbgroup.com/wp-content/uploads/2022/04/TARIFA_EGB_ACCESORIOS-DE-POLIETILENO_2022_04.pdf" TargetMode="External"/><Relationship Id="rId678" Type="http://schemas.openxmlformats.org/officeDocument/2006/relationships/hyperlink" Target="https://www.egbgroup.com/wp-content/uploads/2022/04/TARIFA_EGB_ACCESORIOS-DE-POLIETILENO_2022_04.pdf" TargetMode="External"/><Relationship Id="rId679" Type="http://schemas.openxmlformats.org/officeDocument/2006/relationships/hyperlink" Target="https://www.egbgroup.com/wp-content/uploads/2022/04/TARIFA_EGB_ACCESORIOS-DE-POLIETILENO_2022_04.pdf" TargetMode="External"/><Relationship Id="rId680" Type="http://schemas.openxmlformats.org/officeDocument/2006/relationships/hyperlink" Target="https://www.egbgroup.com/wp-content/uploads/2022/04/TARIFA_EGB_ACCESORIOS-DE-POLIETILENO_2022_04.pdf" TargetMode="External"/><Relationship Id="rId681" Type="http://schemas.openxmlformats.org/officeDocument/2006/relationships/hyperlink" Target="https://www.egbgroup.com/wp-content/uploads/2022/04/TARIFA_EGB_ACCESORIOS-DE-POLIETILENO_2022_04.pdf" TargetMode="External"/><Relationship Id="rId682" Type="http://schemas.openxmlformats.org/officeDocument/2006/relationships/hyperlink" Target="https://www.egbgroup.com/wp-content/uploads/2022/04/TARIFA_EGB_ACCESORIOS-DE-POLIETILENO_2022_04.pdf" TargetMode="External"/><Relationship Id="rId683" Type="http://schemas.openxmlformats.org/officeDocument/2006/relationships/hyperlink" Target="https://www.egbgroup.com/wp-content/uploads/2022/04/TARIFA_EGB_ACCESORIOS-DE-POLIETILENO_2022_04.pdf" TargetMode="External"/><Relationship Id="rId684" Type="http://schemas.openxmlformats.org/officeDocument/2006/relationships/hyperlink" Target="https://www.egbgroup.com/wp-content/uploads/2022/04/TARIFA_EGB_ACCESORIOS-DE-POLIETILENO_2022_04.pdf" TargetMode="External"/><Relationship Id="rId685" Type="http://schemas.openxmlformats.org/officeDocument/2006/relationships/hyperlink" Target="https://www.egbgroup.com/wp-content/uploads/2022/04/TARIFA_EGB_ACCESORIOS-DE-POLIETILENO_2022_04.pdf" TargetMode="External"/><Relationship Id="rId686" Type="http://schemas.openxmlformats.org/officeDocument/2006/relationships/hyperlink" Target="https://www.egbgroup.com/wp-content/uploads/2022/04/TARIFA_EGB_ACCESORIOS-DE-POLIETILENO_2022_04.pdf" TargetMode="External"/><Relationship Id="rId687" Type="http://schemas.openxmlformats.org/officeDocument/2006/relationships/hyperlink" Target="https://www.egbgroup.com/wp-content/uploads/2022/04/TARIFA_EGB_ACCESORIOS-DE-POLIETILENO_2022_04.pdf" TargetMode="External"/><Relationship Id="rId688" Type="http://schemas.openxmlformats.org/officeDocument/2006/relationships/hyperlink" Target="https://www.egbgroup.com/wp-content/uploads/2022/04/TARIFA_EGB_ACCESORIOS-DE-POLIETILENO_2022_04.pdf" TargetMode="External"/><Relationship Id="rId689" Type="http://schemas.openxmlformats.org/officeDocument/2006/relationships/hyperlink" Target="https://www.egbgroup.com/wp-content/uploads/2022/04/TARIFA_EGB_ACCESORIOS-DE-POLIETILENO_2022_04.pdf" TargetMode="External"/><Relationship Id="rId690" Type="http://schemas.openxmlformats.org/officeDocument/2006/relationships/hyperlink" Target="https://www.egbgroup.com/wp-content/uploads/2022/04/TARIFA_EGB_ACCESORIOS-DE-POLIETILENO_2022_04.pdf" TargetMode="External"/><Relationship Id="rId691" Type="http://schemas.openxmlformats.org/officeDocument/2006/relationships/hyperlink" Target="https://www.egbgroup.com/wp-content/uploads/2022/04/TARIFA_EGB_ACCESORIOS-DE-POLIETILENO_2022_04.pdf" TargetMode="External"/><Relationship Id="rId692" Type="http://schemas.openxmlformats.org/officeDocument/2006/relationships/hyperlink" Target="https://www.egbgroup.com/wp-content/uploads/2022/04/TARIFA_EGB_ACCESORIOS-DE-POLIETILENO_2022_04.pdf" TargetMode="External"/><Relationship Id="rId693" Type="http://schemas.openxmlformats.org/officeDocument/2006/relationships/hyperlink" Target="https://www.egbgroup.com/wp-content/uploads/2022/04/TARIFA_EGB_ACCESORIOS-DE-POLIETILENO_2022_04.pdf" TargetMode="External"/><Relationship Id="rId694" Type="http://schemas.openxmlformats.org/officeDocument/2006/relationships/hyperlink" Target="https://www.egbgroup.com/wp-content/uploads/2022/04/TARIFA_EGB_ACCESORIOS-DE-POLIETILENO_2022_04.pdf" TargetMode="External"/><Relationship Id="rId695" Type="http://schemas.openxmlformats.org/officeDocument/2006/relationships/hyperlink" Target="https://www.egbgroup.com/wp-content/uploads/2022/04/TARIFA_EGB_ACCESORIOS-DE-POLIETILENO_2022_04.pdf" TargetMode="External"/><Relationship Id="rId696" Type="http://schemas.openxmlformats.org/officeDocument/2006/relationships/hyperlink" Target="https://www.egbgroup.com/wp-content/uploads/2022/04/TARIFA_EGB_ACCESORIOS-DE-POLIETILENO_2022_04.pdf" TargetMode="External"/><Relationship Id="rId697" Type="http://schemas.openxmlformats.org/officeDocument/2006/relationships/hyperlink" Target="https://www.egbgroup.com/wp-content/uploads/2022/04/TARIFA_EGB_ACCESORIOS-DE-POLIETILENO_2022_04.pdf" TargetMode="External"/><Relationship Id="rId698" Type="http://schemas.openxmlformats.org/officeDocument/2006/relationships/hyperlink" Target="https://www.egbgroup.com/wp-content/uploads/2022/04/TARIFA_EGB_ACCESORIOS-DE-POLIETILENO_2022_04.pdf" TargetMode="External"/><Relationship Id="rId699" Type="http://schemas.openxmlformats.org/officeDocument/2006/relationships/hyperlink" Target="https://www.egbgroup.com/wp-content/uploads/2022/04/TARIFA_EGB_ACCESORIOS-DE-POLIETILENO_2022_04.pdf" TargetMode="External"/><Relationship Id="rId700" Type="http://schemas.openxmlformats.org/officeDocument/2006/relationships/hyperlink" Target="https://www.egbgroup.com/wp-content/uploads/2022/04/TARIFA_EGB_ACCESORIOS-DE-POLIETILENO_2022_04.pdf" TargetMode="External"/><Relationship Id="rId701" Type="http://schemas.openxmlformats.org/officeDocument/2006/relationships/hyperlink" Target="https://www.egbgroup.com/wp-content/uploads/2022/04/TARIFA_EGB_ACCESORIOS-DE-POLIETILENO_2022_04.pdf" TargetMode="External"/><Relationship Id="rId702" Type="http://schemas.openxmlformats.org/officeDocument/2006/relationships/hyperlink" Target="https://www.egbgroup.com/wp-content/uploads/2022/04/TARIFA_EGB_ACCESORIOS-DE-POLIETILENO_2022_04.pdf" TargetMode="External"/><Relationship Id="rId703" Type="http://schemas.openxmlformats.org/officeDocument/2006/relationships/hyperlink" Target="https://www.egbgroup.com/wp-content/uploads/2022/04/TARIFA_EGB_ACCESORIOS-DE-POLIETILENO_2022_04.pdf" TargetMode="External"/><Relationship Id="rId704" Type="http://schemas.openxmlformats.org/officeDocument/2006/relationships/hyperlink" Target="https://www.egbgroup.com/wp-content/uploads/2022/04/TARIFA_EGB_ACCESORIOS-DE-POLIETILENO_2022_04.pdf" TargetMode="External"/><Relationship Id="rId705" Type="http://schemas.openxmlformats.org/officeDocument/2006/relationships/hyperlink" Target="https://www.egbgroup.com/wp-content/uploads/2022/04/TARIFA_EGB_ACCESORIOS-DE-POLIETILENO_2022_04.pdf" TargetMode="External"/><Relationship Id="rId706" Type="http://schemas.openxmlformats.org/officeDocument/2006/relationships/hyperlink" Target="https://www.egbgroup.com/wp-content/uploads/2022/04/TARIFA_EGB_ACCESORIOS-DE-POLIETILENO_2022_04.pdf" TargetMode="External"/><Relationship Id="rId707" Type="http://schemas.openxmlformats.org/officeDocument/2006/relationships/hyperlink" Target="https://www.egbgroup.com/wp-content/uploads/2022/04/TARIFA_EGB_ACCESORIOS-DE-POLIETILENO_2022_04.pdf" TargetMode="External"/><Relationship Id="rId708" Type="http://schemas.openxmlformats.org/officeDocument/2006/relationships/hyperlink" Target="https://www.egbgroup.com/wp-content/uploads/2022/04/TARIFA_EGB_ACCESORIOS-DE-POLIETILENO_2022_04.pdf" TargetMode="External"/><Relationship Id="rId709" Type="http://schemas.openxmlformats.org/officeDocument/2006/relationships/hyperlink" Target="https://www.egbgroup.com/wp-content/uploads/2022/04/TARIFA_EGB_ACCESORIOS-DE-POLIETILENO_2022_04.pdf" TargetMode="External"/><Relationship Id="rId710" Type="http://schemas.openxmlformats.org/officeDocument/2006/relationships/hyperlink" Target="https://www.egbgroup.com/wp-content/uploads/2022/04/TARIFA_EGB_ACCESORIOS-DE-POLIETILENO_2022_04.pdf" TargetMode="External"/><Relationship Id="rId711" Type="http://schemas.openxmlformats.org/officeDocument/2006/relationships/hyperlink" Target="https://www.egbgroup.com/wp-content/uploads/2022/04/TARIFA_EGB_ACCESORIOS-DE-POLIETILENO_2022_04.pdf" TargetMode="External"/><Relationship Id="rId712" Type="http://schemas.openxmlformats.org/officeDocument/2006/relationships/hyperlink" Target="https://www.egbgroup.com/wp-content/uploads/2022/04/TARIFA_EGB_ACCESORIOS-DE-POLIETILENO_2022_04.pdf" TargetMode="External"/><Relationship Id="rId713" Type="http://schemas.openxmlformats.org/officeDocument/2006/relationships/hyperlink" Target="https://www.egbgroup.com/wp-content/uploads/2022/04/TARIFA_EGB_ACCESORIOS-DE-POLIETILENO_2022_04.pdf" TargetMode="External"/><Relationship Id="rId714" Type="http://schemas.openxmlformats.org/officeDocument/2006/relationships/hyperlink" Target="https://www.egbgroup.com/wp-content/uploads/2022/04/TARIFA_EGB_ACCESORIOS-DE-POLIETILENO_2022_04.pdf" TargetMode="External"/><Relationship Id="rId715" Type="http://schemas.openxmlformats.org/officeDocument/2006/relationships/hyperlink" Target="https://www.egbgroup.com/wp-content/uploads/2022/04/TARIFA_EGB_ACCESORIOS-DE-POLIETILENO_2022_04.pdf" TargetMode="External"/><Relationship Id="rId716" Type="http://schemas.openxmlformats.org/officeDocument/2006/relationships/hyperlink" Target="https://www.egbgroup.com/wp-content/uploads/2022/04/TARIFA_EGB_ACCESORIOS-DE-POLIETILENO_2022_04.pdf" TargetMode="External"/><Relationship Id="rId717" Type="http://schemas.openxmlformats.org/officeDocument/2006/relationships/hyperlink" Target="https://www.egbgroup.com/wp-content/uploads/2022/04/TARIFA_EGB_ACCESORIOS-DE-POLIETILENO_2022_04.pdf" TargetMode="External"/><Relationship Id="rId718" Type="http://schemas.openxmlformats.org/officeDocument/2006/relationships/hyperlink" Target="https://www.egbgroup.com/wp-content/uploads/2022/04/TARIFA_EGB_ACCESORIOS-DE-POLIETILENO_2022_04.pdf" TargetMode="External"/><Relationship Id="rId719" Type="http://schemas.openxmlformats.org/officeDocument/2006/relationships/hyperlink" Target="https://www.egbgroup.com/wp-content/uploads/2022/04/TARIFA_EGB_ACCESORIOS-DE-POLIETILENO_2022_04.pdf" TargetMode="External"/><Relationship Id="rId720" Type="http://schemas.openxmlformats.org/officeDocument/2006/relationships/hyperlink" Target="https://www.egbgroup.com/wp-content/uploads/2022/04/TARIFA_EGB_ACCESORIOS-DE-POLIETILENO_2022_04.pdf" TargetMode="External"/><Relationship Id="rId721" Type="http://schemas.openxmlformats.org/officeDocument/2006/relationships/hyperlink" Target="https://www.egbgroup.com/wp-content/uploads/2022/04/TARIFA_EGB_ACCESORIOS-DE-POLIETILENO_2022_04.pdf" TargetMode="External"/><Relationship Id="rId722" Type="http://schemas.openxmlformats.org/officeDocument/2006/relationships/hyperlink" Target="https://www.egbgroup.com/wp-content/uploads/2022/04/TARIFA_EGB_ACCESORIOS-DE-POLIETILENO_2022_04.pdf" TargetMode="External"/><Relationship Id="rId723" Type="http://schemas.openxmlformats.org/officeDocument/2006/relationships/hyperlink" Target="https://www.egbgroup.com/wp-content/uploads/2022/04/TARIFA_EGB_ACCESORIOS-DE-POLIETILENO_2022_04.pdf" TargetMode="External"/><Relationship Id="rId724" Type="http://schemas.openxmlformats.org/officeDocument/2006/relationships/hyperlink" Target="https://www.egbgroup.com/wp-content/uploads/2022/04/TARIFA_EGB_ACCESORIOS-DE-POLIETILENO_2022_04.pdf" TargetMode="External"/><Relationship Id="rId725" Type="http://schemas.openxmlformats.org/officeDocument/2006/relationships/hyperlink" Target="https://www.egbgroup.com/wp-content/uploads/2022/04/TARIFA_EGB_ACCESORIOS-DE-POLIETILENO_2022_04.pdf" TargetMode="External"/><Relationship Id="rId726" Type="http://schemas.openxmlformats.org/officeDocument/2006/relationships/hyperlink" Target="https://www.egbgroup.com/wp-content/uploads/2022/04/TARIFA_EGB_ACCESORIOS-DE-POLIETILENO_2022_04.pdf" TargetMode="External"/><Relationship Id="rId727" Type="http://schemas.openxmlformats.org/officeDocument/2006/relationships/hyperlink" Target="https://www.egbgroup.com/wp-content/uploads/2022/04/TARIFA_EGB_ACCESORIOS-DE-POLIETILENO_2022_04.pdf" TargetMode="External"/><Relationship Id="rId728" Type="http://schemas.openxmlformats.org/officeDocument/2006/relationships/hyperlink" Target="https://www.egbgroup.com/wp-content/uploads/2022/04/TARIFA_EGB_ACCESORIOS-DE-POLIETILENO_2022_04.pdf" TargetMode="External"/><Relationship Id="rId729" Type="http://schemas.openxmlformats.org/officeDocument/2006/relationships/hyperlink" Target="https://www.egbgroup.com/wp-content/uploads/2022/04/TARIFA_EGB_ACCESORIOS-DE-POLIETILENO_2022_04.pdf" TargetMode="External"/><Relationship Id="rId730" Type="http://schemas.openxmlformats.org/officeDocument/2006/relationships/hyperlink" Target="https://www.egbgroup.com/wp-content/uploads/2022/04/TARIFA_EGB_ACCESORIOS-DE-POLIETILENO_2022_04.pdf" TargetMode="External"/><Relationship Id="rId731" Type="http://schemas.openxmlformats.org/officeDocument/2006/relationships/hyperlink" Target="https://www.egbgroup.com/wp-content/uploads/2022/04/TARIFA_EGB_ACCESORIOS-DE-POLIETILENO_2022_04.pdf" TargetMode="External"/><Relationship Id="rId732" Type="http://schemas.openxmlformats.org/officeDocument/2006/relationships/hyperlink" Target="https://www.egbgroup.com/wp-content/uploads/2022/04/TARIFA_EGB_ACCESORIOS-DE-POLIETILENO_2022_04.pdf" TargetMode="External"/><Relationship Id="rId733" Type="http://schemas.openxmlformats.org/officeDocument/2006/relationships/hyperlink" Target="https://www.egbgroup.com/wp-content/uploads/2022/04/TARIFA_EGB_ACCESORIOS-DE-POLIETILENO_2022_04.pdf" TargetMode="External"/><Relationship Id="rId734" Type="http://schemas.openxmlformats.org/officeDocument/2006/relationships/hyperlink" Target="https://www.egbgroup.com/wp-content/uploads/2022/04/TARIFA_EGB_ACCESORIOS-DE-POLIETILENO_2022_04.pdf" TargetMode="External"/><Relationship Id="rId735" Type="http://schemas.openxmlformats.org/officeDocument/2006/relationships/hyperlink" Target="https://www.egbgroup.com/wp-content/uploads/2022/04/TARIFA_EGB_ACCESORIOS-DE-POLIETILENO_2022_04.pdf" TargetMode="External"/><Relationship Id="rId736" Type="http://schemas.openxmlformats.org/officeDocument/2006/relationships/hyperlink" Target="https://www.egbgroup.com/wp-content/uploads/2022/04/TARIFA_EGB_ACCESORIOS-DE-POLIETILENO_2022_04.pdf" TargetMode="External"/><Relationship Id="rId737" Type="http://schemas.openxmlformats.org/officeDocument/2006/relationships/hyperlink" Target="https://www.egbgroup.com/wp-content/uploads/2022/04/TARIFA_EGB_ACCESORIOS-DE-POLIETILENO_2022_04.pdf" TargetMode="External"/><Relationship Id="rId738" Type="http://schemas.openxmlformats.org/officeDocument/2006/relationships/hyperlink" Target="https://www.egbgroup.com/wp-content/uploads/2022/04/TARIFA_EGB_ACCESORIOS-DE-POLIETILENO_2022_04.pdf" TargetMode="External"/><Relationship Id="rId739" Type="http://schemas.openxmlformats.org/officeDocument/2006/relationships/hyperlink" Target="https://www.egbgroup.com/wp-content/uploads/2022/04/TARIFA_EGB_ACCESORIOS-DE-POLIETILENO_2022_04.pdf" TargetMode="External"/><Relationship Id="rId740" Type="http://schemas.openxmlformats.org/officeDocument/2006/relationships/hyperlink" Target="https://www.egbgroup.com/wp-content/uploads/2022/04/TARIFA_EGB_ACCESORIOS-DE-POLIETILENO_2022_04.pdf" TargetMode="External"/><Relationship Id="rId741" Type="http://schemas.openxmlformats.org/officeDocument/2006/relationships/hyperlink" Target="https://www.egbgroup.com/wp-content/uploads/2022/04/TARIFA_EGB_ACCESORIOS-DE-POLIETILENO_2022_04.pdf" TargetMode="External"/><Relationship Id="rId742" Type="http://schemas.openxmlformats.org/officeDocument/2006/relationships/hyperlink" Target="https://www.egbgroup.com/wp-content/uploads/2022/04/TARIFA_EGB_ACCESORIOS-DE-POLIETILENO_2022_04.pdf" TargetMode="External"/><Relationship Id="rId743" Type="http://schemas.openxmlformats.org/officeDocument/2006/relationships/hyperlink" Target="https://www.egbgroup.com/wp-content/uploads/2022/04/TARIFA_EGB_ACCESORIOS-DE-POLIETILENO_2022_04.pdf" TargetMode="External"/><Relationship Id="rId744" Type="http://schemas.openxmlformats.org/officeDocument/2006/relationships/hyperlink" Target="https://www.egbgroup.com/wp-content/uploads/2022/04/TARIFA_EGB_ACCESORIOS-DE-POLIETILENO_2022_04.pdf" TargetMode="External"/><Relationship Id="rId745" Type="http://schemas.openxmlformats.org/officeDocument/2006/relationships/hyperlink" Target="https://www.egbgroup.com/wp-content/uploads/2022/04/TARIFA_EGB_ACCESORIOS-DE-POLIETILENO_2022_04.pdf" TargetMode="External"/><Relationship Id="rId746" Type="http://schemas.openxmlformats.org/officeDocument/2006/relationships/hyperlink" Target="https://www.egbgroup.com/wp-content/uploads/2022/04/TARIFA_EGB_ACCESORIOS-DE-POLIETILENO_2022_04.pdf" TargetMode="External"/><Relationship Id="rId747" Type="http://schemas.openxmlformats.org/officeDocument/2006/relationships/hyperlink" Target="https://www.egbgroup.com/wp-content/uploads/2022/04/TARIFA_EGB_ACCESORIOS-DE-POLIETILENO_2022_04.pdf" TargetMode="External"/><Relationship Id="rId748" Type="http://schemas.openxmlformats.org/officeDocument/2006/relationships/hyperlink" Target="https://www.egbgroup.com/wp-content/uploads/2022/04/TARIFA_EGB_ACCESORIOS-DE-POLIETILENO_2022_04.pdf" TargetMode="External"/><Relationship Id="rId749" Type="http://schemas.openxmlformats.org/officeDocument/2006/relationships/hyperlink" Target="https://www.egbgroup.com/wp-content/uploads/2022/04/TARIFA_EGB_ACCESORIOS-DE-POLIETILENO_2022_04.pdf" TargetMode="External"/><Relationship Id="rId750" Type="http://schemas.openxmlformats.org/officeDocument/2006/relationships/hyperlink" Target="https://www.egbgroup.com/wp-content/uploads/2022/04/TARIFA_EGB_ACCESORIOS-DE-POLIETILENO_2022_04.pdf" TargetMode="External"/><Relationship Id="rId751" Type="http://schemas.openxmlformats.org/officeDocument/2006/relationships/hyperlink" Target="https://www.egbgroup.com/wp-content/uploads/2022/04/TARIFA_EGB_ACCESORIOS-DE-POLIETILENO_2022_04.pdf" TargetMode="External"/><Relationship Id="rId752" Type="http://schemas.openxmlformats.org/officeDocument/2006/relationships/hyperlink" Target="https://www.egbgroup.com/wp-content/uploads/2022/04/TARIFA_EGB_ACCESORIOS-DE-POLIETILENO_2022_04.pdf" TargetMode="External"/><Relationship Id="rId753" Type="http://schemas.openxmlformats.org/officeDocument/2006/relationships/hyperlink" Target="https://www.egbgroup.com/wp-content/uploads/2022/04/TARIFA_EGB_ACCESORIOS-DE-POLIETILENO_2022_04.pdf" TargetMode="External"/><Relationship Id="rId754" Type="http://schemas.openxmlformats.org/officeDocument/2006/relationships/hyperlink" Target="https://www.egbgroup.com/wp-content/uploads/2022/04/TARIFA_EGB_ACCESORIOS-DE-POLIETILENO_2022_04.pdf" TargetMode="External"/><Relationship Id="rId755" Type="http://schemas.openxmlformats.org/officeDocument/2006/relationships/hyperlink" Target="https://www.egbgroup.com/wp-content/uploads/2022/04/TARIFA_EGB_ACCESORIOS-DE-POLIETILENO_2022_04.pdf" TargetMode="External"/><Relationship Id="rId756" Type="http://schemas.openxmlformats.org/officeDocument/2006/relationships/hyperlink" Target="https://www.egbgroup.com/wp-content/uploads/2022/04/TARIFA_EGB_ACCESORIOS-DE-POLIETILENO_2022_04.pdf" TargetMode="External"/><Relationship Id="rId757" Type="http://schemas.openxmlformats.org/officeDocument/2006/relationships/hyperlink" Target="https://www.egbgroup.com/wp-content/uploads/2022/04/TARIFA_EGB_ACCESORIOS-DE-POLIETILENO_2022_04.pdf" TargetMode="External"/><Relationship Id="rId758" Type="http://schemas.openxmlformats.org/officeDocument/2006/relationships/hyperlink" Target="https://www.egbgroup.com/wp-content/uploads/2022/04/TARIFA_EGB_ACCESORIOS-DE-POLIETILENO_2022_04.pdf" TargetMode="External"/><Relationship Id="rId759" Type="http://schemas.openxmlformats.org/officeDocument/2006/relationships/hyperlink" Target="https://www.egbgroup.com/wp-content/uploads/2022/04/TARIFA_EGB_ACCESORIOS-DE-POLIETILENO_2022_04.pdf" TargetMode="External"/><Relationship Id="rId760" Type="http://schemas.openxmlformats.org/officeDocument/2006/relationships/hyperlink" Target="https://www.egbgroup.com/wp-content/uploads/2022/04/TARIFA_EGB_ACCESORIOS-DE-POLIETILENO_2022_04.pdf" TargetMode="External"/><Relationship Id="rId761" Type="http://schemas.openxmlformats.org/officeDocument/2006/relationships/hyperlink" Target="https://www.egbgroup.com/wp-content/uploads/2022/04/TARIFA_EGB_ACCESORIOS-DE-POLIETILENO_2022_04.pdf" TargetMode="External"/><Relationship Id="rId762" Type="http://schemas.openxmlformats.org/officeDocument/2006/relationships/hyperlink" Target="https://www.egbgroup.com/wp-content/uploads/2022/04/TARIFA_EGB_ACCESORIOS-DE-POLIETILENO_2022_04.pdf" TargetMode="External"/><Relationship Id="rId763" Type="http://schemas.openxmlformats.org/officeDocument/2006/relationships/hyperlink" Target="https://www.egbgroup.com/wp-content/uploads/2022/04/TARIFA_EGB_ACCESORIOS-DE-POLIETILENO_2022_04.pdf" TargetMode="External"/><Relationship Id="rId764" Type="http://schemas.openxmlformats.org/officeDocument/2006/relationships/hyperlink" Target="https://www.egbgroup.com/wp-content/uploads/2022/04/TARIFA_EGB_ACCESORIOS-DE-POLIETILENO_2022_04.pdf" TargetMode="External"/><Relationship Id="rId765" Type="http://schemas.openxmlformats.org/officeDocument/2006/relationships/hyperlink" Target="https://www.egbgroup.com/wp-content/uploads/2022/04/TARIFA_EGB_ACCESORIOS-DE-POLIETILENO_2022_04.pdf" TargetMode="External"/><Relationship Id="rId766" Type="http://schemas.openxmlformats.org/officeDocument/2006/relationships/hyperlink" Target="https://www.egbgroup.com/wp-content/uploads/2022/04/TARIFA_EGB_ACCESORIOS-DE-POLIETILENO_2022_04.pdf" TargetMode="External"/><Relationship Id="rId767" Type="http://schemas.openxmlformats.org/officeDocument/2006/relationships/hyperlink" Target="https://www.egbgroup.com/wp-content/uploads/2022/04/TARIFA_EGB_ACCESORIOS-DE-POLIETILENO_2022_04.pdf" TargetMode="External"/><Relationship Id="rId768" Type="http://schemas.openxmlformats.org/officeDocument/2006/relationships/hyperlink" Target="https://www.egbgroup.com/wp-content/uploads/2022/04/TARIFA_EGB_ACCESORIOS-DE-POLIETILENO_2022_04.pdf" TargetMode="External"/><Relationship Id="rId769" Type="http://schemas.openxmlformats.org/officeDocument/2006/relationships/hyperlink" Target="https://www.egbgroup.com/wp-content/uploads/2022/04/TARIFA_EGB_ACCESORIOS-DE-POLIETILENO_2022_04.pdf" TargetMode="External"/><Relationship Id="rId770" Type="http://schemas.openxmlformats.org/officeDocument/2006/relationships/hyperlink" Target="https://www.egbgroup.com/wp-content/uploads/2022/04/TARIFA_EGB_ACCESORIOS-DE-POLIETILENO_2022_04.pdf" TargetMode="External"/><Relationship Id="rId771" Type="http://schemas.openxmlformats.org/officeDocument/2006/relationships/hyperlink" Target="https://www.egbgroup.com/wp-content/uploads/2022/04/TARIFA_EGB_ACCESORIOS-DE-POLIETILENO_2022_04.pdf" TargetMode="External"/><Relationship Id="rId772" Type="http://schemas.openxmlformats.org/officeDocument/2006/relationships/hyperlink" Target="https://www.egbgroup.com/wp-content/uploads/2022/04/TARIFA_EGB_ACCESORIOS-DE-POLIETILENO_2022_04.pdf" TargetMode="External"/><Relationship Id="rId773" Type="http://schemas.openxmlformats.org/officeDocument/2006/relationships/hyperlink" Target="https://www.egbgroup.com/wp-content/uploads/2022/04/TARIFA_EGB_ACCESORIOS-DE-POLIETILENO_2022_04.pdf" TargetMode="External"/><Relationship Id="rId774" Type="http://schemas.openxmlformats.org/officeDocument/2006/relationships/hyperlink" Target="https://www.egbgroup.com/wp-content/uploads/2022/04/TARIFA_EGB_ACCESORIOS-DE-POLIETILENO_2022_04.pdf" TargetMode="External"/><Relationship Id="rId775" Type="http://schemas.openxmlformats.org/officeDocument/2006/relationships/hyperlink" Target="https://www.egbgroup.com/wp-content/uploads/2022/04/TARIFA_EGB_ACCESORIOS-DE-POLIETILENO_2022_04.pdf" TargetMode="External"/><Relationship Id="rId776" Type="http://schemas.openxmlformats.org/officeDocument/2006/relationships/hyperlink" Target="https://www.egbgroup.com/wp-content/uploads/2022/04/TARIFA_EGB_ACCESORIOS-DE-POLIETILENO_2022_04.pdf" TargetMode="External"/><Relationship Id="rId777" Type="http://schemas.openxmlformats.org/officeDocument/2006/relationships/hyperlink" Target="https://www.egbgroup.com/wp-content/uploads/2022/04/TARIFA_EGB_ACCESORIOS-DE-POLIETILENO_2022_04.pdf" TargetMode="External"/><Relationship Id="rId778" Type="http://schemas.openxmlformats.org/officeDocument/2006/relationships/hyperlink" Target="https://www.egbgroup.com/wp-content/uploads/2022/04/TARIFA_EGB_ACCESORIOS-DE-POLIETILENO_2022_04.pdf" TargetMode="External"/><Relationship Id="rId779" Type="http://schemas.openxmlformats.org/officeDocument/2006/relationships/hyperlink" Target="https://www.egbgroup.com/wp-content/uploads/2022/04/TARIFA_EGB_ACCESORIOS-DE-POLIETILENO_2022_04.pdf" TargetMode="External"/><Relationship Id="rId780" Type="http://schemas.openxmlformats.org/officeDocument/2006/relationships/hyperlink" Target="https://www.egbgroup.com/wp-content/uploads/2022/04/TARIFA_EGB_ACCESORIOS-DE-POLIETILENO_2022_04.pdf" TargetMode="External"/><Relationship Id="rId781" Type="http://schemas.openxmlformats.org/officeDocument/2006/relationships/hyperlink" Target="https://www.egbgroup.com/wp-content/uploads/2022/04/TARIFA_EGB_ACCESORIOS-DE-POLIETILENO_2022_04.pdf" TargetMode="External"/><Relationship Id="rId782" Type="http://schemas.openxmlformats.org/officeDocument/2006/relationships/hyperlink" Target="https://www.egbgroup.com/wp-content/uploads/2022/04/TARIFA_EGB_ACCESORIOS-DE-POLIETILENO_2022_04.pdf" TargetMode="External"/><Relationship Id="rId783" Type="http://schemas.openxmlformats.org/officeDocument/2006/relationships/hyperlink" Target="https://www.egbgroup.com/wp-content/uploads/2022/04/TARIFA_EGB_ACCESORIOS-DE-POLIETILENO_2022_04.pdf" TargetMode="External"/><Relationship Id="rId784" Type="http://schemas.openxmlformats.org/officeDocument/2006/relationships/hyperlink" Target="https://www.egbgroup.com/wp-content/uploads/2022/04/TARIFA_EGB_ACCESORIOS-DE-POLIETILENO_2022_04.pdf" TargetMode="External"/><Relationship Id="rId785" Type="http://schemas.openxmlformats.org/officeDocument/2006/relationships/hyperlink" Target="https://www.egbgroup.com/wp-content/uploads/2022/04/TARIFA_EGB_ACCESORIOS-DE-POLIETILENO_2022_04.pdf" TargetMode="External"/><Relationship Id="rId786" Type="http://schemas.openxmlformats.org/officeDocument/2006/relationships/hyperlink" Target="https://www.egbgroup.com/wp-content/uploads/2022/04/TARIFA_EGB_ACCESORIOS-DE-POLIETILENO_2022_04.pdf" TargetMode="External"/><Relationship Id="rId787" Type="http://schemas.openxmlformats.org/officeDocument/2006/relationships/hyperlink" Target="https://www.egbgroup.com/wp-content/uploads/2022/04/TARIFA_EGB_ACCESORIOS-DE-POLIETILENO_2022_04.pdf" TargetMode="External"/><Relationship Id="rId788" Type="http://schemas.openxmlformats.org/officeDocument/2006/relationships/hyperlink" Target="https://www.egbgroup.com/wp-content/uploads/2022/04/TARIFA_EGB_ACCESORIOS-DE-POLIETILENO_2022_04.pdf" TargetMode="External"/><Relationship Id="rId789" Type="http://schemas.openxmlformats.org/officeDocument/2006/relationships/hyperlink" Target="https://www.egbgroup.com/wp-content/uploads/2022/04/TARIFA_EGB_ACCESORIOS-DE-POLIETILENO_2022_04.pdf" TargetMode="External"/><Relationship Id="rId790" Type="http://schemas.openxmlformats.org/officeDocument/2006/relationships/hyperlink" Target="https://www.egbgroup.com/wp-content/uploads/2022/04/TARIFA_EGB_ACCESORIOS-DE-POLIETILENO_2022_04.pdf" TargetMode="External"/><Relationship Id="rId791" Type="http://schemas.openxmlformats.org/officeDocument/2006/relationships/hyperlink" Target="https://www.egbgroup.com/wp-content/uploads/2022/04/TARIFA_EGB_ACCESORIOS-DE-POLIETILENO_2022_04.pdf" TargetMode="External"/><Relationship Id="rId792" Type="http://schemas.openxmlformats.org/officeDocument/2006/relationships/hyperlink" Target="https://www.egbgroup.com/wp-content/uploads/2022/04/TARIFA_EGB_ACCESORIOS-DE-POLIETILENO_2022_04.pdf" TargetMode="External"/><Relationship Id="rId793" Type="http://schemas.openxmlformats.org/officeDocument/2006/relationships/hyperlink" Target="https://www.egbgroup.com/wp-content/uploads/2022/04/TARIFA_EGB_ACCESORIOS-DE-POLIETILENO_2022_04.pdf" TargetMode="External"/><Relationship Id="rId794" Type="http://schemas.openxmlformats.org/officeDocument/2006/relationships/hyperlink" Target="https://www.egbgroup.com/wp-content/uploads/2022/04/TARIFA_EGB_ACCESORIOS-DE-POLIETILENO_2022_04.pdf" TargetMode="External"/><Relationship Id="rId795" Type="http://schemas.openxmlformats.org/officeDocument/2006/relationships/hyperlink" Target="https://www.egbgroup.com/wp-content/uploads/2022/04/TARIFA_EGB_ACCESORIOS-DE-POLIETILENO_2022_04.pdf" TargetMode="External"/><Relationship Id="rId796" Type="http://schemas.openxmlformats.org/officeDocument/2006/relationships/hyperlink" Target="https://www.egbgroup.com/wp-content/uploads/2022/04/TARIFA_EGB_ACCESORIOS-DE-POLIETILENO_2022_04.pdf" TargetMode="External"/><Relationship Id="rId797" Type="http://schemas.openxmlformats.org/officeDocument/2006/relationships/hyperlink" Target="https://www.egbgroup.com/wp-content/uploads/2022/04/TARIFA_EGB_ACCESORIOS-DE-POLIETILENO_2022_04.pdf" TargetMode="External"/><Relationship Id="rId798" Type="http://schemas.openxmlformats.org/officeDocument/2006/relationships/hyperlink" Target="https://www.egbgroup.com/wp-content/uploads/2022/04/TARIFA_EGB_ACCESORIOS-DE-POLIETILENO_2022_04.pdf" TargetMode="External"/><Relationship Id="rId799" Type="http://schemas.openxmlformats.org/officeDocument/2006/relationships/hyperlink" Target="https://www.egbgroup.com/wp-content/uploads/2022/04/TARIFA_EGB_ACCESORIOS-DE-POLIETILENO_2022_04.pdf" TargetMode="External"/><Relationship Id="rId800" Type="http://schemas.openxmlformats.org/officeDocument/2006/relationships/hyperlink" Target="https://www.egbgroup.com/wp-content/uploads/2022/04/TARIFA_EGB_ACCESORIOS-DE-POLIETILENO_2022_04.pdf" TargetMode="External"/><Relationship Id="rId801" Type="http://schemas.openxmlformats.org/officeDocument/2006/relationships/hyperlink" Target="https://www.egbgroup.com/wp-content/uploads/2022/04/TARIFA_EGB_ACCESORIOS-DE-POLIETILENO_2022_04.pdf" TargetMode="External"/><Relationship Id="rId802" Type="http://schemas.openxmlformats.org/officeDocument/2006/relationships/hyperlink" Target="https://www.egbgroup.com/wp-content/uploads/2022/04/TARIFA_EGB_ACCESORIOS-DE-POLIETILENO_2022_04.pdf" TargetMode="External"/><Relationship Id="rId803" Type="http://schemas.openxmlformats.org/officeDocument/2006/relationships/hyperlink" Target="https://www.egbgroup.com/wp-content/uploads/2022/04/TARIFA_EGB_ACCESORIOS-DE-POLIETILENO_2022_04.pdf" TargetMode="External"/><Relationship Id="rId804" Type="http://schemas.openxmlformats.org/officeDocument/2006/relationships/hyperlink" Target="https://www.egbgroup.com/wp-content/uploads/2022/04/TARIFA_EGB_ACCESORIOS-DE-POLIETILENO_2022_04.pdf" TargetMode="External"/><Relationship Id="rId805" Type="http://schemas.openxmlformats.org/officeDocument/2006/relationships/hyperlink" Target="https://www.egbgroup.com/wp-content/uploads/2022/04/TARIFA_EGB_ACCESORIOS-DE-POLIETILENO_2022_04.pdf" TargetMode="External"/><Relationship Id="rId806" Type="http://schemas.openxmlformats.org/officeDocument/2006/relationships/hyperlink" Target="https://www.egbgroup.com/wp-content/uploads/2022/04/TARIFA_EGB_ACCESORIOS-DE-POLIETILENO_2022_04.pdf" TargetMode="External"/><Relationship Id="rId807" Type="http://schemas.openxmlformats.org/officeDocument/2006/relationships/hyperlink" Target="https://www.egbgroup.com/wp-content/uploads/2022/04/TARIFA_EGB_ACCESORIOS-DE-POLIETILENO_2022_04.pdf" TargetMode="External"/><Relationship Id="rId808" Type="http://schemas.openxmlformats.org/officeDocument/2006/relationships/hyperlink" Target="https://www.egbgroup.com/wp-content/uploads/2022/04/TARIFA_EGB_ACCESORIOS-DE-POLIETILENO_2022_04.pdf" TargetMode="External"/><Relationship Id="rId809" Type="http://schemas.openxmlformats.org/officeDocument/2006/relationships/hyperlink" Target="https://www.egbgroup.com/wp-content/uploads/2022/04/TARIFA_EGB_ACCESORIOS-DE-POLIETILENO_2022_04.pdf" TargetMode="External"/><Relationship Id="rId810" Type="http://schemas.openxmlformats.org/officeDocument/2006/relationships/hyperlink" Target="https://www.egbgroup.com/wp-content/uploads/2022/04/TARIFA_EGB_ACCESORIOS-DE-POLIETILENO_2022_04.pdf" TargetMode="External"/><Relationship Id="rId811" Type="http://schemas.openxmlformats.org/officeDocument/2006/relationships/hyperlink" Target="https://www.egbgroup.com/wp-content/uploads/2022/04/TARIFA_EGB_ACCESORIOS-DE-POLIETILENO_2022_04.pdf" TargetMode="External"/><Relationship Id="rId812" Type="http://schemas.openxmlformats.org/officeDocument/2006/relationships/hyperlink" Target="https://www.egbgroup.com/wp-content/uploads/2022/04/TARIFA_EGB_ACCESORIOS-DE-POLIETILENO_2022_04.pdf" TargetMode="External"/><Relationship Id="rId813" Type="http://schemas.openxmlformats.org/officeDocument/2006/relationships/hyperlink" Target="https://www.egbgroup.com/wp-content/uploads/2022/04/TARIFA_EGB_ACCESORIOS-DE-POLIETILENO_2022_04.pdf" TargetMode="External"/><Relationship Id="rId814" Type="http://schemas.openxmlformats.org/officeDocument/2006/relationships/hyperlink" Target="https://www.egbgroup.com/wp-content/uploads/2022/04/TARIFA_EGB_ACCESORIOS-DE-POLIETILENO_2022_04.pdf" TargetMode="External"/><Relationship Id="rId815" Type="http://schemas.openxmlformats.org/officeDocument/2006/relationships/hyperlink" Target="https://www.egbgroup.com/wp-content/uploads/2022/04/TARIFA_EGB_ACCESORIOS-DE-POLIETILENO_2022_04.pdf" TargetMode="External"/><Relationship Id="rId816" Type="http://schemas.openxmlformats.org/officeDocument/2006/relationships/hyperlink" Target="https://www.egbgroup.com/wp-content/uploads/2022/04/TARIFA_EGB_ACCESORIOS-DE-POLIETILENO_2022_04.pdf" TargetMode="External"/><Relationship Id="rId817" Type="http://schemas.openxmlformats.org/officeDocument/2006/relationships/hyperlink" Target="https://www.egbgroup.com/wp-content/uploads/2022/04/TARIFA_EGB_ACCESORIOS-DE-POLIETILENO_2022_04.pdf" TargetMode="External"/><Relationship Id="rId818" Type="http://schemas.openxmlformats.org/officeDocument/2006/relationships/hyperlink" Target="https://www.egbgroup.com/wp-content/uploads/2022/04/TARIFA_EGB_ACCESORIOS-DE-POLIETILENO_2022_04.pdf" TargetMode="External"/><Relationship Id="rId819" Type="http://schemas.openxmlformats.org/officeDocument/2006/relationships/hyperlink" Target="https://www.egbgroup.com/wp-content/uploads/2022/04/TARIFA_EGB_ACCESORIOS-DE-POLIETILENO_2022_04.pdf" TargetMode="External"/><Relationship Id="rId820" Type="http://schemas.openxmlformats.org/officeDocument/2006/relationships/hyperlink" Target="https://www.egbgroup.com/wp-content/uploads/2022/04/TARIFA_EGB_ACCESORIOS-DE-POLIETILENO_2022_04.pdf" TargetMode="External"/><Relationship Id="rId821" Type="http://schemas.openxmlformats.org/officeDocument/2006/relationships/hyperlink" Target="https://www.egbgroup.com/wp-content/uploads/2022/04/TARIFA_EGB_ACCESORIOS-DE-POLIETILENO_2022_04.pdf" TargetMode="External"/><Relationship Id="rId822" Type="http://schemas.openxmlformats.org/officeDocument/2006/relationships/hyperlink" Target="https://www.egbgroup.com/wp-content/uploads/2022/04/TARIFA_EGB_ACCESORIOS-DE-POLIETILENO_2022_04.pdf" TargetMode="External"/><Relationship Id="rId823" Type="http://schemas.openxmlformats.org/officeDocument/2006/relationships/hyperlink" Target="https://www.egbgroup.com/wp-content/uploads/2022/04/TARIFA_EGB_ACCESORIOS-DE-POLIETILENO_2022_04.pdf" TargetMode="External"/><Relationship Id="rId824" Type="http://schemas.openxmlformats.org/officeDocument/2006/relationships/hyperlink" Target="https://www.egbgroup.com/wp-content/uploads/2022/04/TARIFA_EGB_ACCESORIOS-DE-POLIETILENO_2022_04.pdf" TargetMode="External"/><Relationship Id="rId825" Type="http://schemas.openxmlformats.org/officeDocument/2006/relationships/hyperlink" Target="https://www.egbgroup.com/wp-content/uploads/2022/04/TARIFA_EGB_ACCESORIOS-DE-POLIETILENO_2022_04.pdf" TargetMode="External"/><Relationship Id="rId826" Type="http://schemas.openxmlformats.org/officeDocument/2006/relationships/hyperlink" Target="https://www.egbgroup.com/wp-content/uploads/2022/04/TARIFA_EGB_ACCESORIOS-DE-POLIETILENO_2022_04.pdf" TargetMode="External"/><Relationship Id="rId827" Type="http://schemas.openxmlformats.org/officeDocument/2006/relationships/hyperlink" Target="https://www.egbgroup.com/wp-content/uploads/2022/04/TARIFA_EGB_ACCESORIOS-DE-POLIETILENO_2022_04.pdf" TargetMode="External"/><Relationship Id="rId828" Type="http://schemas.openxmlformats.org/officeDocument/2006/relationships/hyperlink" Target="https://www.egbgroup.com/wp-content/uploads/2022/04/TARIFA_EGB_ACCESORIOS-DE-POLIETILENO_2022_04.pdf" TargetMode="External"/><Relationship Id="rId829" Type="http://schemas.openxmlformats.org/officeDocument/2006/relationships/hyperlink" Target="https://www.egbgroup.com/wp-content/uploads/2022/04/TARIFA_EGB_ACCESORIOS-DE-POLIETILENO_2022_04.pdf" TargetMode="External"/><Relationship Id="rId830" Type="http://schemas.openxmlformats.org/officeDocument/2006/relationships/hyperlink" Target="https://www.egbgroup.com/wp-content/uploads/2022/04/TARIFA_EGB_ACCESORIOS-DE-POLIETILENO_2022_04.pdf" TargetMode="External"/><Relationship Id="rId831" Type="http://schemas.openxmlformats.org/officeDocument/2006/relationships/hyperlink" Target="https://www.egbgroup.com/wp-content/uploads/2022/04/TARIFA_EGB_ACCESORIOS-DE-POLIETILENO_2022_04.pdf" TargetMode="External"/><Relationship Id="rId832" Type="http://schemas.openxmlformats.org/officeDocument/2006/relationships/hyperlink" Target="https://www.egbgroup.com/wp-content/uploads/2022/04/TARIFA_EGB_ACCESORIOS-DE-POLIETILENO_2022_04.pdf" TargetMode="External"/><Relationship Id="rId833" Type="http://schemas.openxmlformats.org/officeDocument/2006/relationships/hyperlink" Target="https://www.egbgroup.com/wp-content/uploads/2022/04/TARIFA_EGB_ACCESORIOS-DE-POLIETILENO_2022_04.pdf" TargetMode="External"/><Relationship Id="rId834" Type="http://schemas.openxmlformats.org/officeDocument/2006/relationships/hyperlink" Target="https://www.egbgroup.com/wp-content/uploads/2022/04/TARIFA_EGB_ACCESORIOS-DE-POLIETILENO_2022_04.pdf" TargetMode="External"/><Relationship Id="rId835" Type="http://schemas.openxmlformats.org/officeDocument/2006/relationships/hyperlink" Target="https://www.egbgroup.com/wp-content/uploads/2022/04/TARIFA_EGB_ACCESORIOS-DE-POLIETILENO_2022_04.pdf" TargetMode="External"/><Relationship Id="rId836" Type="http://schemas.openxmlformats.org/officeDocument/2006/relationships/hyperlink" Target="https://www.egbgroup.com/wp-content/uploads/2022/04/TARIFA_EGB_ACCESORIOS-DE-POLIETILENO_2022_04.pdf" TargetMode="External"/><Relationship Id="rId837" Type="http://schemas.openxmlformats.org/officeDocument/2006/relationships/hyperlink" Target="https://www.egbgroup.com/wp-content/uploads/2022/04/TARIFA_EGB_ACCESORIOS-DE-POLIETILENO_2022_04.pdf" TargetMode="External"/><Relationship Id="rId838" Type="http://schemas.openxmlformats.org/officeDocument/2006/relationships/hyperlink" Target="https://www.egbgroup.com/wp-content/uploads/2022/04/TARIFA_EGB_ACCESORIOS-DE-POLIETILENO_2022_04.pdf" TargetMode="External"/><Relationship Id="rId839" Type="http://schemas.openxmlformats.org/officeDocument/2006/relationships/hyperlink" Target="https://www.egbgroup.com/wp-content/uploads/2022/04/TARIFA_EGB_ACCESORIOS-DE-POLIETILENO_2022_04.pdf" TargetMode="External"/><Relationship Id="rId840" Type="http://schemas.openxmlformats.org/officeDocument/2006/relationships/hyperlink" Target="https://www.egbgroup.com/wp-content/uploads/2022/04/TARIFA_EGB_ACCESORIOS-DE-POLIETILENO_2022_04.pdf" TargetMode="External"/><Relationship Id="rId841" Type="http://schemas.openxmlformats.org/officeDocument/2006/relationships/hyperlink" Target="https://www.egbgroup.com/wp-content/uploads/2022/04/TARIFA_EGB_ACCESORIOS-DE-POLIETILENO_2022_04.pdf" TargetMode="External"/><Relationship Id="rId842" Type="http://schemas.openxmlformats.org/officeDocument/2006/relationships/hyperlink" Target="https://www.egbgroup.com/wp-content/uploads/2022/04/TARIFA_EGB_ACCESORIOS-DE-POLIETILENO_2022_04.pdf" TargetMode="External"/><Relationship Id="rId843" Type="http://schemas.openxmlformats.org/officeDocument/2006/relationships/hyperlink" Target="https://www.egbgroup.com/wp-content/uploads/2022/04/TARIFA_EGB_ACCESORIOS-DE-POLIETILENO_2022_04.pdf" TargetMode="External"/><Relationship Id="rId844" Type="http://schemas.openxmlformats.org/officeDocument/2006/relationships/hyperlink" Target="https://www.egbgroup.com/wp-content/uploads/2022/04/TARIFA_EGB_ACCESORIOS-DE-POLIETILENO_2022_04.pdf" TargetMode="External"/><Relationship Id="rId845" Type="http://schemas.openxmlformats.org/officeDocument/2006/relationships/hyperlink" Target="https://www.egbgroup.com/wp-content/uploads/2022/04/TARIFA_EGB_ACCESORIOS-DE-POLIETILENO_2022_04.pdf" TargetMode="External"/><Relationship Id="rId846" Type="http://schemas.openxmlformats.org/officeDocument/2006/relationships/hyperlink" Target="https://www.egbgroup.com/wp-content/uploads/2022/04/TARIFA_EGB_ACCESORIOS-DE-POLIETILENO_2022_04.pdf" TargetMode="External"/><Relationship Id="rId847" Type="http://schemas.openxmlformats.org/officeDocument/2006/relationships/hyperlink" Target="https://www.egbgroup.com/wp-content/uploads/2022/04/TARIFA_EGB_ACCESORIOS-DE-POLIETILENO_2022_04.pdf" TargetMode="External"/><Relationship Id="rId848" Type="http://schemas.openxmlformats.org/officeDocument/2006/relationships/hyperlink" Target="https://www.egbgroup.com/wp-content/uploads/2022/04/TARIFA_EGB_ACCESORIOS-DE-POLIETILENO_2022_04.pdf" TargetMode="External"/><Relationship Id="rId849" Type="http://schemas.openxmlformats.org/officeDocument/2006/relationships/hyperlink" Target="https://www.egbgroup.com/wp-content/uploads/2022/04/TARIFA_EGB_ACCESORIOS-DE-POLIETILENO_2022_04.pdf" TargetMode="External"/><Relationship Id="rId850" Type="http://schemas.openxmlformats.org/officeDocument/2006/relationships/hyperlink" Target="https://www.egbgroup.com/wp-content/uploads/2022/04/TARIFA_EGB_ACCESORIOS-DE-POLIETILENO_2022_04.pdf" TargetMode="External"/><Relationship Id="rId851" Type="http://schemas.openxmlformats.org/officeDocument/2006/relationships/hyperlink" Target="https://www.egbgroup.com/wp-content/uploads/2022/04/TARIFA_EGB_ACCESORIOS-DE-POLIETILENO_2022_04.pdf" TargetMode="External"/><Relationship Id="rId852" Type="http://schemas.openxmlformats.org/officeDocument/2006/relationships/hyperlink" Target="https://www.egbgroup.com/wp-content/uploads/2022/04/TARIFA_EGB_ACCESORIOS-DE-POLIETILENO_2022_04.pdf" TargetMode="External"/><Relationship Id="rId853" Type="http://schemas.openxmlformats.org/officeDocument/2006/relationships/hyperlink" Target="https://www.egbgroup.com/wp-content/uploads/2022/04/TARIFA_EGB_ACCESORIOS-DE-POLIETILENO_2022_04.pdf" TargetMode="External"/><Relationship Id="rId854" Type="http://schemas.openxmlformats.org/officeDocument/2006/relationships/hyperlink" Target="https://www.egbgroup.com/wp-content/uploads/2022/04/TARIFA_EGB_ACCESORIOS-DE-POLIETILENO_2022_04.pdf" TargetMode="External"/><Relationship Id="rId855" Type="http://schemas.openxmlformats.org/officeDocument/2006/relationships/hyperlink" Target="https://www.egbgroup.com/wp-content/uploads/2022/04/TARIFA_EGB_ACCESORIOS-DE-POLIETILENO_2022_04.pdf" TargetMode="External"/><Relationship Id="rId856" Type="http://schemas.openxmlformats.org/officeDocument/2006/relationships/hyperlink" Target="https://www.egbgroup.com/wp-content/uploads/2022/04/TARIFA_EGB_ACCESORIOS-DE-POLIETILENO_2022_04.pdf" TargetMode="External"/><Relationship Id="rId857" Type="http://schemas.openxmlformats.org/officeDocument/2006/relationships/hyperlink" Target="https://latiendadeljardin.com/es/piezas-de-polietileno/443-663-manguito-igual-pe.html" TargetMode="External"/><Relationship Id="rId858" Type="http://schemas.openxmlformats.org/officeDocument/2006/relationships/hyperlink" Target="https://latiendadeljardin.com/es/piezas-de-polietileno/443-663-manguito-igual-pe.html" TargetMode="External"/><Relationship Id="rId859" Type="http://schemas.openxmlformats.org/officeDocument/2006/relationships/hyperlink" Target="https://latiendadeljardin.com/es/piezas-de-polietileno/443-663-manguito-igual-pe.html" TargetMode="External"/><Relationship Id="rId860" Type="http://schemas.openxmlformats.org/officeDocument/2006/relationships/hyperlink" Target="https://latiendadeljardin.com/es/piezas-de-polietileno/443-663-manguito-igual-pe.html" TargetMode="External"/><Relationship Id="rId861" Type="http://schemas.openxmlformats.org/officeDocument/2006/relationships/hyperlink" Target="https://latiendadeljardin.com/es/piezas-de-polietileno/443-663-manguito-igual-pe.html" TargetMode="External"/><Relationship Id="rId862" Type="http://schemas.openxmlformats.org/officeDocument/2006/relationships/hyperlink" Target="https://latiendadeljardin.com/es/piezas-de-polietileno/443-663-manguito-igual-pe.html" TargetMode="External"/><Relationship Id="rId863" Type="http://schemas.openxmlformats.org/officeDocument/2006/relationships/hyperlink" Target="https://latiendadeljardin.com/es/piezas-de-polietileno/443-663-manguito-igual-pe.html" TargetMode="External"/><Relationship Id="rId864" Type="http://schemas.openxmlformats.org/officeDocument/2006/relationships/hyperlink" Target="https://latiendadeljardin.com/es/piezas-de-polietileno/443-663-manguito-igual-pe.html" TargetMode="External"/><Relationship Id="rId865" Type="http://schemas.openxmlformats.org/officeDocument/2006/relationships/hyperlink" Target="https://latiendadeljardin.com/es/piezas-de-polietileno/444-679-manguito-reducido-pe.html" TargetMode="External"/><Relationship Id="rId866" Type="http://schemas.openxmlformats.org/officeDocument/2006/relationships/hyperlink" Target="https://latiendadeljardin.com/es/piezas-de-polietileno/444-679-manguito-reducido-pe.html" TargetMode="External"/><Relationship Id="rId867" Type="http://schemas.openxmlformats.org/officeDocument/2006/relationships/hyperlink" Target="https://latiendadeljardin.com/es/piezas-de-polietileno/444-679-manguito-reducido-pe.html" TargetMode="External"/><Relationship Id="rId868" Type="http://schemas.openxmlformats.org/officeDocument/2006/relationships/hyperlink" Target="https://latiendadeljardin.com/es/piezas-de-polietileno/444-679-manguito-reducido-pe.html" TargetMode="External"/><Relationship Id="rId869" Type="http://schemas.openxmlformats.org/officeDocument/2006/relationships/hyperlink" Target="https://latiendadeljardin.com/es/piezas-de-polietileno/444-679-manguito-reducido-pe.html" TargetMode="External"/><Relationship Id="rId870" Type="http://schemas.openxmlformats.org/officeDocument/2006/relationships/hyperlink" Target="https://latiendadeljardin.com/es/piezas-de-polietileno/444-679-manguito-reducido-pe.html" TargetMode="External"/><Relationship Id="rId871" Type="http://schemas.openxmlformats.org/officeDocument/2006/relationships/hyperlink" Target="https://latiendadeljardin.com/es/piezas-de-polietileno/444-679-manguito-reducido-pe.html" TargetMode="External"/><Relationship Id="rId872" Type="http://schemas.openxmlformats.org/officeDocument/2006/relationships/hyperlink" Target="https://latiendadeljardin.com/es/piezas-de-polietileno/445-693-enlace-hembra-pe.html" TargetMode="External"/><Relationship Id="rId873" Type="http://schemas.openxmlformats.org/officeDocument/2006/relationships/hyperlink" Target="https://latiendadeljardin.com/es/piezas-de-polietileno/445-693-enlace-hembra-pe.html" TargetMode="External"/><Relationship Id="rId874" Type="http://schemas.openxmlformats.org/officeDocument/2006/relationships/hyperlink" Target="https://latiendadeljardin.com/es/piezas-de-polietileno/445-693-enlace-hembra-pe.html" TargetMode="External"/><Relationship Id="rId875" Type="http://schemas.openxmlformats.org/officeDocument/2006/relationships/hyperlink" Target="https://latiendadeljardin.com/es/piezas-de-polietileno/445-693-enlace-hembra-pe.html" TargetMode="External"/><Relationship Id="rId876" Type="http://schemas.openxmlformats.org/officeDocument/2006/relationships/hyperlink" Target="https://latiendadeljardin.com/es/piezas-de-polietileno/445-693-enlace-hembra-pe.html" TargetMode="External"/><Relationship Id="rId877" Type="http://schemas.openxmlformats.org/officeDocument/2006/relationships/hyperlink" Target="https://latiendadeljardin.com/es/piezas-de-polietileno/445-693-enlace-hembra-pe.html" TargetMode="External"/><Relationship Id="rId878" Type="http://schemas.openxmlformats.org/officeDocument/2006/relationships/hyperlink" Target="https://latiendadeljardin.com/es/piezas-de-polietileno/445-693-enlace-hembra-pe.html" TargetMode="External"/><Relationship Id="rId879" Type="http://schemas.openxmlformats.org/officeDocument/2006/relationships/hyperlink" Target="https://latiendadeljardin.com/es/piezas-de-polietileno/445-693-enlace-hembra-pe.html" TargetMode="External"/><Relationship Id="rId880" Type="http://schemas.openxmlformats.org/officeDocument/2006/relationships/hyperlink" Target="https://latiendadeljardin.com/es/piezas-de-polietileno/446-701-enlace-macho-pe.html" TargetMode="External"/><Relationship Id="rId881" Type="http://schemas.openxmlformats.org/officeDocument/2006/relationships/hyperlink" Target="https://latiendadeljardin.com/es/piezas-de-polietileno/446-701-enlace-macho-pe.html" TargetMode="External"/><Relationship Id="rId882" Type="http://schemas.openxmlformats.org/officeDocument/2006/relationships/hyperlink" Target="https://latiendadeljardin.com/es/piezas-de-polietileno/446-701-enlace-macho-pe.html" TargetMode="External"/><Relationship Id="rId883" Type="http://schemas.openxmlformats.org/officeDocument/2006/relationships/hyperlink" Target="https://latiendadeljardin.com/es/piezas-de-polietileno/446-701-enlace-macho-pe.html" TargetMode="External"/><Relationship Id="rId884" Type="http://schemas.openxmlformats.org/officeDocument/2006/relationships/hyperlink" Target="https://latiendadeljardin.com/es/piezas-de-polietileno/446-701-enlace-macho-pe.html" TargetMode="External"/><Relationship Id="rId885" Type="http://schemas.openxmlformats.org/officeDocument/2006/relationships/hyperlink" Target="https://latiendadeljardin.com/es/piezas-de-polietileno/446-701-enlace-macho-pe.html" TargetMode="External"/><Relationship Id="rId886" Type="http://schemas.openxmlformats.org/officeDocument/2006/relationships/hyperlink" Target="https://latiendadeljardin.com/es/piezas-de-polietileno/446-701-enlace-macho-pe.html" TargetMode="External"/><Relationship Id="rId887" Type="http://schemas.openxmlformats.org/officeDocument/2006/relationships/hyperlink" Target="https://latiendadeljardin.com/es/piezas-de-polietileno/446-701-enlace-macho-pe.html" TargetMode="External"/><Relationship Id="rId888" Type="http://schemas.openxmlformats.org/officeDocument/2006/relationships/hyperlink" Target="https://latiendadeljardin.com/es/piezas-de-polietileno/447-709-Codo-igual-pe.html" TargetMode="External"/><Relationship Id="rId889" Type="http://schemas.openxmlformats.org/officeDocument/2006/relationships/hyperlink" Target="https://latiendadeljardin.com/es/piezas-de-polietileno/447-709-Codo-igual-pe.html" TargetMode="External"/><Relationship Id="rId890" Type="http://schemas.openxmlformats.org/officeDocument/2006/relationships/hyperlink" Target="https://latiendadeljardin.com/es/piezas-de-polietileno/447-709-Codo-igual-pe.html" TargetMode="External"/><Relationship Id="rId891" Type="http://schemas.openxmlformats.org/officeDocument/2006/relationships/hyperlink" Target="https://latiendadeljardin.com/es/piezas-de-polietileno/447-709-Codo-igual-pe.html" TargetMode="External"/><Relationship Id="rId892" Type="http://schemas.openxmlformats.org/officeDocument/2006/relationships/hyperlink" Target="https://latiendadeljardin.com/es/piezas-de-polietileno/447-709-Codo-igual-pe.html" TargetMode="External"/><Relationship Id="rId893" Type="http://schemas.openxmlformats.org/officeDocument/2006/relationships/hyperlink" Target="https://latiendadeljardin.com/es/piezas-de-polietileno/447-709-Codo-igual-pe.html" TargetMode="External"/><Relationship Id="rId894" Type="http://schemas.openxmlformats.org/officeDocument/2006/relationships/hyperlink" Target="https://latiendadeljardin.com/es/piezas-de-polietileno/447-709-Codo-igual-pe.html" TargetMode="External"/><Relationship Id="rId895" Type="http://schemas.openxmlformats.org/officeDocument/2006/relationships/hyperlink" Target="https://latiendadeljardin.com/es/piezas-de-polietileno/447-709-Codo-igual-pe.html" TargetMode="External"/><Relationship Id="rId896" Type="http://schemas.openxmlformats.org/officeDocument/2006/relationships/hyperlink" Target="https://latiendadeljardin.com/es/piezas-de-polietileno/448-717-codo-hembra-pe.html" TargetMode="External"/><Relationship Id="rId897" Type="http://schemas.openxmlformats.org/officeDocument/2006/relationships/hyperlink" Target="https://latiendadeljardin.com/es/piezas-de-polietileno/448-717-codo-hembra-pe.html" TargetMode="External"/><Relationship Id="rId898" Type="http://schemas.openxmlformats.org/officeDocument/2006/relationships/hyperlink" Target="https://latiendadeljardin.com/es/piezas-de-polietileno/448-717-codo-hembra-pe.html" TargetMode="External"/><Relationship Id="rId899" Type="http://schemas.openxmlformats.org/officeDocument/2006/relationships/hyperlink" Target="https://latiendadeljardin.com/es/piezas-de-polietileno/448-717-codo-hembra-pe.html" TargetMode="External"/><Relationship Id="rId900" Type="http://schemas.openxmlformats.org/officeDocument/2006/relationships/hyperlink" Target="https://latiendadeljardin.com/es/piezas-de-polietileno/448-717-codo-hembra-pe.html" TargetMode="External"/><Relationship Id="rId901" Type="http://schemas.openxmlformats.org/officeDocument/2006/relationships/hyperlink" Target="https://latiendadeljardin.com/es/piezas-de-polietileno/448-717-codo-hembra-pe.html" TargetMode="External"/><Relationship Id="rId902" Type="http://schemas.openxmlformats.org/officeDocument/2006/relationships/hyperlink" Target="https://latiendadeljardin.com/es/piezas-de-polietileno/448-717-codo-hembra-pe.html" TargetMode="External"/><Relationship Id="rId903" Type="http://schemas.openxmlformats.org/officeDocument/2006/relationships/hyperlink" Target="https://latiendadeljardin.com/es/piezas-de-polietileno/448-717-codo-hembra-pe.html" TargetMode="External"/><Relationship Id="rId904" Type="http://schemas.openxmlformats.org/officeDocument/2006/relationships/hyperlink" Target="https://latiendadeljardin.com/es/piezas-de-polietileno/449-725-codo-macho-pe.html" TargetMode="External"/><Relationship Id="rId905" Type="http://schemas.openxmlformats.org/officeDocument/2006/relationships/hyperlink" Target="https://latiendadeljardin.com/es/piezas-de-polietileno/449-725-codo-macho-pe.html" TargetMode="External"/><Relationship Id="rId906" Type="http://schemas.openxmlformats.org/officeDocument/2006/relationships/hyperlink" Target="https://latiendadeljardin.com/es/piezas-de-polietileno/449-725-codo-macho-pe.html" TargetMode="External"/><Relationship Id="rId907" Type="http://schemas.openxmlformats.org/officeDocument/2006/relationships/hyperlink" Target="https://latiendadeljardin.com/es/piezas-de-polietileno/449-725-codo-macho-pe.html" TargetMode="External"/><Relationship Id="rId908" Type="http://schemas.openxmlformats.org/officeDocument/2006/relationships/hyperlink" Target="https://latiendadeljardin.com/es/piezas-de-polietileno/449-725-codo-macho-pe.html" TargetMode="External"/><Relationship Id="rId909" Type="http://schemas.openxmlformats.org/officeDocument/2006/relationships/hyperlink" Target="https://latiendadeljardin.com/es/piezas-de-polietileno/449-725-codo-macho-pe.html" TargetMode="External"/><Relationship Id="rId910" Type="http://schemas.openxmlformats.org/officeDocument/2006/relationships/hyperlink" Target="https://latiendadeljardin.com/es/piezas-de-polietileno/450-733-Te-igual-pe.html" TargetMode="External"/><Relationship Id="rId911" Type="http://schemas.openxmlformats.org/officeDocument/2006/relationships/hyperlink" Target="https://latiendadeljardin.com/es/piezas-de-polietileno/450-733-Te-igual-pe.html" TargetMode="External"/><Relationship Id="rId912" Type="http://schemas.openxmlformats.org/officeDocument/2006/relationships/hyperlink" Target="https://latiendadeljardin.com/es/piezas-de-polietileno/450-733-Te-igual-pe.html" TargetMode="External"/><Relationship Id="rId913" Type="http://schemas.openxmlformats.org/officeDocument/2006/relationships/hyperlink" Target="https://latiendadeljardin.com/es/piezas-de-polietileno/450-733-Te-igual-pe.html" TargetMode="External"/><Relationship Id="rId914" Type="http://schemas.openxmlformats.org/officeDocument/2006/relationships/hyperlink" Target="https://latiendadeljardin.com/es/piezas-de-polietileno/450-733-Te-igual-pe.html" TargetMode="External"/><Relationship Id="rId915" Type="http://schemas.openxmlformats.org/officeDocument/2006/relationships/hyperlink" Target="https://latiendadeljardin.com/es/piezas-de-polietileno/450-733-Te-igual-pe.html" TargetMode="External"/><Relationship Id="rId916" Type="http://schemas.openxmlformats.org/officeDocument/2006/relationships/hyperlink" Target="https://latiendadeljardin.com/es/piezas-de-polietileno/450-733-Te-igual-pe.html" TargetMode="External"/><Relationship Id="rId917" Type="http://schemas.openxmlformats.org/officeDocument/2006/relationships/hyperlink" Target="https://latiendadeljardin.com/es/piezas-de-polietileno/450-733-Te-igual-pe.html" TargetMode="External"/><Relationship Id="rId918" Type="http://schemas.openxmlformats.org/officeDocument/2006/relationships/hyperlink" Target="https://latiendadeljardin.com/es/piezas-de-polietileno/451-740-te-reducida-pe.html" TargetMode="External"/><Relationship Id="rId919" Type="http://schemas.openxmlformats.org/officeDocument/2006/relationships/hyperlink" Target="https://latiendadeljardin.com/es/piezas-de-polietileno/451-740-te-reducida-pe.html" TargetMode="External"/><Relationship Id="rId920" Type="http://schemas.openxmlformats.org/officeDocument/2006/relationships/hyperlink" Target="https://latiendadeljardin.com/es/piezas-de-polietileno/451-740-te-reducida-pe.html" TargetMode="External"/><Relationship Id="rId921" Type="http://schemas.openxmlformats.org/officeDocument/2006/relationships/hyperlink" Target="https://latiendadeljardin.com/es/piezas-de-polietileno/451-740-te-reducida-pe.html" TargetMode="External"/><Relationship Id="rId922" Type="http://schemas.openxmlformats.org/officeDocument/2006/relationships/hyperlink" Target="https://latiendadeljardin.com/es/piezas-de-polietileno/451-740-te-reducida-pe.html" TargetMode="External"/><Relationship Id="rId923" Type="http://schemas.openxmlformats.org/officeDocument/2006/relationships/hyperlink" Target="https://latiendadeljardin.com/es/piezas-de-polietileno/452-748-Te-hembra-pe.html" TargetMode="External"/><Relationship Id="rId924" Type="http://schemas.openxmlformats.org/officeDocument/2006/relationships/hyperlink" Target="https://latiendadeljardin.com/es/piezas-de-polietileno/452-748-Te-hembra-pe.html" TargetMode="External"/><Relationship Id="rId925" Type="http://schemas.openxmlformats.org/officeDocument/2006/relationships/hyperlink" Target="https://latiendadeljardin.com/es/piezas-de-polietileno/452-748-Te-hembra-pe.html" TargetMode="External"/><Relationship Id="rId926" Type="http://schemas.openxmlformats.org/officeDocument/2006/relationships/hyperlink" Target="https://latiendadeljardin.com/es/piezas-de-polietileno/452-748-Te-hembra-pe.html" TargetMode="External"/><Relationship Id="rId927" Type="http://schemas.openxmlformats.org/officeDocument/2006/relationships/hyperlink" Target="https://latiendadeljardin.com/es/piezas-de-polietileno/452-748-Te-hembra-pe.html" TargetMode="External"/><Relationship Id="rId928" Type="http://schemas.openxmlformats.org/officeDocument/2006/relationships/hyperlink" Target="https://latiendadeljardin.com/es/piezas-de-polietileno/452-748-Te-hembra-pe.html" TargetMode="External"/><Relationship Id="rId929" Type="http://schemas.openxmlformats.org/officeDocument/2006/relationships/hyperlink" Target="https://latiendadeljardin.com/es/piezas-de-polietileno/452-748-Te-hembra-pe.html" TargetMode="External"/><Relationship Id="rId930" Type="http://schemas.openxmlformats.org/officeDocument/2006/relationships/hyperlink" Target="https://latiendadeljardin.com/es/piezas-de-polietileno/452-748-Te-hembra-pe.html" TargetMode="External"/><Relationship Id="rId931" Type="http://schemas.openxmlformats.org/officeDocument/2006/relationships/hyperlink" Target="https://latiendadeljardin.com/es/piezas-de-polietileno/453-756-Te-macho-pe.html" TargetMode="External"/><Relationship Id="rId932" Type="http://schemas.openxmlformats.org/officeDocument/2006/relationships/hyperlink" Target="https://latiendadeljardin.com/es/piezas-de-polietileno/453-756-Te-macho-pe.html" TargetMode="External"/><Relationship Id="rId933" Type="http://schemas.openxmlformats.org/officeDocument/2006/relationships/hyperlink" Target="https://latiendadeljardin.com/es/piezas-de-polietileno/453-756-Te-macho-pe.html" TargetMode="External"/><Relationship Id="rId934" Type="http://schemas.openxmlformats.org/officeDocument/2006/relationships/hyperlink" Target="https://latiendadeljardin.com/es/piezas-de-polietileno/453-756-Te-macho-pe.html" TargetMode="External"/><Relationship Id="rId935" Type="http://schemas.openxmlformats.org/officeDocument/2006/relationships/hyperlink" Target="https://latiendadeljardin.com/es/piezas-de-polietileno/453-756-Te-macho-pe.html" TargetMode="External"/><Relationship Id="rId936" Type="http://schemas.openxmlformats.org/officeDocument/2006/relationships/hyperlink" Target="https://latiendadeljardin.com/es/piezas-de-polietileno/453-756-Te-macho-pe.html" TargetMode="External"/><Relationship Id="rId937" Type="http://schemas.openxmlformats.org/officeDocument/2006/relationships/hyperlink" Target="https://latiendadeljardin.com/es/piezas-de-polietileno/454-764-tapon-final-pe.html" TargetMode="External"/><Relationship Id="rId938" Type="http://schemas.openxmlformats.org/officeDocument/2006/relationships/hyperlink" Target="https://latiendadeljardin.com/es/piezas-de-polietileno/454-764-tapon-final-pe.html" TargetMode="External"/><Relationship Id="rId939" Type="http://schemas.openxmlformats.org/officeDocument/2006/relationships/hyperlink" Target="https://latiendadeljardin.com/es/piezas-de-polietileno/454-764-tapon-final-pe.html" TargetMode="External"/><Relationship Id="rId940" Type="http://schemas.openxmlformats.org/officeDocument/2006/relationships/hyperlink" Target="https://latiendadeljardin.com/es/piezas-de-polietileno/454-764-tapon-final-pe.html" TargetMode="External"/><Relationship Id="rId941" Type="http://schemas.openxmlformats.org/officeDocument/2006/relationships/hyperlink" Target="https://latiendadeljardin.com/es/piezas-de-polietileno/454-764-tapon-final-pe.html" TargetMode="External"/><Relationship Id="rId942" Type="http://schemas.openxmlformats.org/officeDocument/2006/relationships/hyperlink" Target="https://latiendadeljardin.com/es/piezas-de-polietileno/454-764-tapon-final-pe.html" TargetMode="External"/><Relationship Id="rId943" Type="http://schemas.openxmlformats.org/officeDocument/2006/relationships/hyperlink" Target="https://latiendadeljardin.com/es/piezas-de-polietileno/454-764-tapon-final-pe.html" TargetMode="External"/><Relationship Id="rId944" Type="http://schemas.openxmlformats.org/officeDocument/2006/relationships/hyperlink" Target="https://latiendadeljardin.com/es/piezas-de-polietileno/454-764-tapon-final-pe.html" TargetMode="External"/><Relationship Id="rId945" Type="http://schemas.openxmlformats.org/officeDocument/2006/relationships/hyperlink" Target="https://latiendadeljardin.com/es/piezas-de-polietileno/455-772-codo-grifo-pe.html" TargetMode="External"/><Relationship Id="rId946" Type="http://schemas.openxmlformats.org/officeDocument/2006/relationships/hyperlink" Target="https://latiendadeljardin.com/es/piezas-de-polietileno/455-772-codo-grifo-pe.html" TargetMode="External"/><Relationship Id="rId947" Type="http://schemas.openxmlformats.org/officeDocument/2006/relationships/hyperlink" Target="https://latiendadeljardin.com/es/piezas-de-polietileno/663-1076-machon-igual-polietileno.html" TargetMode="External"/><Relationship Id="rId948" Type="http://schemas.openxmlformats.org/officeDocument/2006/relationships/hyperlink" Target="https://latiendadeljardin.com/es/piezas-de-polietileno/663-1076-machon-igual-polietileno.html" TargetMode="External"/><Relationship Id="rId949" Type="http://schemas.openxmlformats.org/officeDocument/2006/relationships/hyperlink" Target="https://latiendadeljardin.com/es/piezas-de-polietileno/663-1076-machon-igual-polietileno.html" TargetMode="External"/><Relationship Id="rId950" Type="http://schemas.openxmlformats.org/officeDocument/2006/relationships/hyperlink" Target="https://latiendadeljardin.com/es/piezas-de-polietileno/663-1076-machon-igual-polietileno.html" TargetMode="External"/><Relationship Id="rId951" Type="http://schemas.openxmlformats.org/officeDocument/2006/relationships/hyperlink" Target="https://latiendadeljardin.com/es/piezas-de-polietileno/663-1076-machon-igual-polietileno.html" TargetMode="External"/><Relationship Id="rId952" Type="http://schemas.openxmlformats.org/officeDocument/2006/relationships/hyperlink" Target="https://latiendadeljardin.com/es/piezas-de-polietileno/663-1076-machon-igual-polietileno.html" TargetMode="External"/><Relationship Id="rId953" Type="http://schemas.openxmlformats.org/officeDocument/2006/relationships/hyperlink" Target="https://latiendadeljardin.com/es/piezas-de-polietileno/663-1076-machon-igual-polietileno.html" TargetMode="External"/><Relationship Id="rId954" Type="http://schemas.openxmlformats.org/officeDocument/2006/relationships/hyperlink" Target="https://latiendadeljardin.com/es/piezas-de-polietileno/663-1076-machon-igual-polietileno.html" TargetMode="External"/><Relationship Id="rId955" Type="http://schemas.openxmlformats.org/officeDocument/2006/relationships/hyperlink" Target="https://latiendadeljardin.com/es/piezas-de-polietileno/1638-2100-machon-reducido-polietileno.html" TargetMode="External"/><Relationship Id="rId956" Type="http://schemas.openxmlformats.org/officeDocument/2006/relationships/hyperlink" Target="https://latiendadeljardin.com/es/piezas-de-polietileno/1638-2100-machon-reducido-polietileno.html" TargetMode="External"/><Relationship Id="rId957" Type="http://schemas.openxmlformats.org/officeDocument/2006/relationships/hyperlink" Target="https://latiendadeljardin.com/es/piezas-de-polietileno/1638-2100-machon-reducido-polietileno.html" TargetMode="External"/><Relationship Id="rId958" Type="http://schemas.openxmlformats.org/officeDocument/2006/relationships/hyperlink" Target="https://latiendadeljardin.com/es/piezas-de-polietileno/1638-2100-machon-reducido-polietileno.html" TargetMode="External"/><Relationship Id="rId959" Type="http://schemas.openxmlformats.org/officeDocument/2006/relationships/hyperlink" Target="https://latiendadeljardin.com/es/piezas-de-polietileno/1638-2100-machon-reducido-polietileno.html" TargetMode="External"/><Relationship Id="rId960" Type="http://schemas.openxmlformats.org/officeDocument/2006/relationships/hyperlink" Target="https://latiendadeljardin.com/es/piezas-de-polietileno/1638-2100-machon-reducido-polietileno.html" TargetMode="External"/><Relationship Id="rId961" Type="http://schemas.openxmlformats.org/officeDocument/2006/relationships/hyperlink" Target="https://latiendadeljardin.com/es/piezas-de-polietileno/1638-2100-machon-reducido-polietileno.html" TargetMode="External"/><Relationship Id="rId962" Type="http://schemas.openxmlformats.org/officeDocument/2006/relationships/hyperlink" Target="https://latiendadeljardin.com/es/piezas-de-polietileno/1638-2100-machon-reducido-polietileno.html" TargetMode="External"/><Relationship Id="rId963" Type="http://schemas.openxmlformats.org/officeDocument/2006/relationships/hyperlink" Target="https://latiendadeljardin.com/es/piezas-de-polietileno/1638-2100-machon-reducido-polietileno.html" TargetMode="External"/><Relationship Id="rId964" Type="http://schemas.openxmlformats.org/officeDocument/2006/relationships/hyperlink" Target="https://latiendadeljardin.com/es/piezas-de-polietileno/1638-2100-machon-reducido-polietileno.html" TargetMode="External"/><Relationship Id="rId965" Type="http://schemas.openxmlformats.org/officeDocument/2006/relationships/hyperlink" Target="https://latiendadeljardin.com/es/piezas-de-polietileno/3184-2369-tuerca-reducida-pe.html" TargetMode="External"/><Relationship Id="rId966" Type="http://schemas.openxmlformats.org/officeDocument/2006/relationships/hyperlink" Target="https://latiendadeljardin.com/es/piezas-de-polietileno/3184-2369-tuerca-reducida-pe.html" TargetMode="External"/><Relationship Id="rId967" Type="http://schemas.openxmlformats.org/officeDocument/2006/relationships/hyperlink" Target="https://latiendadeljardin.com/es/piezas-de-polietileno/3184-2369-tuerca-reducida-pe.html" TargetMode="External"/><Relationship Id="rId968" Type="http://schemas.openxmlformats.org/officeDocument/2006/relationships/hyperlink" Target="https://latiendadeljardin.com/es/piezas-de-polietileno/3184-2369-tuerca-reducida-pe.html" TargetMode="External"/><Relationship Id="rId969" Type="http://schemas.openxmlformats.org/officeDocument/2006/relationships/hyperlink" Target="https://latiendadeljardin.com/es/piezas-de-polietileno/3184-2369-tuerca-reducida-pe.html" TargetMode="External"/><Relationship Id="rId970" Type="http://schemas.openxmlformats.org/officeDocument/2006/relationships/hyperlink" Target="https://latiendadeljardin.com/es/piezas-de-polietileno/3184-2369-tuerca-reducida-pe.html" TargetMode="External"/><Relationship Id="rId971" Type="http://schemas.openxmlformats.org/officeDocument/2006/relationships/hyperlink" Target="https://latiendadeljardin.com/es/piezas-de-polietileno/3184-2369-tuerca-reducida-pe.html" TargetMode="External"/><Relationship Id="rId972" Type="http://schemas.openxmlformats.org/officeDocument/2006/relationships/hyperlink" Target="https://latiendadeljardin.com/es/piezas-de-polietileno/3184-2369-tuerca-reducida-pe.html" TargetMode="External"/><Relationship Id="rId973" Type="http://schemas.openxmlformats.org/officeDocument/2006/relationships/hyperlink" Target="https://latiendadeljardin.com/es/piezas-de-polietileno/3184-2369-tuerca-reducida-pe.html" TargetMode="External"/><Relationship Id="rId974" Type="http://schemas.openxmlformats.org/officeDocument/2006/relationships/hyperlink" Target="https://latiendadeljardin.com/es/piezas-de-polietileno/3184-2369-tuerca-reducida-pe.html" TargetMode="External"/><Relationship Id="rId975" Type="http://schemas.openxmlformats.org/officeDocument/2006/relationships/hyperlink" Target="https://latiendadeljardin.com/es/piezas-de-polietileno/3184-2369-tuerca-reducida-pe.html" TargetMode="External"/><Relationship Id="rId976" Type="http://schemas.openxmlformats.org/officeDocument/2006/relationships/hyperlink" Target="https://latiendadeljardin.com/es/piezas-de-polietileno/3184-2369-tuerca-reducida-pe.html" TargetMode="External"/><Relationship Id="rId977" Type="http://schemas.openxmlformats.org/officeDocument/2006/relationships/hyperlink" Target="https://latiendadeljardin.com/es/piezas-de-polietileno/1637-2091-manguito-hembra-pp.html" TargetMode="External"/><Relationship Id="rId978" Type="http://schemas.openxmlformats.org/officeDocument/2006/relationships/hyperlink" Target="https://latiendadeljardin.com/es/piezas-de-polietileno/1637-2091-manguito-hembra-pp.html" TargetMode="External"/><Relationship Id="rId979" Type="http://schemas.openxmlformats.org/officeDocument/2006/relationships/hyperlink" Target="https://latiendadeljardin.com/es/piezas-de-polietileno/1637-2091-manguito-hembra-pp.html" TargetMode="External"/><Relationship Id="rId980" Type="http://schemas.openxmlformats.org/officeDocument/2006/relationships/hyperlink" Target="https://latiendadeljardin.com/es/piezas-de-polietileno/1637-2091-manguito-hembra-pp.html" TargetMode="External"/><Relationship Id="rId981" Type="http://schemas.openxmlformats.org/officeDocument/2006/relationships/hyperlink" Target="https://latiendadeljardin.com/es/piezas-de-polietileno/1637-2091-manguito-hembra-pp.html" TargetMode="External"/><Relationship Id="rId982" Type="http://schemas.openxmlformats.org/officeDocument/2006/relationships/hyperlink" Target="https://latiendadeljardin.com/es/piezas-de-polietileno/1637-2091-manguito-hembra-pp.html" TargetMode="External"/><Relationship Id="rId983" Type="http://schemas.openxmlformats.org/officeDocument/2006/relationships/hyperlink" Target="https://latiendadeljardin.com/es/depositos-de-poliester/756-pasamuros-deposito-agua-32mm-8420020022769.html" TargetMode="External"/><Relationship Id="rId984" Type="http://schemas.openxmlformats.org/officeDocument/2006/relationships/hyperlink" Target="https://latiendadeljardin.com/es/depositos-de-poliester/757-adaptador-depositos-macho-32mm-8420020022752.html" TargetMode="External"/><Relationship Id="rId985" Type="http://schemas.openxmlformats.org/officeDocument/2006/relationships/drawing" Target="../drawings/drawing1.xml"/><Relationship Id="rId986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F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34"/>
    <col collapsed="false" customWidth="true" hidden="false" outlineLevel="0" max="6" min="6" style="0" width="11"/>
    <col collapsed="false" customWidth="true" hidden="false" outlineLevel="0" max="8" min="7" style="0" width="7"/>
    <col collapsed="false" customWidth="true" hidden="false" outlineLevel="0" max="9" min="9" style="0" width="9"/>
    <col collapsed="false" customWidth="true" hidden="false" outlineLevel="0" max="10" min="10" style="0" width="7"/>
    <col collapsed="false" customWidth="true" hidden="false" outlineLevel="0" max="11" min="11" style="0" width="22"/>
    <col collapsed="false" customWidth="true" hidden="false" outlineLevel="0" max="12" min="12" style="0" width="7"/>
    <col collapsed="false" customWidth="true" hidden="false" outlineLevel="0" max="16" min="13" style="0" width="8"/>
    <col collapsed="false" customWidth="true" hidden="false" outlineLevel="0" max="17" min="17" style="0" width="10"/>
    <col collapsed="false" customWidth="true" hidden="false" outlineLevel="0" max="18" min="18" style="0" width="6"/>
    <col collapsed="false" customWidth="true" hidden="false" outlineLevel="0" max="20" min="19" style="0" width="8"/>
    <col collapsed="false" customWidth="true" hidden="false" outlineLevel="0" max="21" min="21" style="0" width="10"/>
    <col collapsed="false" customWidth="true" hidden="false" outlineLevel="0" max="22" min="22" style="0" width="11"/>
    <col collapsed="false" customWidth="true" hidden="false" outlineLevel="0" max="23" min="23" style="0" width="10"/>
    <col collapsed="false" customWidth="true" hidden="false" outlineLevel="0" max="24" min="24" style="0" width="46"/>
    <col collapsed="false" customWidth="true" hidden="false" outlineLevel="0" max="25" min="25" style="0" width="10"/>
    <col collapsed="false" customWidth="true" hidden="false" outlineLevel="0" max="26" min="26" style="0" width="8"/>
    <col collapsed="false" customWidth="true" hidden="false" outlineLevel="0" max="27" min="27" style="0" width="36"/>
    <col collapsed="false" customWidth="true" hidden="false" outlineLevel="0" max="34" min="28" style="0" width="11"/>
  </cols>
  <sheetData>
    <row r="1" customFormat="false" ht="15" hidden="false" customHeight="false" outlineLevel="0" collapsed="false">
      <c r="A1" s="1" t="s">
        <v>0</v>
      </c>
    </row>
    <row r="2" customFormat="false" ht="4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 t="s">
        <v>2</v>
      </c>
      <c r="B3" s="3"/>
      <c r="C3" s="3"/>
      <c r="D3" s="4" t="n">
        <v>1.5</v>
      </c>
      <c r="E3" s="5" t="s">
        <v>3</v>
      </c>
      <c r="F3" s="4" t="n">
        <v>1000</v>
      </c>
      <c r="G3" s="5" t="s">
        <v>4</v>
      </c>
      <c r="H3" s="6" t="n">
        <v>9.81</v>
      </c>
      <c r="I3" s="7" t="s">
        <v>5</v>
      </c>
    </row>
    <row r="4" customFormat="false" ht="39.75" hidden="false" customHeight="true" outlineLevel="0" collapsed="false">
      <c r="A4" s="8" t="s">
        <v>6</v>
      </c>
      <c r="B4" s="8" t="s">
        <v>7</v>
      </c>
      <c r="C4" s="8" t="s">
        <v>8</v>
      </c>
      <c r="D4" s="8" t="s">
        <v>9</v>
      </c>
      <c r="E4" s="8" t="s">
        <v>10</v>
      </c>
      <c r="F4" s="8" t="s">
        <v>11</v>
      </c>
      <c r="G4" s="8" t="s">
        <v>12</v>
      </c>
      <c r="H4" s="8" t="s">
        <v>13</v>
      </c>
      <c r="I4" s="8" t="s">
        <v>14</v>
      </c>
      <c r="J4" s="8" t="s">
        <v>15</v>
      </c>
      <c r="K4" s="8" t="s">
        <v>16</v>
      </c>
      <c r="L4" s="8" t="s">
        <v>17</v>
      </c>
      <c r="M4" s="8" t="s">
        <v>18</v>
      </c>
      <c r="N4" s="8" t="s">
        <v>19</v>
      </c>
      <c r="O4" s="8" t="s">
        <v>20</v>
      </c>
      <c r="P4" s="8" t="s">
        <v>21</v>
      </c>
      <c r="Q4" s="8" t="s">
        <v>22</v>
      </c>
      <c r="R4" s="8" t="s">
        <v>23</v>
      </c>
      <c r="S4" s="8" t="s">
        <v>24</v>
      </c>
      <c r="T4" s="8" t="s">
        <v>25</v>
      </c>
      <c r="U4" s="8" t="s">
        <v>26</v>
      </c>
      <c r="V4" s="8" t="s">
        <v>27</v>
      </c>
      <c r="W4" s="8" t="s">
        <v>28</v>
      </c>
      <c r="X4" s="8" t="s">
        <v>29</v>
      </c>
      <c r="Y4" s="8" t="s">
        <v>30</v>
      </c>
      <c r="Z4" s="8" t="s">
        <v>31</v>
      </c>
      <c r="AA4" s="8" t="s">
        <v>32</v>
      </c>
      <c r="AB4" s="9" t="s">
        <v>33</v>
      </c>
      <c r="AC4" s="9" t="s">
        <v>34</v>
      </c>
      <c r="AD4" s="9" t="s">
        <v>35</v>
      </c>
      <c r="AE4" s="9" t="s">
        <v>36</v>
      </c>
      <c r="AF4" s="9" t="s">
        <v>37</v>
      </c>
      <c r="AG4" s="9" t="s">
        <v>38</v>
      </c>
      <c r="AH4" s="9" t="s">
        <v>39</v>
      </c>
    </row>
    <row r="5" customFormat="false" ht="15" hidden="false" customHeight="false" outlineLevel="0" collapsed="false">
      <c r="A5" s="10" t="s">
        <v>40</v>
      </c>
      <c r="B5" s="11" t="s">
        <v>41</v>
      </c>
      <c r="C5" s="6" t="s">
        <v>42</v>
      </c>
      <c r="D5" s="6" t="s">
        <v>43</v>
      </c>
      <c r="E5" s="6" t="s">
        <v>44</v>
      </c>
      <c r="F5" s="6" t="s">
        <v>45</v>
      </c>
      <c r="G5" s="6" t="n">
        <v>20</v>
      </c>
      <c r="H5" s="6"/>
      <c r="I5" s="6"/>
      <c r="J5" s="6" t="n">
        <v>16</v>
      </c>
      <c r="K5" s="6" t="s">
        <v>46</v>
      </c>
      <c r="L5" s="6" t="n">
        <v>84</v>
      </c>
      <c r="M5" s="6" t="n">
        <v>44</v>
      </c>
      <c r="N5" s="12" t="n">
        <v>16</v>
      </c>
      <c r="O5" s="12" t="n">
        <v>16</v>
      </c>
      <c r="P5" s="13" t="n">
        <v>13</v>
      </c>
      <c r="Q5" s="12"/>
      <c r="R5" s="14" t="n">
        <v>0.027</v>
      </c>
      <c r="S5" s="6" t="n">
        <v>0</v>
      </c>
      <c r="T5" s="6"/>
      <c r="U5" s="15" t="n">
        <f aca="false">(S5*R5+0.5*(1-(P5/N5)^2)+(1-(P5/O5)^2)^2)*(O5/P5)^4</f>
        <v>0.654914043625924</v>
      </c>
      <c r="V5" s="14"/>
      <c r="W5" s="14"/>
      <c r="X5" s="10" t="s">
        <v>47</v>
      </c>
      <c r="Y5" s="16"/>
      <c r="Z5" s="17" t="s">
        <v>48</v>
      </c>
      <c r="AA5" s="6"/>
      <c r="AB5" s="18" t="n">
        <f aca="false">IF(O5="","",$D$3*PI()*(O5/1000)^2/4*3600)</f>
        <v>1.08573442108063</v>
      </c>
      <c r="AC5" s="19" t="n">
        <f aca="false">IF(OR(U5="",NOT(ISNUMBER(U5))),"",U5*$D$3^2/(2*$H$3))</f>
        <v>0.0751048215167344</v>
      </c>
      <c r="AD5" s="20" t="n">
        <f aca="false">IF(OR(U5="",NOT(ISNUMBER(U5))),"",U5*$D$3^2/2*$F$3)</f>
        <v>736.778299079164</v>
      </c>
      <c r="AE5" s="19" t="str">
        <f aca="false">IF(OR(V5="",NOT(ISNUMBER(V5))),"",V5*$D$3^2/(2*$H$3))</f>
        <v/>
      </c>
      <c r="AF5" s="20" t="str">
        <f aca="false">IF(OR(V5="",NOT(ISNUMBER(V5))),"",V5*$D$3^2/2*$F$3)</f>
        <v/>
      </c>
      <c r="AG5" s="19" t="str">
        <f aca="false">IF(OR(W5="",NOT(ISNUMBER(W5))),"",W5*$D$3^2/(2*$H$3))</f>
        <v/>
      </c>
      <c r="AH5" s="20" t="str">
        <f aca="false">IF(OR(W5="",NOT(ISNUMBER(W5))),"",W5*$D$3^2/2*$F$3)</f>
        <v/>
      </c>
    </row>
    <row r="6" customFormat="false" ht="15" hidden="false" customHeight="false" outlineLevel="0" collapsed="false">
      <c r="A6" s="10" t="s">
        <v>49</v>
      </c>
      <c r="B6" s="11" t="s">
        <v>41</v>
      </c>
      <c r="C6" s="6" t="s">
        <v>42</v>
      </c>
      <c r="D6" s="6" t="s">
        <v>50</v>
      </c>
      <c r="E6" s="6" t="s">
        <v>44</v>
      </c>
      <c r="F6" s="6" t="s">
        <v>45</v>
      </c>
      <c r="G6" s="6" t="n">
        <v>25</v>
      </c>
      <c r="H6" s="6"/>
      <c r="I6" s="6"/>
      <c r="J6" s="6" t="n">
        <v>16</v>
      </c>
      <c r="K6" s="6" t="s">
        <v>46</v>
      </c>
      <c r="L6" s="6" t="n">
        <v>98</v>
      </c>
      <c r="M6" s="6" t="n">
        <v>52</v>
      </c>
      <c r="N6" s="12" t="n">
        <v>20.4</v>
      </c>
      <c r="O6" s="12" t="n">
        <v>20.4</v>
      </c>
      <c r="P6" s="13" t="n">
        <v>17</v>
      </c>
      <c r="Q6" s="12"/>
      <c r="R6" s="14" t="n">
        <v>0.025</v>
      </c>
      <c r="S6" s="6" t="n">
        <v>0</v>
      </c>
      <c r="T6" s="6"/>
      <c r="U6" s="15" t="n">
        <f aca="false">(S6*R6+0.5*(1-(P6/N6)^2)+(1-(P6/O6)^2)^2)*(O6/P6)^4</f>
        <v>0.5104</v>
      </c>
      <c r="V6" s="14"/>
      <c r="W6" s="14"/>
      <c r="X6" s="10" t="s">
        <v>47</v>
      </c>
      <c r="Y6" s="16"/>
      <c r="Z6" s="17" t="s">
        <v>48</v>
      </c>
      <c r="AA6" s="6"/>
      <c r="AB6" s="18" t="n">
        <f aca="false">IF(O6="","",$D$3*PI()*(O6/1000)^2/4*3600)</f>
        <v>1.7649970182692</v>
      </c>
      <c r="AC6" s="19" t="n">
        <f aca="false">IF(OR(U6="",NOT(ISNUMBER(U6))),"",U6*$D$3^2/(2*$H$3))</f>
        <v>0.0585321100917431</v>
      </c>
      <c r="AD6" s="20" t="n">
        <f aca="false">IF(OR(U6="",NOT(ISNUMBER(U6))),"",U6*$D$3^2/2*$F$3)</f>
        <v>574.2</v>
      </c>
      <c r="AE6" s="19" t="str">
        <f aca="false">IF(OR(V6="",NOT(ISNUMBER(V6))),"",V6*$D$3^2/(2*$H$3))</f>
        <v/>
      </c>
      <c r="AF6" s="20" t="str">
        <f aca="false">IF(OR(V6="",NOT(ISNUMBER(V6))),"",V6*$D$3^2/2*$F$3)</f>
        <v/>
      </c>
      <c r="AG6" s="19" t="str">
        <f aca="false">IF(OR(W6="",NOT(ISNUMBER(W6))),"",W6*$D$3^2/(2*$H$3))</f>
        <v/>
      </c>
      <c r="AH6" s="20" t="str">
        <f aca="false">IF(OR(W6="",NOT(ISNUMBER(W6))),"",W6*$D$3^2/2*$F$3)</f>
        <v/>
      </c>
    </row>
    <row r="7" customFormat="false" ht="15" hidden="false" customHeight="false" outlineLevel="0" collapsed="false">
      <c r="A7" s="10" t="s">
        <v>51</v>
      </c>
      <c r="B7" s="11" t="s">
        <v>41</v>
      </c>
      <c r="C7" s="6" t="s">
        <v>42</v>
      </c>
      <c r="D7" s="6" t="s">
        <v>52</v>
      </c>
      <c r="E7" s="6" t="s">
        <v>44</v>
      </c>
      <c r="F7" s="6" t="s">
        <v>45</v>
      </c>
      <c r="G7" s="6" t="n">
        <v>32</v>
      </c>
      <c r="H7" s="6"/>
      <c r="I7" s="6"/>
      <c r="J7" s="6" t="n">
        <v>16</v>
      </c>
      <c r="K7" s="6" t="s">
        <v>46</v>
      </c>
      <c r="L7" s="6" t="n">
        <v>113</v>
      </c>
      <c r="M7" s="6" t="n">
        <v>62</v>
      </c>
      <c r="N7" s="12" t="n">
        <v>26.2</v>
      </c>
      <c r="O7" s="12" t="n">
        <v>26.2</v>
      </c>
      <c r="P7" s="13" t="n">
        <v>22</v>
      </c>
      <c r="Q7" s="12"/>
      <c r="R7" s="14" t="n">
        <v>0.023</v>
      </c>
      <c r="S7" s="6" t="n">
        <v>0</v>
      </c>
      <c r="T7" s="6"/>
      <c r="U7" s="15" t="n">
        <f aca="false">(S7*R7+0.5*(1-(P7/N7)^2)+(1-(P7/O7)^2)^2)*(O7/P7)^4</f>
        <v>0.471549972679462</v>
      </c>
      <c r="V7" s="14"/>
      <c r="W7" s="14"/>
      <c r="X7" s="10" t="s">
        <v>47</v>
      </c>
      <c r="Y7" s="16"/>
      <c r="Z7" s="17" t="s">
        <v>48</v>
      </c>
      <c r="AA7" s="6"/>
      <c r="AB7" s="18" t="n">
        <f aca="false">IF(O7="","",$D$3*PI()*(O7/1000)^2/4*3600)</f>
        <v>2.91129506252574</v>
      </c>
      <c r="AC7" s="19" t="n">
        <f aca="false">IF(OR(U7="",NOT(ISNUMBER(U7))),"",U7*$D$3^2/(2*$H$3))</f>
        <v>0.054076831729296</v>
      </c>
      <c r="AD7" s="20" t="n">
        <f aca="false">IF(OR(U7="",NOT(ISNUMBER(U7))),"",U7*$D$3^2/2*$F$3)</f>
        <v>530.493719264394</v>
      </c>
      <c r="AE7" s="19" t="str">
        <f aca="false">IF(OR(V7="",NOT(ISNUMBER(V7))),"",V7*$D$3^2/(2*$H$3))</f>
        <v/>
      </c>
      <c r="AF7" s="20" t="str">
        <f aca="false">IF(OR(V7="",NOT(ISNUMBER(V7))),"",V7*$D$3^2/2*$F$3)</f>
        <v/>
      </c>
      <c r="AG7" s="19" t="str">
        <f aca="false">IF(OR(W7="",NOT(ISNUMBER(W7))),"",W7*$D$3^2/(2*$H$3))</f>
        <v/>
      </c>
      <c r="AH7" s="20" t="str">
        <f aca="false">IF(OR(W7="",NOT(ISNUMBER(W7))),"",W7*$D$3^2/2*$F$3)</f>
        <v/>
      </c>
    </row>
    <row r="8" customFormat="false" ht="15" hidden="false" customHeight="false" outlineLevel="0" collapsed="false">
      <c r="A8" s="10" t="s">
        <v>53</v>
      </c>
      <c r="B8" s="11" t="s">
        <v>41</v>
      </c>
      <c r="C8" s="6" t="s">
        <v>42</v>
      </c>
      <c r="D8" s="6" t="s">
        <v>54</v>
      </c>
      <c r="E8" s="6" t="s">
        <v>44</v>
      </c>
      <c r="F8" s="6" t="s">
        <v>45</v>
      </c>
      <c r="G8" s="6" t="n">
        <v>40</v>
      </c>
      <c r="H8" s="6"/>
      <c r="I8" s="6"/>
      <c r="J8" s="6" t="n">
        <v>16</v>
      </c>
      <c r="K8" s="6" t="s">
        <v>46</v>
      </c>
      <c r="L8" s="6" t="n">
        <v>131</v>
      </c>
      <c r="M8" s="6" t="n">
        <v>72</v>
      </c>
      <c r="N8" s="12" t="n">
        <v>32.6</v>
      </c>
      <c r="O8" s="12" t="n">
        <v>32.6</v>
      </c>
      <c r="P8" s="13" t="n">
        <v>28</v>
      </c>
      <c r="Q8" s="12"/>
      <c r="R8" s="14" t="n">
        <v>0.022</v>
      </c>
      <c r="S8" s="6" t="n">
        <v>0</v>
      </c>
      <c r="T8" s="6"/>
      <c r="U8" s="15" t="n">
        <f aca="false">(S8*R8+0.5*(1-(P8/N8)^2)+(1-(P8/O8)^2)^2)*(O8/P8)^4</f>
        <v>0.367416288785923</v>
      </c>
      <c r="V8" s="14"/>
      <c r="W8" s="14"/>
      <c r="X8" s="10" t="s">
        <v>47</v>
      </c>
      <c r="Y8" s="16"/>
      <c r="Z8" s="17" t="s">
        <v>48</v>
      </c>
      <c r="AA8" s="6"/>
      <c r="AB8" s="18" t="n">
        <f aca="false">IF(O8="","",$D$3*PI()*(O8/1000)^2/4*3600)</f>
        <v>4.50732466151427</v>
      </c>
      <c r="AC8" s="19" t="n">
        <f aca="false">IF(OR(U8="",NOT(ISNUMBER(U8))),"",U8*$D$3^2/(2*$H$3))</f>
        <v>0.0421348955029728</v>
      </c>
      <c r="AD8" s="20" t="n">
        <f aca="false">IF(OR(U8="",NOT(ISNUMBER(U8))),"",U8*$D$3^2/2*$F$3)</f>
        <v>413.343324884163</v>
      </c>
      <c r="AE8" s="19" t="str">
        <f aca="false">IF(OR(V8="",NOT(ISNUMBER(V8))),"",V8*$D$3^2/(2*$H$3))</f>
        <v/>
      </c>
      <c r="AF8" s="20" t="str">
        <f aca="false">IF(OR(V8="",NOT(ISNUMBER(V8))),"",V8*$D$3^2/2*$F$3)</f>
        <v/>
      </c>
      <c r="AG8" s="19" t="str">
        <f aca="false">IF(OR(W8="",NOT(ISNUMBER(W8))),"",W8*$D$3^2/(2*$H$3))</f>
        <v/>
      </c>
      <c r="AH8" s="20" t="str">
        <f aca="false">IF(OR(W8="",NOT(ISNUMBER(W8))),"",W8*$D$3^2/2*$F$3)</f>
        <v/>
      </c>
    </row>
    <row r="9" customFormat="false" ht="15" hidden="false" customHeight="false" outlineLevel="0" collapsed="false">
      <c r="A9" s="10" t="s">
        <v>55</v>
      </c>
      <c r="B9" s="11" t="s">
        <v>41</v>
      </c>
      <c r="C9" s="6" t="s">
        <v>42</v>
      </c>
      <c r="D9" s="6" t="s">
        <v>56</v>
      </c>
      <c r="E9" s="6" t="s">
        <v>44</v>
      </c>
      <c r="F9" s="6" t="s">
        <v>45</v>
      </c>
      <c r="G9" s="6" t="n">
        <v>50</v>
      </c>
      <c r="H9" s="6"/>
      <c r="I9" s="6"/>
      <c r="J9" s="6" t="n">
        <v>16</v>
      </c>
      <c r="K9" s="6" t="s">
        <v>46</v>
      </c>
      <c r="L9" s="6" t="n">
        <v>166</v>
      </c>
      <c r="M9" s="6" t="n">
        <v>86</v>
      </c>
      <c r="N9" s="12" t="n">
        <v>40.8</v>
      </c>
      <c r="O9" s="12" t="n">
        <v>40.8</v>
      </c>
      <c r="P9" s="13" t="n">
        <v>35</v>
      </c>
      <c r="Q9" s="12"/>
      <c r="R9" s="14" t="n">
        <v>0.021</v>
      </c>
      <c r="S9" s="6" t="n">
        <v>0</v>
      </c>
      <c r="T9" s="6"/>
      <c r="U9" s="15" t="n">
        <f aca="false">(S9*R9+0.5*(1-(P9/N9)^2)+(1-(P9/O9)^2)^2)*(O9/P9)^4</f>
        <v>0.372647726380675</v>
      </c>
      <c r="V9" s="14"/>
      <c r="W9" s="14"/>
      <c r="X9" s="10" t="s">
        <v>47</v>
      </c>
      <c r="Y9" s="16"/>
      <c r="Z9" s="17" t="s">
        <v>48</v>
      </c>
      <c r="AA9" s="6"/>
      <c r="AB9" s="18" t="n">
        <f aca="false">IF(O9="","",$D$3*PI()*(O9/1000)^2/4*3600)</f>
        <v>7.05998807307681</v>
      </c>
      <c r="AC9" s="19" t="n">
        <f aca="false">IF(OR(U9="",NOT(ISNUMBER(U9))),"",U9*$D$3^2/(2*$H$3))</f>
        <v>0.0427348310069581</v>
      </c>
      <c r="AD9" s="20" t="n">
        <f aca="false">IF(OR(U9="",NOT(ISNUMBER(U9))),"",U9*$D$3^2/2*$F$3)</f>
        <v>419.228692178259</v>
      </c>
      <c r="AE9" s="19" t="str">
        <f aca="false">IF(OR(V9="",NOT(ISNUMBER(V9))),"",V9*$D$3^2/(2*$H$3))</f>
        <v/>
      </c>
      <c r="AF9" s="20" t="str">
        <f aca="false">IF(OR(V9="",NOT(ISNUMBER(V9))),"",V9*$D$3^2/2*$F$3)</f>
        <v/>
      </c>
      <c r="AG9" s="19" t="str">
        <f aca="false">IF(OR(W9="",NOT(ISNUMBER(W9))),"",W9*$D$3^2/(2*$H$3))</f>
        <v/>
      </c>
      <c r="AH9" s="20" t="str">
        <f aca="false">IF(OR(W9="",NOT(ISNUMBER(W9))),"",W9*$D$3^2/2*$F$3)</f>
        <v/>
      </c>
    </row>
    <row r="10" customFormat="false" ht="15" hidden="false" customHeight="false" outlineLevel="0" collapsed="false">
      <c r="A10" s="10" t="s">
        <v>57</v>
      </c>
      <c r="B10" s="11" t="s">
        <v>41</v>
      </c>
      <c r="C10" s="6" t="s">
        <v>42</v>
      </c>
      <c r="D10" s="6" t="s">
        <v>58</v>
      </c>
      <c r="E10" s="6" t="s">
        <v>44</v>
      </c>
      <c r="F10" s="6" t="s">
        <v>45</v>
      </c>
      <c r="G10" s="6" t="n">
        <v>63</v>
      </c>
      <c r="H10" s="6"/>
      <c r="I10" s="6"/>
      <c r="J10" s="6" t="n">
        <v>16</v>
      </c>
      <c r="K10" s="6" t="s">
        <v>46</v>
      </c>
      <c r="L10" s="6" t="n">
        <v>205</v>
      </c>
      <c r="M10" s="6" t="n">
        <v>104</v>
      </c>
      <c r="N10" s="12" t="n">
        <v>51.4</v>
      </c>
      <c r="O10" s="12" t="n">
        <v>51.4</v>
      </c>
      <c r="P10" s="13" t="n">
        <v>45</v>
      </c>
      <c r="Q10" s="12"/>
      <c r="R10" s="14" t="n">
        <v>0.019</v>
      </c>
      <c r="S10" s="6" t="n">
        <v>0</v>
      </c>
      <c r="T10" s="6"/>
      <c r="U10" s="15" t="n">
        <f aca="false">(S10*R10+0.5*(1-(P10/N10)^2)+(1-(P10/O10)^2)^2)*(O10/P10)^4</f>
        <v>0.291572982752629</v>
      </c>
      <c r="V10" s="14"/>
      <c r="W10" s="14"/>
      <c r="X10" s="10" t="s">
        <v>47</v>
      </c>
      <c r="Y10" s="16"/>
      <c r="Z10" s="17" t="s">
        <v>48</v>
      </c>
      <c r="AA10" s="6"/>
      <c r="AB10" s="18" t="n">
        <f aca="false">IF(O10="","",$D$3*PI()*(O10/1000)^2/4*3600)</f>
        <v>11.2049488715554</v>
      </c>
      <c r="AC10" s="19" t="n">
        <f aca="false">IF(OR(U10="",NOT(ISNUMBER(U10))),"",U10*$D$3^2/(2*$H$3))</f>
        <v>0.0334372686642924</v>
      </c>
      <c r="AD10" s="20" t="n">
        <f aca="false">IF(OR(U10="",NOT(ISNUMBER(U10))),"",U10*$D$3^2/2*$F$3)</f>
        <v>328.019605596708</v>
      </c>
      <c r="AE10" s="19" t="str">
        <f aca="false">IF(OR(V10="",NOT(ISNUMBER(V10))),"",V10*$D$3^2/(2*$H$3))</f>
        <v/>
      </c>
      <c r="AF10" s="20" t="str">
        <f aca="false">IF(OR(V10="",NOT(ISNUMBER(V10))),"",V10*$D$3^2/2*$F$3)</f>
        <v/>
      </c>
      <c r="AG10" s="19" t="str">
        <f aca="false">IF(OR(W10="",NOT(ISNUMBER(W10))),"",W10*$D$3^2/(2*$H$3))</f>
        <v/>
      </c>
      <c r="AH10" s="20" t="str">
        <f aca="false">IF(OR(W10="",NOT(ISNUMBER(W10))),"",W10*$D$3^2/2*$F$3)</f>
        <v/>
      </c>
    </row>
    <row r="11" customFormat="false" ht="15" hidden="false" customHeight="false" outlineLevel="0" collapsed="false">
      <c r="A11" s="10" t="s">
        <v>59</v>
      </c>
      <c r="B11" s="11" t="s">
        <v>41</v>
      </c>
      <c r="C11" s="6" t="s">
        <v>42</v>
      </c>
      <c r="D11" s="6" t="s">
        <v>60</v>
      </c>
      <c r="E11" s="6" t="s">
        <v>44</v>
      </c>
      <c r="F11" s="6" t="s">
        <v>45</v>
      </c>
      <c r="G11" s="6" t="n">
        <v>75</v>
      </c>
      <c r="H11" s="6"/>
      <c r="I11" s="6"/>
      <c r="J11" s="6" t="n">
        <v>16</v>
      </c>
      <c r="K11" s="6" t="s">
        <v>46</v>
      </c>
      <c r="L11" s="6" t="n">
        <v>232</v>
      </c>
      <c r="M11" s="6" t="n">
        <v>131</v>
      </c>
      <c r="N11" s="12" t="n">
        <v>61.4</v>
      </c>
      <c r="O11" s="12" t="n">
        <v>61.4</v>
      </c>
      <c r="P11" s="13" t="n">
        <v>54</v>
      </c>
      <c r="Q11" s="12"/>
      <c r="R11" s="14" t="n">
        <v>0.018</v>
      </c>
      <c r="S11" s="6" t="n">
        <v>0</v>
      </c>
      <c r="T11" s="6"/>
      <c r="U11" s="15" t="n">
        <f aca="false">(S11*R11+0.5*(1-(P11/N11)^2)+(1-(P11/O11)^2)^2)*(O11/P11)^4</f>
        <v>0.275071127651047</v>
      </c>
      <c r="V11" s="14"/>
      <c r="W11" s="14"/>
      <c r="X11" s="10" t="s">
        <v>47</v>
      </c>
      <c r="Y11" s="16"/>
      <c r="Z11" s="17" t="s">
        <v>48</v>
      </c>
      <c r="AA11" s="6"/>
      <c r="AB11" s="18" t="n">
        <f aca="false">IF(O11="","",$D$3*PI()*(O11/1000)^2/4*3600)</f>
        <v>15.988966164442</v>
      </c>
      <c r="AC11" s="19" t="n">
        <f aca="false">IF(OR(U11="",NOT(ISNUMBER(U11))),"",U11*$D$3^2/(2*$H$3))</f>
        <v>0.0315448540884228</v>
      </c>
      <c r="AD11" s="20" t="n">
        <f aca="false">IF(OR(U11="",NOT(ISNUMBER(U11))),"",U11*$D$3^2/2*$F$3)</f>
        <v>309.455018607428</v>
      </c>
      <c r="AE11" s="19" t="str">
        <f aca="false">IF(OR(V11="",NOT(ISNUMBER(V11))),"",V11*$D$3^2/(2*$H$3))</f>
        <v/>
      </c>
      <c r="AF11" s="20" t="str">
        <f aca="false">IF(OR(V11="",NOT(ISNUMBER(V11))),"",V11*$D$3^2/2*$F$3)</f>
        <v/>
      </c>
      <c r="AG11" s="19" t="str">
        <f aca="false">IF(OR(W11="",NOT(ISNUMBER(W11))),"",W11*$D$3^2/(2*$H$3))</f>
        <v/>
      </c>
      <c r="AH11" s="20" t="str">
        <f aca="false">IF(OR(W11="",NOT(ISNUMBER(W11))),"",W11*$D$3^2/2*$F$3)</f>
        <v/>
      </c>
    </row>
    <row r="12" customFormat="false" ht="15" hidden="false" customHeight="false" outlineLevel="0" collapsed="false">
      <c r="A12" s="10" t="s">
        <v>61</v>
      </c>
      <c r="B12" s="11" t="s">
        <v>41</v>
      </c>
      <c r="C12" s="6" t="s">
        <v>42</v>
      </c>
      <c r="D12" s="6" t="s">
        <v>62</v>
      </c>
      <c r="E12" s="6" t="s">
        <v>44</v>
      </c>
      <c r="F12" s="6" t="s">
        <v>45</v>
      </c>
      <c r="G12" s="6" t="n">
        <v>90</v>
      </c>
      <c r="H12" s="6"/>
      <c r="I12" s="6"/>
      <c r="J12" s="6" t="n">
        <v>16</v>
      </c>
      <c r="K12" s="6" t="s">
        <v>46</v>
      </c>
      <c r="L12" s="6" t="n">
        <v>257</v>
      </c>
      <c r="M12" s="6" t="n">
        <v>154</v>
      </c>
      <c r="N12" s="12" t="n">
        <v>73.6</v>
      </c>
      <c r="O12" s="12" t="n">
        <v>73.6</v>
      </c>
      <c r="P12" s="13" t="n">
        <v>66</v>
      </c>
      <c r="Q12" s="12"/>
      <c r="R12" s="14" t="n">
        <v>0.018</v>
      </c>
      <c r="S12" s="6" t="n">
        <v>0</v>
      </c>
      <c r="T12" s="6"/>
      <c r="U12" s="15" t="n">
        <f aca="false">(S12*R12+0.5*(1-(P12/N12)^2)+(1-(P12/O12)^2)^2)*(O12/P12)^4</f>
        <v>0.210765781531822</v>
      </c>
      <c r="V12" s="14"/>
      <c r="W12" s="14"/>
      <c r="X12" s="10" t="s">
        <v>47</v>
      </c>
      <c r="Y12" s="16"/>
      <c r="Z12" s="17" t="s">
        <v>48</v>
      </c>
      <c r="AA12" s="6"/>
      <c r="AB12" s="18" t="n">
        <f aca="false">IF(O12="","",$D$3*PI()*(O12/1000)^2/4*3600)</f>
        <v>22.9741403500662</v>
      </c>
      <c r="AC12" s="19" t="n">
        <f aca="false">IF(OR(U12="",NOT(ISNUMBER(U12))),"",U12*$D$3^2/(2*$H$3))</f>
        <v>0.0241703877903465</v>
      </c>
      <c r="AD12" s="20" t="n">
        <f aca="false">IF(OR(U12="",NOT(ISNUMBER(U12))),"",U12*$D$3^2/2*$F$3)</f>
        <v>237.1115042233</v>
      </c>
      <c r="AE12" s="19" t="str">
        <f aca="false">IF(OR(V12="",NOT(ISNUMBER(V12))),"",V12*$D$3^2/(2*$H$3))</f>
        <v/>
      </c>
      <c r="AF12" s="20" t="str">
        <f aca="false">IF(OR(V12="",NOT(ISNUMBER(V12))),"",V12*$D$3^2/2*$F$3)</f>
        <v/>
      </c>
      <c r="AG12" s="19" t="str">
        <f aca="false">IF(OR(W12="",NOT(ISNUMBER(W12))),"",W12*$D$3^2/(2*$H$3))</f>
        <v/>
      </c>
      <c r="AH12" s="20" t="str">
        <f aca="false">IF(OR(W12="",NOT(ISNUMBER(W12))),"",W12*$D$3^2/2*$F$3)</f>
        <v/>
      </c>
    </row>
    <row r="13" customFormat="false" ht="15" hidden="false" customHeight="false" outlineLevel="0" collapsed="false">
      <c r="A13" s="10" t="s">
        <v>63</v>
      </c>
      <c r="B13" s="11" t="s">
        <v>41</v>
      </c>
      <c r="C13" s="6" t="s">
        <v>42</v>
      </c>
      <c r="D13" s="6" t="s">
        <v>64</v>
      </c>
      <c r="E13" s="6" t="s">
        <v>44</v>
      </c>
      <c r="F13" s="6" t="s">
        <v>45</v>
      </c>
      <c r="G13" s="6" t="n">
        <v>110</v>
      </c>
      <c r="H13" s="6"/>
      <c r="I13" s="6"/>
      <c r="J13" s="6" t="n">
        <v>16</v>
      </c>
      <c r="K13" s="6" t="s">
        <v>46</v>
      </c>
      <c r="L13" s="6" t="n">
        <v>299</v>
      </c>
      <c r="M13" s="6" t="n">
        <v>183</v>
      </c>
      <c r="N13" s="12" t="n">
        <v>90</v>
      </c>
      <c r="O13" s="12" t="n">
        <v>90</v>
      </c>
      <c r="P13" s="13" t="n">
        <v>81</v>
      </c>
      <c r="Q13" s="12"/>
      <c r="R13" s="14" t="n">
        <v>0.017</v>
      </c>
      <c r="S13" s="6" t="n">
        <v>0</v>
      </c>
      <c r="T13" s="6"/>
      <c r="U13" s="15" t="n">
        <f aca="false">(S13*R13+0.5*(1-(P13/N13)^2)+(1-(P13/O13)^2)^2)*(O13/P13)^4</f>
        <v>0.199817101051669</v>
      </c>
      <c r="V13" s="14"/>
      <c r="W13" s="14"/>
      <c r="X13" s="10" t="s">
        <v>47</v>
      </c>
      <c r="Y13" s="16"/>
      <c r="Z13" s="17" t="s">
        <v>48</v>
      </c>
      <c r="AA13" s="6"/>
      <c r="AB13" s="18" t="n">
        <f aca="false">IF(O13="","",$D$3*PI()*(O13/1000)^2/4*3600)</f>
        <v>34.3533156670044</v>
      </c>
      <c r="AC13" s="19" t="n">
        <f aca="false">IF(OR(U13="",NOT(ISNUMBER(U13))),"",U13*$D$3^2/(2*$H$3))</f>
        <v>0.0229148051664758</v>
      </c>
      <c r="AD13" s="20" t="n">
        <f aca="false">IF(OR(U13="",NOT(ISNUMBER(U13))),"",U13*$D$3^2/2*$F$3)</f>
        <v>224.794238683128</v>
      </c>
      <c r="AE13" s="19" t="str">
        <f aca="false">IF(OR(V13="",NOT(ISNUMBER(V13))),"",V13*$D$3^2/(2*$H$3))</f>
        <v/>
      </c>
      <c r="AF13" s="20" t="str">
        <f aca="false">IF(OR(V13="",NOT(ISNUMBER(V13))),"",V13*$D$3^2/2*$F$3)</f>
        <v/>
      </c>
      <c r="AG13" s="19" t="str">
        <f aca="false">IF(OR(W13="",NOT(ISNUMBER(W13))),"",W13*$D$3^2/(2*$H$3))</f>
        <v/>
      </c>
      <c r="AH13" s="20" t="str">
        <f aca="false">IF(OR(W13="",NOT(ISNUMBER(W13))),"",W13*$D$3^2/2*$F$3)</f>
        <v/>
      </c>
    </row>
    <row r="14" customFormat="false" ht="15" hidden="false" customHeight="false" outlineLevel="0" collapsed="false">
      <c r="A14" s="10" t="s">
        <v>65</v>
      </c>
      <c r="B14" s="11" t="s">
        <v>41</v>
      </c>
      <c r="C14" s="6" t="s">
        <v>42</v>
      </c>
      <c r="D14" s="6" t="s">
        <v>66</v>
      </c>
      <c r="E14" s="6" t="s">
        <v>67</v>
      </c>
      <c r="F14" s="6" t="s">
        <v>68</v>
      </c>
      <c r="G14" s="6" t="n">
        <v>25</v>
      </c>
      <c r="H14" s="6" t="n">
        <v>20</v>
      </c>
      <c r="I14" s="6"/>
      <c r="J14" s="6" t="n">
        <v>16</v>
      </c>
      <c r="K14" s="6" t="s">
        <v>46</v>
      </c>
      <c r="L14" s="6" t="n">
        <v>98</v>
      </c>
      <c r="M14" s="6" t="n">
        <v>52</v>
      </c>
      <c r="N14" s="12" t="n">
        <v>20.4</v>
      </c>
      <c r="O14" s="12" t="n">
        <v>16</v>
      </c>
      <c r="P14" s="13" t="n">
        <v>13</v>
      </c>
      <c r="Q14" s="12"/>
      <c r="R14" s="14" t="n">
        <v>0.025</v>
      </c>
      <c r="S14" s="6" t="n">
        <v>0</v>
      </c>
      <c r="T14" s="6"/>
      <c r="U14" s="15" t="n">
        <f aca="false">(S14*R14+0.5*(1-(P14/N14)^2)+(1-(P14/O14)^2)^2)*(O14/P14)^4</f>
        <v>0.946399566945357</v>
      </c>
      <c r="V14" s="14"/>
      <c r="W14" s="15" t="n">
        <f aca="false">(S14*R14+0.5*(1-(P14/O14)^2)+(1-(P14/N14)^2)^2)*(O14/P14)^4</f>
        <v>1.19926322340412</v>
      </c>
      <c r="X14" s="10" t="s">
        <v>47</v>
      </c>
      <c r="Y14" s="16"/>
      <c r="Z14" s="17" t="s">
        <v>48</v>
      </c>
      <c r="AA14" s="6"/>
      <c r="AB14" s="18" t="n">
        <f aca="false">IF(O14="","",$D$3*PI()*(O14/1000)^2/4*3600)</f>
        <v>1.08573442108063</v>
      </c>
      <c r="AC14" s="19" t="n">
        <f aca="false">IF(OR(U14="",NOT(ISNUMBER(U14))),"",U14*$D$3^2/(2*$H$3))</f>
        <v>0.108532060429513</v>
      </c>
      <c r="AD14" s="20" t="n">
        <f aca="false">IF(OR(U14="",NOT(ISNUMBER(U14))),"",U14*$D$3^2/2*$F$3)</f>
        <v>1064.69951281353</v>
      </c>
      <c r="AE14" s="19" t="str">
        <f aca="false">IF(OR(V14="",NOT(ISNUMBER(V14))),"",V14*$D$3^2/(2*$H$3))</f>
        <v/>
      </c>
      <c r="AF14" s="20" t="str">
        <f aca="false">IF(OR(V14="",NOT(ISNUMBER(V14))),"",V14*$D$3^2/2*$F$3)</f>
        <v/>
      </c>
      <c r="AG14" s="19" t="n">
        <f aca="false">IF(OR(W14="",NOT(ISNUMBER(W14))),"",W14*$D$3^2/(2*$H$3))</f>
        <v>0.137530186170197</v>
      </c>
      <c r="AH14" s="20" t="n">
        <f aca="false">IF(OR(W14="",NOT(ISNUMBER(W14))),"",W14*$D$3^2/2*$F$3)</f>
        <v>1349.17112632963</v>
      </c>
    </row>
    <row r="15" customFormat="false" ht="15" hidden="false" customHeight="false" outlineLevel="0" collapsed="false">
      <c r="A15" s="10" t="s">
        <v>69</v>
      </c>
      <c r="B15" s="11" t="s">
        <v>41</v>
      </c>
      <c r="C15" s="6" t="s">
        <v>42</v>
      </c>
      <c r="D15" s="6" t="s">
        <v>70</v>
      </c>
      <c r="E15" s="6" t="s">
        <v>67</v>
      </c>
      <c r="F15" s="6" t="s">
        <v>68</v>
      </c>
      <c r="G15" s="6" t="n">
        <v>32</v>
      </c>
      <c r="H15" s="6" t="n">
        <v>25</v>
      </c>
      <c r="I15" s="6"/>
      <c r="J15" s="6" t="n">
        <v>16</v>
      </c>
      <c r="K15" s="6" t="s">
        <v>46</v>
      </c>
      <c r="L15" s="6" t="n">
        <v>111</v>
      </c>
      <c r="M15" s="6" t="n">
        <v>62</v>
      </c>
      <c r="N15" s="12" t="n">
        <v>26.2</v>
      </c>
      <c r="O15" s="12" t="n">
        <v>20.4</v>
      </c>
      <c r="P15" s="13" t="n">
        <v>17</v>
      </c>
      <c r="Q15" s="12"/>
      <c r="R15" s="14" t="n">
        <v>0.023</v>
      </c>
      <c r="S15" s="6" t="n">
        <v>0</v>
      </c>
      <c r="T15" s="6"/>
      <c r="U15" s="15" t="n">
        <f aca="false">(S15*R15+0.5*(1-(P15/N15)^2)+(1-(P15/O15)^2)^2)*(O15/P15)^4</f>
        <v>0.793893968882932</v>
      </c>
      <c r="V15" s="14"/>
      <c r="W15" s="15" t="n">
        <f aca="false">(S15*R15+0.5*(1-(P15/O15)^2)+(1-(P15/N15)^2)^2)*(O15/P15)^4</f>
        <v>1.01192509467057</v>
      </c>
      <c r="X15" s="10" t="s">
        <v>47</v>
      </c>
      <c r="Y15" s="16"/>
      <c r="Z15" s="17" t="s">
        <v>48</v>
      </c>
      <c r="AA15" s="6"/>
      <c r="AB15" s="18" t="n">
        <f aca="false">IF(O15="","",$D$3*PI()*(O15/1000)^2/4*3600)</f>
        <v>1.7649970182692</v>
      </c>
      <c r="AC15" s="19" t="n">
        <f aca="false">IF(OR(U15="",NOT(ISNUMBER(U15))),"",U15*$D$3^2/(2*$H$3))</f>
        <v>0.0910428863397858</v>
      </c>
      <c r="AD15" s="20" t="n">
        <f aca="false">IF(OR(U15="",NOT(ISNUMBER(U15))),"",U15*$D$3^2/2*$F$3)</f>
        <v>893.130714993299</v>
      </c>
      <c r="AE15" s="19" t="str">
        <f aca="false">IF(OR(V15="",NOT(ISNUMBER(V15))),"",V15*$D$3^2/(2*$H$3))</f>
        <v/>
      </c>
      <c r="AF15" s="20" t="str">
        <f aca="false">IF(OR(V15="",NOT(ISNUMBER(V15))),"",V15*$D$3^2/2*$F$3)</f>
        <v/>
      </c>
      <c r="AG15" s="19" t="n">
        <f aca="false">IF(OR(W15="",NOT(ISNUMBER(W15))),"",W15*$D$3^2/(2*$H$3))</f>
        <v>0.116046455810845</v>
      </c>
      <c r="AH15" s="20" t="n">
        <f aca="false">IF(OR(W15="",NOT(ISNUMBER(W15))),"",W15*$D$3^2/2*$F$3)</f>
        <v>1138.41573150439</v>
      </c>
    </row>
    <row r="16" customFormat="false" ht="15" hidden="false" customHeight="false" outlineLevel="0" collapsed="false">
      <c r="A16" s="10" t="s">
        <v>71</v>
      </c>
      <c r="B16" s="11" t="s">
        <v>41</v>
      </c>
      <c r="C16" s="6" t="s">
        <v>42</v>
      </c>
      <c r="D16" s="6" t="s">
        <v>72</v>
      </c>
      <c r="E16" s="6" t="s">
        <v>67</v>
      </c>
      <c r="F16" s="6" t="s">
        <v>68</v>
      </c>
      <c r="G16" s="6" t="n">
        <v>40</v>
      </c>
      <c r="H16" s="6" t="n">
        <v>32</v>
      </c>
      <c r="I16" s="6"/>
      <c r="J16" s="6" t="n">
        <v>16</v>
      </c>
      <c r="K16" s="6" t="s">
        <v>46</v>
      </c>
      <c r="L16" s="6" t="n">
        <v>129</v>
      </c>
      <c r="M16" s="6" t="n">
        <v>72</v>
      </c>
      <c r="N16" s="12" t="n">
        <v>32.6</v>
      </c>
      <c r="O16" s="12" t="n">
        <v>26.2</v>
      </c>
      <c r="P16" s="13" t="n">
        <v>22</v>
      </c>
      <c r="Q16" s="12"/>
      <c r="R16" s="14" t="n">
        <v>0.022</v>
      </c>
      <c r="S16" s="6" t="n">
        <v>0</v>
      </c>
      <c r="T16" s="6"/>
      <c r="U16" s="15" t="n">
        <f aca="false">(S16*R16+0.5*(1-(P16/N16)^2)+(1-(P16/O16)^2)^2)*(O16/P16)^4</f>
        <v>0.722651483201418</v>
      </c>
      <c r="V16" s="14"/>
      <c r="W16" s="15" t="n">
        <f aca="false">(S16*R16+0.5*(1-(P16/O16)^2)+(1-(P16/N16)^2)^2)*(O16/P16)^4</f>
        <v>0.893146855422511</v>
      </c>
      <c r="X16" s="10" t="s">
        <v>47</v>
      </c>
      <c r="Y16" s="16"/>
      <c r="Z16" s="17" t="s">
        <v>48</v>
      </c>
      <c r="AA16" s="6"/>
      <c r="AB16" s="18" t="n">
        <f aca="false">IF(O16="","",$D$3*PI()*(O16/1000)^2/4*3600)</f>
        <v>2.91129506252574</v>
      </c>
      <c r="AC16" s="19" t="n">
        <f aca="false">IF(OR(U16="",NOT(ISNUMBER(U16))),"",U16*$D$3^2/(2*$H$3))</f>
        <v>0.082872876513924</v>
      </c>
      <c r="AD16" s="20" t="n">
        <f aca="false">IF(OR(U16="",NOT(ISNUMBER(U16))),"",U16*$D$3^2/2*$F$3)</f>
        <v>812.982918601595</v>
      </c>
      <c r="AE16" s="19" t="str">
        <f aca="false">IF(OR(V16="",NOT(ISNUMBER(V16))),"",V16*$D$3^2/(2*$H$3))</f>
        <v/>
      </c>
      <c r="AF16" s="20" t="str">
        <f aca="false">IF(OR(V16="",NOT(ISNUMBER(V16))),"",V16*$D$3^2/2*$F$3)</f>
        <v/>
      </c>
      <c r="AG16" s="19" t="n">
        <f aca="false">IF(OR(W16="",NOT(ISNUMBER(W16))),"",W16*$D$3^2/(2*$H$3))</f>
        <v>0.102425098098912</v>
      </c>
      <c r="AH16" s="20" t="n">
        <f aca="false">IF(OR(W16="",NOT(ISNUMBER(W16))),"",W16*$D$3^2/2*$F$3)</f>
        <v>1004.79021235032</v>
      </c>
    </row>
    <row r="17" customFormat="false" ht="15" hidden="false" customHeight="false" outlineLevel="0" collapsed="false">
      <c r="A17" s="10" t="s">
        <v>73</v>
      </c>
      <c r="B17" s="11" t="s">
        <v>41</v>
      </c>
      <c r="C17" s="6" t="s">
        <v>42</v>
      </c>
      <c r="D17" s="6" t="s">
        <v>74</v>
      </c>
      <c r="E17" s="6" t="s">
        <v>67</v>
      </c>
      <c r="F17" s="6" t="s">
        <v>68</v>
      </c>
      <c r="G17" s="6" t="n">
        <v>50</v>
      </c>
      <c r="H17" s="6" t="n">
        <v>40</v>
      </c>
      <c r="I17" s="6"/>
      <c r="J17" s="6" t="n">
        <v>16</v>
      </c>
      <c r="K17" s="6" t="s">
        <v>46</v>
      </c>
      <c r="L17" s="6" t="n">
        <v>157</v>
      </c>
      <c r="M17" s="6" t="n">
        <v>86</v>
      </c>
      <c r="N17" s="12" t="n">
        <v>40.8</v>
      </c>
      <c r="O17" s="12" t="n">
        <v>32.6</v>
      </c>
      <c r="P17" s="13" t="n">
        <v>28</v>
      </c>
      <c r="Q17" s="12"/>
      <c r="R17" s="14" t="n">
        <v>0.021</v>
      </c>
      <c r="S17" s="6" t="n">
        <v>0</v>
      </c>
      <c r="T17" s="6"/>
      <c r="U17" s="15" t="n">
        <f aca="false">(S17*R17+0.5*(1-(P17/N17)^2)+(1-(P17/O17)^2)^2)*(O17/P17)^4</f>
        <v>0.612479843006631</v>
      </c>
      <c r="V17" s="14"/>
      <c r="W17" s="15" t="n">
        <f aca="false">(S17*R17+0.5*(1-(P17/O17)^2)+(1-(P17/N17)^2)^2)*(O17/P17)^4</f>
        <v>0.755266350405112</v>
      </c>
      <c r="X17" s="10" t="s">
        <v>47</v>
      </c>
      <c r="Y17" s="16"/>
      <c r="Z17" s="17" t="s">
        <v>48</v>
      </c>
      <c r="AA17" s="6"/>
      <c r="AB17" s="18" t="n">
        <f aca="false">IF(O17="","",$D$3*PI()*(O17/1000)^2/4*3600)</f>
        <v>4.50732466151427</v>
      </c>
      <c r="AC17" s="19" t="n">
        <f aca="false">IF(OR(U17="",NOT(ISNUMBER(U17))),"",U17*$D$3^2/(2*$H$3))</f>
        <v>0.070238514106265</v>
      </c>
      <c r="AD17" s="20" t="n">
        <f aca="false">IF(OR(U17="",NOT(ISNUMBER(U17))),"",U17*$D$3^2/2*$F$3)</f>
        <v>689.03982338246</v>
      </c>
      <c r="AE17" s="19" t="str">
        <f aca="false">IF(OR(V17="",NOT(ISNUMBER(V17))),"",V17*$D$3^2/(2*$H$3))</f>
        <v/>
      </c>
      <c r="AF17" s="20" t="str">
        <f aca="false">IF(OR(V17="",NOT(ISNUMBER(V17))),"",V17*$D$3^2/2*$F$3)</f>
        <v/>
      </c>
      <c r="AG17" s="19" t="n">
        <f aca="false">IF(OR(W17="",NOT(ISNUMBER(W17))),"",W17*$D$3^2/(2*$H$3))</f>
        <v>0.0866131135785679</v>
      </c>
      <c r="AH17" s="20" t="n">
        <f aca="false">IF(OR(W17="",NOT(ISNUMBER(W17))),"",W17*$D$3^2/2*$F$3)</f>
        <v>849.674644205751</v>
      </c>
    </row>
    <row r="18" customFormat="false" ht="15" hidden="false" customHeight="false" outlineLevel="0" collapsed="false">
      <c r="A18" s="10" t="s">
        <v>75</v>
      </c>
      <c r="B18" s="11" t="s">
        <v>41</v>
      </c>
      <c r="C18" s="6" t="s">
        <v>42</v>
      </c>
      <c r="D18" s="6" t="s">
        <v>76</v>
      </c>
      <c r="E18" s="6" t="s">
        <v>67</v>
      </c>
      <c r="F18" s="6" t="s">
        <v>68</v>
      </c>
      <c r="G18" s="6" t="n">
        <v>63</v>
      </c>
      <c r="H18" s="6" t="n">
        <v>50</v>
      </c>
      <c r="I18" s="6"/>
      <c r="J18" s="6" t="n">
        <v>16</v>
      </c>
      <c r="K18" s="6" t="s">
        <v>46</v>
      </c>
      <c r="L18" s="6" t="n">
        <v>195</v>
      </c>
      <c r="M18" s="6" t="n">
        <v>105</v>
      </c>
      <c r="N18" s="12" t="n">
        <v>51.4</v>
      </c>
      <c r="O18" s="12" t="n">
        <v>40.8</v>
      </c>
      <c r="P18" s="13" t="n">
        <v>35</v>
      </c>
      <c r="Q18" s="12"/>
      <c r="R18" s="14" t="n">
        <v>0.019</v>
      </c>
      <c r="S18" s="6" t="n">
        <v>0</v>
      </c>
      <c r="T18" s="6"/>
      <c r="U18" s="15" t="n">
        <f aca="false">(S18*R18+0.5*(1-(P18/N18)^2)+(1-(P18/O18)^2)^2)*(O18/P18)^4</f>
        <v>0.623989566406061</v>
      </c>
      <c r="V18" s="14"/>
      <c r="W18" s="15" t="n">
        <f aca="false">(S18*R18+0.5*(1-(P18/O18)^2)+(1-(P18/N18)^2)^2)*(O18/P18)^4</f>
        <v>0.775012956222035</v>
      </c>
      <c r="X18" s="10" t="s">
        <v>47</v>
      </c>
      <c r="Y18" s="16"/>
      <c r="Z18" s="17" t="s">
        <v>48</v>
      </c>
      <c r="AA18" s="6"/>
      <c r="AB18" s="18" t="n">
        <f aca="false">IF(O18="","",$D$3*PI()*(O18/1000)^2/4*3600)</f>
        <v>7.05998807307681</v>
      </c>
      <c r="AC18" s="19" t="n">
        <f aca="false">IF(OR(U18="",NOT(ISNUMBER(U18))),"",U18*$D$3^2/(2*$H$3))</f>
        <v>0.0715584365144565</v>
      </c>
      <c r="AD18" s="20" t="n">
        <f aca="false">IF(OR(U18="",NOT(ISNUMBER(U18))),"",U18*$D$3^2/2*$F$3)</f>
        <v>701.988262206818</v>
      </c>
      <c r="AE18" s="19" t="str">
        <f aca="false">IF(OR(V18="",NOT(ISNUMBER(V18))),"",V18*$D$3^2/(2*$H$3))</f>
        <v/>
      </c>
      <c r="AF18" s="20" t="str">
        <f aca="false">IF(OR(V18="",NOT(ISNUMBER(V18))),"",V18*$D$3^2/2*$F$3)</f>
        <v/>
      </c>
      <c r="AG18" s="19" t="n">
        <f aca="false">IF(OR(W18="",NOT(ISNUMBER(W18))),"",W18*$D$3^2/(2*$H$3))</f>
        <v>0.0888776325942701</v>
      </c>
      <c r="AH18" s="20" t="n">
        <f aca="false">IF(OR(W18="",NOT(ISNUMBER(W18))),"",W18*$D$3^2/2*$F$3)</f>
        <v>871.88957574979</v>
      </c>
    </row>
    <row r="19" customFormat="false" ht="15" hidden="false" customHeight="false" outlineLevel="0" collapsed="false">
      <c r="A19" s="10" t="s">
        <v>77</v>
      </c>
      <c r="B19" s="11" t="s">
        <v>41</v>
      </c>
      <c r="C19" s="6" t="s">
        <v>42</v>
      </c>
      <c r="D19" s="6" t="s">
        <v>78</v>
      </c>
      <c r="E19" s="6" t="s">
        <v>67</v>
      </c>
      <c r="F19" s="6" t="s">
        <v>68</v>
      </c>
      <c r="G19" s="6" t="n">
        <v>75</v>
      </c>
      <c r="H19" s="6" t="n">
        <v>63</v>
      </c>
      <c r="I19" s="6"/>
      <c r="J19" s="6" t="n">
        <v>16</v>
      </c>
      <c r="K19" s="6" t="s">
        <v>46</v>
      </c>
      <c r="L19" s="6" t="n">
        <v>213</v>
      </c>
      <c r="M19" s="6" t="n">
        <v>131</v>
      </c>
      <c r="N19" s="12" t="n">
        <v>61.4</v>
      </c>
      <c r="O19" s="12" t="n">
        <v>51.4</v>
      </c>
      <c r="P19" s="13" t="n">
        <v>45</v>
      </c>
      <c r="Q19" s="12"/>
      <c r="R19" s="14" t="n">
        <v>0.018</v>
      </c>
      <c r="S19" s="6" t="n">
        <v>0</v>
      </c>
      <c r="T19" s="6"/>
      <c r="U19" s="15" t="n">
        <f aca="false">(S19*R19+0.5*(1-(P19/N19)^2)+(1-(P19/O19)^2)^2)*(O19/P19)^4</f>
        <v>0.486756694300016</v>
      </c>
      <c r="V19" s="14"/>
      <c r="W19" s="15" t="n">
        <f aca="false">(S19*R19+0.5*(1-(P19/O19)^2)+(1-(P19/N19)^2)^2)*(O19/P19)^4</f>
        <v>0.563418071022485</v>
      </c>
      <c r="X19" s="10" t="s">
        <v>47</v>
      </c>
      <c r="Y19" s="16"/>
      <c r="Z19" s="17" t="s">
        <v>48</v>
      </c>
      <c r="AA19" s="6"/>
      <c r="AB19" s="18" t="n">
        <f aca="false">IF(O19="","",$D$3*PI()*(O19/1000)^2/4*3600)</f>
        <v>11.2049488715554</v>
      </c>
      <c r="AC19" s="19" t="n">
        <f aca="false">IF(OR(U19="",NOT(ISNUMBER(U19))),"",U19*$D$3^2/(2*$H$3))</f>
        <v>0.0558207218233963</v>
      </c>
      <c r="AD19" s="20" t="n">
        <f aca="false">IF(OR(U19="",NOT(ISNUMBER(U19))),"",U19*$D$3^2/2*$F$3)</f>
        <v>547.601281087518</v>
      </c>
      <c r="AE19" s="19" t="str">
        <f aca="false">IF(OR(V19="",NOT(ISNUMBER(V19))),"",V19*$D$3^2/(2*$H$3))</f>
        <v/>
      </c>
      <c r="AF19" s="20" t="str">
        <f aca="false">IF(OR(V19="",NOT(ISNUMBER(V19))),"",V19*$D$3^2/2*$F$3)</f>
        <v/>
      </c>
      <c r="AG19" s="19" t="n">
        <f aca="false">IF(OR(W19="",NOT(ISNUMBER(W19))),"",W19*$D$3^2/(2*$H$3))</f>
        <v>0.0646121641080832</v>
      </c>
      <c r="AH19" s="20" t="n">
        <f aca="false">IF(OR(W19="",NOT(ISNUMBER(W19))),"",W19*$D$3^2/2*$F$3)</f>
        <v>633.845329900296</v>
      </c>
    </row>
    <row r="20" customFormat="false" ht="15" hidden="false" customHeight="false" outlineLevel="0" collapsed="false">
      <c r="A20" s="10" t="s">
        <v>79</v>
      </c>
      <c r="B20" s="11" t="s">
        <v>41</v>
      </c>
      <c r="C20" s="6" t="s">
        <v>42</v>
      </c>
      <c r="D20" s="6" t="s">
        <v>80</v>
      </c>
      <c r="E20" s="6" t="s">
        <v>67</v>
      </c>
      <c r="F20" s="6" t="s">
        <v>68</v>
      </c>
      <c r="G20" s="6" t="n">
        <v>90</v>
      </c>
      <c r="H20" s="6" t="n">
        <v>75</v>
      </c>
      <c r="I20" s="6"/>
      <c r="J20" s="6" t="n">
        <v>16</v>
      </c>
      <c r="K20" s="6" t="s">
        <v>46</v>
      </c>
      <c r="L20" s="6" t="n">
        <v>245</v>
      </c>
      <c r="M20" s="6" t="n">
        <v>154</v>
      </c>
      <c r="N20" s="12" t="n">
        <v>73.6</v>
      </c>
      <c r="O20" s="12" t="n">
        <v>61.4</v>
      </c>
      <c r="P20" s="13" t="n">
        <v>54</v>
      </c>
      <c r="Q20" s="12"/>
      <c r="R20" s="14" t="n">
        <v>0.018</v>
      </c>
      <c r="S20" s="6" t="n">
        <v>0</v>
      </c>
      <c r="T20" s="6"/>
      <c r="U20" s="15" t="n">
        <f aca="false">(S20*R20+0.5*(1-(P20/N20)^2)+(1-(P20/O20)^2)^2)*(O20/P20)^4</f>
        <v>0.471613954186526</v>
      </c>
      <c r="V20" s="14"/>
      <c r="W20" s="15" t="n">
        <f aca="false">(S20*R20+0.5*(1-(P20/O20)^2)+(1-(P20/N20)^2)^2)*(O20/P20)^4</f>
        <v>0.545595693858588</v>
      </c>
      <c r="X20" s="10" t="s">
        <v>47</v>
      </c>
      <c r="Y20" s="16"/>
      <c r="Z20" s="17" t="s">
        <v>48</v>
      </c>
      <c r="AA20" s="6"/>
      <c r="AB20" s="18" t="n">
        <f aca="false">IF(O20="","",$D$3*PI()*(O20/1000)^2/4*3600)</f>
        <v>15.988966164442</v>
      </c>
      <c r="AC20" s="19" t="n">
        <f aca="false">IF(OR(U20="",NOT(ISNUMBER(U20))),"",U20*$D$3^2/(2*$H$3))</f>
        <v>0.0540841690580878</v>
      </c>
      <c r="AD20" s="20" t="n">
        <f aca="false">IF(OR(U20="",NOT(ISNUMBER(U20))),"",U20*$D$3^2/2*$F$3)</f>
        <v>530.565698459842</v>
      </c>
      <c r="AE20" s="19" t="str">
        <f aca="false">IF(OR(V20="",NOT(ISNUMBER(V20))),"",V20*$D$3^2/(2*$H$3))</f>
        <v/>
      </c>
      <c r="AF20" s="20" t="str">
        <f aca="false">IF(OR(V20="",NOT(ISNUMBER(V20))),"",V20*$D$3^2/2*$F$3)</f>
        <v/>
      </c>
      <c r="AG20" s="19" t="n">
        <f aca="false">IF(OR(W20="",NOT(ISNUMBER(W20))),"",W20*$D$3^2/(2*$H$3))</f>
        <v>0.0625683135158931</v>
      </c>
      <c r="AH20" s="20" t="n">
        <f aca="false">IF(OR(W20="",NOT(ISNUMBER(W20))),"",W20*$D$3^2/2*$F$3)</f>
        <v>613.795155590912</v>
      </c>
    </row>
    <row r="21" customFormat="false" ht="15" hidden="false" customHeight="false" outlineLevel="0" collapsed="false">
      <c r="A21" s="10" t="s">
        <v>81</v>
      </c>
      <c r="B21" s="11" t="s">
        <v>41</v>
      </c>
      <c r="C21" s="6" t="s">
        <v>42</v>
      </c>
      <c r="D21" s="6" t="s">
        <v>82</v>
      </c>
      <c r="E21" s="6" t="s">
        <v>67</v>
      </c>
      <c r="F21" s="6" t="s">
        <v>68</v>
      </c>
      <c r="G21" s="6" t="n">
        <v>110</v>
      </c>
      <c r="H21" s="6" t="n">
        <v>90</v>
      </c>
      <c r="I21" s="6"/>
      <c r="J21" s="6" t="n">
        <v>16</v>
      </c>
      <c r="K21" s="6" t="s">
        <v>46</v>
      </c>
      <c r="L21" s="6" t="n">
        <v>280</v>
      </c>
      <c r="M21" s="6" t="n">
        <v>181</v>
      </c>
      <c r="N21" s="12" t="n">
        <v>90</v>
      </c>
      <c r="O21" s="12" t="n">
        <v>73.6</v>
      </c>
      <c r="P21" s="13" t="n">
        <v>66</v>
      </c>
      <c r="Q21" s="12"/>
      <c r="R21" s="14" t="n">
        <v>0.017</v>
      </c>
      <c r="S21" s="6" t="n">
        <v>0</v>
      </c>
      <c r="T21" s="6"/>
      <c r="U21" s="15" t="n">
        <f aca="false">(S21*R21+0.5*(1-(P21/N21)^2)+(1-(P21/O21)^2)^2)*(O21/P21)^4</f>
        <v>0.416724362266214</v>
      </c>
      <c r="V21" s="14"/>
      <c r="W21" s="15" t="n">
        <f aca="false">(S21*R21+0.5*(1-(P21/O21)^2)+(1-(P21/N21)^2)^2)*(O21/P21)^4</f>
        <v>0.481840702573338</v>
      </c>
      <c r="X21" s="10" t="s">
        <v>47</v>
      </c>
      <c r="Y21" s="16"/>
      <c r="Z21" s="17" t="s">
        <v>48</v>
      </c>
      <c r="AA21" s="6"/>
      <c r="AB21" s="18" t="n">
        <f aca="false">IF(O21="","",$D$3*PI()*(O21/1000)^2/4*3600)</f>
        <v>22.9741403500662</v>
      </c>
      <c r="AC21" s="19" t="n">
        <f aca="false">IF(OR(U21="",NOT(ISNUMBER(U21))),"",U21*$D$3^2/(2*$H$3))</f>
        <v>0.047789491085575</v>
      </c>
      <c r="AD21" s="20" t="n">
        <f aca="false">IF(OR(U21="",NOT(ISNUMBER(U21))),"",U21*$D$3^2/2*$F$3)</f>
        <v>468.814907549491</v>
      </c>
      <c r="AE21" s="19" t="str">
        <f aca="false">IF(OR(V21="",NOT(ISNUMBER(V21))),"",V21*$D$3^2/(2*$H$3))</f>
        <v/>
      </c>
      <c r="AF21" s="20" t="str">
        <f aca="false">IF(OR(V21="",NOT(ISNUMBER(V21))),"",V21*$D$3^2/2*$F$3)</f>
        <v/>
      </c>
      <c r="AG21" s="19" t="n">
        <f aca="false">IF(OR(W21="",NOT(ISNUMBER(W21))),"",W21*$D$3^2/(2*$H$3))</f>
        <v>0.0552569613042819</v>
      </c>
      <c r="AH21" s="20" t="n">
        <f aca="false">IF(OR(W21="",NOT(ISNUMBER(W21))),"",W21*$D$3^2/2*$F$3)</f>
        <v>542.070790395006</v>
      </c>
    </row>
    <row r="22" customFormat="false" ht="15" hidden="false" customHeight="false" outlineLevel="0" collapsed="false">
      <c r="A22" s="10" t="s">
        <v>83</v>
      </c>
      <c r="B22" s="11" t="s">
        <v>41</v>
      </c>
      <c r="C22" s="6" t="s">
        <v>42</v>
      </c>
      <c r="D22" s="6" t="s">
        <v>84</v>
      </c>
      <c r="E22" s="6" t="s">
        <v>85</v>
      </c>
      <c r="F22" s="6" t="s">
        <v>86</v>
      </c>
      <c r="G22" s="6" t="n">
        <v>20</v>
      </c>
      <c r="H22" s="6"/>
      <c r="I22" s="6"/>
      <c r="J22" s="6" t="n">
        <v>16</v>
      </c>
      <c r="K22" s="6" t="s">
        <v>46</v>
      </c>
      <c r="L22" s="6" t="n">
        <v>49</v>
      </c>
      <c r="M22" s="6" t="n">
        <v>44</v>
      </c>
      <c r="N22" s="12" t="n">
        <v>16</v>
      </c>
      <c r="O22" s="12" t="n">
        <v>16</v>
      </c>
      <c r="P22" s="12"/>
      <c r="Q22" s="12"/>
      <c r="R22" s="14" t="n">
        <v>0.027</v>
      </c>
      <c r="S22" s="6"/>
      <c r="T22" s="6"/>
      <c r="U22" s="14"/>
      <c r="V22" s="14"/>
      <c r="W22" s="14"/>
      <c r="X22" s="10" t="s">
        <v>87</v>
      </c>
      <c r="Y22" s="16"/>
      <c r="Z22" s="17" t="s">
        <v>48</v>
      </c>
      <c r="AA22" s="6"/>
      <c r="AB22" s="18" t="n">
        <f aca="false">IF(O22="","",$D$3*PI()*(O22/1000)^2/4*3600)</f>
        <v>1.08573442108063</v>
      </c>
      <c r="AC22" s="19" t="str">
        <f aca="false">IF(OR(U22="",NOT(ISNUMBER(U22))),"",U22*$D$3^2/(2*$H$3))</f>
        <v/>
      </c>
      <c r="AD22" s="20" t="str">
        <f aca="false">IF(OR(U22="",NOT(ISNUMBER(U22))),"",U22*$D$3^2/2*$F$3)</f>
        <v/>
      </c>
      <c r="AE22" s="19" t="str">
        <f aca="false">IF(OR(V22="",NOT(ISNUMBER(V22))),"",V22*$D$3^2/(2*$H$3))</f>
        <v/>
      </c>
      <c r="AF22" s="20" t="str">
        <f aca="false">IF(OR(V22="",NOT(ISNUMBER(V22))),"",V22*$D$3^2/2*$F$3)</f>
        <v/>
      </c>
      <c r="AG22" s="19" t="str">
        <f aca="false">IF(OR(W22="",NOT(ISNUMBER(W22))),"",W22*$D$3^2/(2*$H$3))</f>
        <v/>
      </c>
      <c r="AH22" s="20" t="str">
        <f aca="false">IF(OR(W22="",NOT(ISNUMBER(W22))),"",W22*$D$3^2/2*$F$3)</f>
        <v/>
      </c>
    </row>
    <row r="23" customFormat="false" ht="15" hidden="false" customHeight="false" outlineLevel="0" collapsed="false">
      <c r="A23" s="10" t="s">
        <v>88</v>
      </c>
      <c r="B23" s="11" t="s">
        <v>41</v>
      </c>
      <c r="C23" s="6" t="s">
        <v>42</v>
      </c>
      <c r="D23" s="6" t="s">
        <v>89</v>
      </c>
      <c r="E23" s="6" t="s">
        <v>85</v>
      </c>
      <c r="F23" s="6" t="s">
        <v>86</v>
      </c>
      <c r="G23" s="6" t="n">
        <v>25</v>
      </c>
      <c r="H23" s="6"/>
      <c r="I23" s="6"/>
      <c r="J23" s="6" t="n">
        <v>16</v>
      </c>
      <c r="K23" s="6" t="s">
        <v>46</v>
      </c>
      <c r="L23" s="6" t="n">
        <v>55</v>
      </c>
      <c r="M23" s="6" t="n">
        <v>52</v>
      </c>
      <c r="N23" s="12" t="n">
        <v>20.4</v>
      </c>
      <c r="O23" s="12" t="n">
        <v>20.4</v>
      </c>
      <c r="P23" s="12"/>
      <c r="Q23" s="12"/>
      <c r="R23" s="14" t="n">
        <v>0.025</v>
      </c>
      <c r="S23" s="6"/>
      <c r="T23" s="6"/>
      <c r="U23" s="14"/>
      <c r="V23" s="14"/>
      <c r="W23" s="14"/>
      <c r="X23" s="10" t="s">
        <v>87</v>
      </c>
      <c r="Y23" s="16"/>
      <c r="Z23" s="17" t="s">
        <v>48</v>
      </c>
      <c r="AA23" s="6"/>
      <c r="AB23" s="18" t="n">
        <f aca="false">IF(O23="","",$D$3*PI()*(O23/1000)^2/4*3600)</f>
        <v>1.7649970182692</v>
      </c>
      <c r="AC23" s="19" t="str">
        <f aca="false">IF(OR(U23="",NOT(ISNUMBER(U23))),"",U23*$D$3^2/(2*$H$3))</f>
        <v/>
      </c>
      <c r="AD23" s="20" t="str">
        <f aca="false">IF(OR(U23="",NOT(ISNUMBER(U23))),"",U23*$D$3^2/2*$F$3)</f>
        <v/>
      </c>
      <c r="AE23" s="19" t="str">
        <f aca="false">IF(OR(V23="",NOT(ISNUMBER(V23))),"",V23*$D$3^2/(2*$H$3))</f>
        <v/>
      </c>
      <c r="AF23" s="20" t="str">
        <f aca="false">IF(OR(V23="",NOT(ISNUMBER(V23))),"",V23*$D$3^2/2*$F$3)</f>
        <v/>
      </c>
      <c r="AG23" s="19" t="str">
        <f aca="false">IF(OR(W23="",NOT(ISNUMBER(W23))),"",W23*$D$3^2/(2*$H$3))</f>
        <v/>
      </c>
      <c r="AH23" s="20" t="str">
        <f aca="false">IF(OR(W23="",NOT(ISNUMBER(W23))),"",W23*$D$3^2/2*$F$3)</f>
        <v/>
      </c>
    </row>
    <row r="24" customFormat="false" ht="15" hidden="false" customHeight="false" outlineLevel="0" collapsed="false">
      <c r="A24" s="10" t="s">
        <v>90</v>
      </c>
      <c r="B24" s="11" t="s">
        <v>41</v>
      </c>
      <c r="C24" s="6" t="s">
        <v>42</v>
      </c>
      <c r="D24" s="6" t="s">
        <v>91</v>
      </c>
      <c r="E24" s="6" t="s">
        <v>85</v>
      </c>
      <c r="F24" s="6" t="s">
        <v>86</v>
      </c>
      <c r="G24" s="6" t="n">
        <v>32</v>
      </c>
      <c r="H24" s="6"/>
      <c r="I24" s="6"/>
      <c r="J24" s="6" t="n">
        <v>16</v>
      </c>
      <c r="K24" s="6" t="s">
        <v>46</v>
      </c>
      <c r="L24" s="6" t="n">
        <v>63</v>
      </c>
      <c r="M24" s="6" t="n">
        <v>62</v>
      </c>
      <c r="N24" s="12" t="n">
        <v>26.2</v>
      </c>
      <c r="O24" s="12" t="n">
        <v>26.2</v>
      </c>
      <c r="P24" s="12"/>
      <c r="Q24" s="12"/>
      <c r="R24" s="14" t="n">
        <v>0.023</v>
      </c>
      <c r="S24" s="6"/>
      <c r="T24" s="6"/>
      <c r="U24" s="14"/>
      <c r="V24" s="14"/>
      <c r="W24" s="14"/>
      <c r="X24" s="10" t="s">
        <v>87</v>
      </c>
      <c r="Y24" s="16"/>
      <c r="Z24" s="17" t="s">
        <v>48</v>
      </c>
      <c r="AA24" s="6"/>
      <c r="AB24" s="18" t="n">
        <f aca="false">IF(O24="","",$D$3*PI()*(O24/1000)^2/4*3600)</f>
        <v>2.91129506252574</v>
      </c>
      <c r="AC24" s="19" t="str">
        <f aca="false">IF(OR(U24="",NOT(ISNUMBER(U24))),"",U24*$D$3^2/(2*$H$3))</f>
        <v/>
      </c>
      <c r="AD24" s="20" t="str">
        <f aca="false">IF(OR(U24="",NOT(ISNUMBER(U24))),"",U24*$D$3^2/2*$F$3)</f>
        <v/>
      </c>
      <c r="AE24" s="19" t="str">
        <f aca="false">IF(OR(V24="",NOT(ISNUMBER(V24))),"",V24*$D$3^2/(2*$H$3))</f>
        <v/>
      </c>
      <c r="AF24" s="20" t="str">
        <f aca="false">IF(OR(V24="",NOT(ISNUMBER(V24))),"",V24*$D$3^2/2*$F$3)</f>
        <v/>
      </c>
      <c r="AG24" s="19" t="str">
        <f aca="false">IF(OR(W24="",NOT(ISNUMBER(W24))),"",W24*$D$3^2/(2*$H$3))</f>
        <v/>
      </c>
      <c r="AH24" s="20" t="str">
        <f aca="false">IF(OR(W24="",NOT(ISNUMBER(W24))),"",W24*$D$3^2/2*$F$3)</f>
        <v/>
      </c>
    </row>
    <row r="25" customFormat="false" ht="15" hidden="false" customHeight="false" outlineLevel="0" collapsed="false">
      <c r="A25" s="10" t="s">
        <v>92</v>
      </c>
      <c r="B25" s="11" t="s">
        <v>41</v>
      </c>
      <c r="C25" s="6" t="s">
        <v>42</v>
      </c>
      <c r="D25" s="6" t="s">
        <v>93</v>
      </c>
      <c r="E25" s="6" t="s">
        <v>85</v>
      </c>
      <c r="F25" s="6" t="s">
        <v>86</v>
      </c>
      <c r="G25" s="6" t="n">
        <v>40</v>
      </c>
      <c r="H25" s="6"/>
      <c r="I25" s="6"/>
      <c r="J25" s="6" t="n">
        <v>16</v>
      </c>
      <c r="K25" s="6" t="s">
        <v>46</v>
      </c>
      <c r="L25" s="6" t="n">
        <v>70</v>
      </c>
      <c r="M25" s="6" t="n">
        <v>72</v>
      </c>
      <c r="N25" s="12" t="n">
        <v>32.6</v>
      </c>
      <c r="O25" s="12" t="n">
        <v>32.6</v>
      </c>
      <c r="P25" s="12"/>
      <c r="Q25" s="12"/>
      <c r="R25" s="14" t="n">
        <v>0.022</v>
      </c>
      <c r="S25" s="6"/>
      <c r="T25" s="6"/>
      <c r="U25" s="14"/>
      <c r="V25" s="14"/>
      <c r="W25" s="14"/>
      <c r="X25" s="10" t="s">
        <v>87</v>
      </c>
      <c r="Y25" s="16"/>
      <c r="Z25" s="17" t="s">
        <v>48</v>
      </c>
      <c r="AA25" s="6"/>
      <c r="AB25" s="18" t="n">
        <f aca="false">IF(O25="","",$D$3*PI()*(O25/1000)^2/4*3600)</f>
        <v>4.50732466151427</v>
      </c>
      <c r="AC25" s="19" t="str">
        <f aca="false">IF(OR(U25="",NOT(ISNUMBER(U25))),"",U25*$D$3^2/(2*$H$3))</f>
        <v/>
      </c>
      <c r="AD25" s="20" t="str">
        <f aca="false">IF(OR(U25="",NOT(ISNUMBER(U25))),"",U25*$D$3^2/2*$F$3)</f>
        <v/>
      </c>
      <c r="AE25" s="19" t="str">
        <f aca="false">IF(OR(V25="",NOT(ISNUMBER(V25))),"",V25*$D$3^2/(2*$H$3))</f>
        <v/>
      </c>
      <c r="AF25" s="20" t="str">
        <f aca="false">IF(OR(V25="",NOT(ISNUMBER(V25))),"",V25*$D$3^2/2*$F$3)</f>
        <v/>
      </c>
      <c r="AG25" s="19" t="str">
        <f aca="false">IF(OR(W25="",NOT(ISNUMBER(W25))),"",W25*$D$3^2/(2*$H$3))</f>
        <v/>
      </c>
      <c r="AH25" s="20" t="str">
        <f aca="false">IF(OR(W25="",NOT(ISNUMBER(W25))),"",W25*$D$3^2/2*$F$3)</f>
        <v/>
      </c>
    </row>
    <row r="26" customFormat="false" ht="15" hidden="false" customHeight="false" outlineLevel="0" collapsed="false">
      <c r="A26" s="10" t="s">
        <v>94</v>
      </c>
      <c r="B26" s="11" t="s">
        <v>41</v>
      </c>
      <c r="C26" s="6" t="s">
        <v>42</v>
      </c>
      <c r="D26" s="6" t="s">
        <v>95</v>
      </c>
      <c r="E26" s="6" t="s">
        <v>85</v>
      </c>
      <c r="F26" s="6" t="s">
        <v>86</v>
      </c>
      <c r="G26" s="6" t="n">
        <v>50</v>
      </c>
      <c r="H26" s="6"/>
      <c r="I26" s="6"/>
      <c r="J26" s="6" t="n">
        <v>16</v>
      </c>
      <c r="K26" s="6" t="s">
        <v>46</v>
      </c>
      <c r="L26" s="6" t="n">
        <v>89</v>
      </c>
      <c r="M26" s="6" t="n">
        <v>87</v>
      </c>
      <c r="N26" s="12" t="n">
        <v>40.8</v>
      </c>
      <c r="O26" s="12" t="n">
        <v>40.8</v>
      </c>
      <c r="P26" s="12"/>
      <c r="Q26" s="12"/>
      <c r="R26" s="14" t="n">
        <v>0.021</v>
      </c>
      <c r="S26" s="6"/>
      <c r="T26" s="6"/>
      <c r="U26" s="14"/>
      <c r="V26" s="14"/>
      <c r="W26" s="14"/>
      <c r="X26" s="10" t="s">
        <v>87</v>
      </c>
      <c r="Y26" s="16"/>
      <c r="Z26" s="17" t="s">
        <v>48</v>
      </c>
      <c r="AA26" s="6"/>
      <c r="AB26" s="18" t="n">
        <f aca="false">IF(O26="","",$D$3*PI()*(O26/1000)^2/4*3600)</f>
        <v>7.05998807307681</v>
      </c>
      <c r="AC26" s="19" t="str">
        <f aca="false">IF(OR(U26="",NOT(ISNUMBER(U26))),"",U26*$D$3^2/(2*$H$3))</f>
        <v/>
      </c>
      <c r="AD26" s="20" t="str">
        <f aca="false">IF(OR(U26="",NOT(ISNUMBER(U26))),"",U26*$D$3^2/2*$F$3)</f>
        <v/>
      </c>
      <c r="AE26" s="19" t="str">
        <f aca="false">IF(OR(V26="",NOT(ISNUMBER(V26))),"",V26*$D$3^2/(2*$H$3))</f>
        <v/>
      </c>
      <c r="AF26" s="20" t="str">
        <f aca="false">IF(OR(V26="",NOT(ISNUMBER(V26))),"",V26*$D$3^2/2*$F$3)</f>
        <v/>
      </c>
      <c r="AG26" s="19" t="str">
        <f aca="false">IF(OR(W26="",NOT(ISNUMBER(W26))),"",W26*$D$3^2/(2*$H$3))</f>
        <v/>
      </c>
      <c r="AH26" s="20" t="str">
        <f aca="false">IF(OR(W26="",NOT(ISNUMBER(W26))),"",W26*$D$3^2/2*$F$3)</f>
        <v/>
      </c>
    </row>
    <row r="27" customFormat="false" ht="15" hidden="false" customHeight="false" outlineLevel="0" collapsed="false">
      <c r="A27" s="10" t="s">
        <v>96</v>
      </c>
      <c r="B27" s="11" t="s">
        <v>41</v>
      </c>
      <c r="C27" s="6" t="s">
        <v>42</v>
      </c>
      <c r="D27" s="6" t="s">
        <v>97</v>
      </c>
      <c r="E27" s="6" t="s">
        <v>85</v>
      </c>
      <c r="F27" s="6" t="s">
        <v>86</v>
      </c>
      <c r="G27" s="6" t="n">
        <v>63</v>
      </c>
      <c r="H27" s="6"/>
      <c r="I27" s="6"/>
      <c r="J27" s="6" t="n">
        <v>16</v>
      </c>
      <c r="K27" s="6" t="s">
        <v>46</v>
      </c>
      <c r="L27" s="6" t="n">
        <v>112</v>
      </c>
      <c r="M27" s="6" t="n">
        <v>105</v>
      </c>
      <c r="N27" s="12" t="n">
        <v>51.4</v>
      </c>
      <c r="O27" s="12" t="n">
        <v>51.4</v>
      </c>
      <c r="P27" s="12"/>
      <c r="Q27" s="12"/>
      <c r="R27" s="14" t="n">
        <v>0.019</v>
      </c>
      <c r="S27" s="6"/>
      <c r="T27" s="6"/>
      <c r="U27" s="14"/>
      <c r="V27" s="14"/>
      <c r="W27" s="14"/>
      <c r="X27" s="10" t="s">
        <v>87</v>
      </c>
      <c r="Y27" s="16"/>
      <c r="Z27" s="17" t="s">
        <v>48</v>
      </c>
      <c r="AA27" s="6"/>
      <c r="AB27" s="18" t="n">
        <f aca="false">IF(O27="","",$D$3*PI()*(O27/1000)^2/4*3600)</f>
        <v>11.2049488715554</v>
      </c>
      <c r="AC27" s="19" t="str">
        <f aca="false">IF(OR(U27="",NOT(ISNUMBER(U27))),"",U27*$D$3^2/(2*$H$3))</f>
        <v/>
      </c>
      <c r="AD27" s="20" t="str">
        <f aca="false">IF(OR(U27="",NOT(ISNUMBER(U27))),"",U27*$D$3^2/2*$F$3)</f>
        <v/>
      </c>
      <c r="AE27" s="19" t="str">
        <f aca="false">IF(OR(V27="",NOT(ISNUMBER(V27))),"",V27*$D$3^2/(2*$H$3))</f>
        <v/>
      </c>
      <c r="AF27" s="20" t="str">
        <f aca="false">IF(OR(V27="",NOT(ISNUMBER(V27))),"",V27*$D$3^2/2*$F$3)</f>
        <v/>
      </c>
      <c r="AG27" s="19" t="str">
        <f aca="false">IF(OR(W27="",NOT(ISNUMBER(W27))),"",W27*$D$3^2/(2*$H$3))</f>
        <v/>
      </c>
      <c r="AH27" s="20" t="str">
        <f aca="false">IF(OR(W27="",NOT(ISNUMBER(W27))),"",W27*$D$3^2/2*$F$3)</f>
        <v/>
      </c>
    </row>
    <row r="28" customFormat="false" ht="15" hidden="false" customHeight="false" outlineLevel="0" collapsed="false">
      <c r="A28" s="10" t="s">
        <v>98</v>
      </c>
      <c r="B28" s="11" t="s">
        <v>41</v>
      </c>
      <c r="C28" s="6" t="s">
        <v>42</v>
      </c>
      <c r="D28" s="6" t="s">
        <v>99</v>
      </c>
      <c r="E28" s="6" t="s">
        <v>85</v>
      </c>
      <c r="F28" s="6" t="s">
        <v>86</v>
      </c>
      <c r="G28" s="6" t="n">
        <v>75</v>
      </c>
      <c r="H28" s="6"/>
      <c r="I28" s="6"/>
      <c r="J28" s="6" t="n">
        <v>16</v>
      </c>
      <c r="K28" s="6" t="s">
        <v>46</v>
      </c>
      <c r="L28" s="6" t="n">
        <v>127</v>
      </c>
      <c r="M28" s="6" t="n">
        <v>131</v>
      </c>
      <c r="N28" s="12" t="n">
        <v>61.4</v>
      </c>
      <c r="O28" s="12" t="n">
        <v>61.4</v>
      </c>
      <c r="P28" s="12"/>
      <c r="Q28" s="12"/>
      <c r="R28" s="14" t="n">
        <v>0.018</v>
      </c>
      <c r="S28" s="6"/>
      <c r="T28" s="6"/>
      <c r="U28" s="14"/>
      <c r="V28" s="14"/>
      <c r="W28" s="14"/>
      <c r="X28" s="10" t="s">
        <v>87</v>
      </c>
      <c r="Y28" s="16"/>
      <c r="Z28" s="17" t="s">
        <v>48</v>
      </c>
      <c r="AA28" s="6"/>
      <c r="AB28" s="18" t="n">
        <f aca="false">IF(O28="","",$D$3*PI()*(O28/1000)^2/4*3600)</f>
        <v>15.988966164442</v>
      </c>
      <c r="AC28" s="19" t="str">
        <f aca="false">IF(OR(U28="",NOT(ISNUMBER(U28))),"",U28*$D$3^2/(2*$H$3))</f>
        <v/>
      </c>
      <c r="AD28" s="20" t="str">
        <f aca="false">IF(OR(U28="",NOT(ISNUMBER(U28))),"",U28*$D$3^2/2*$F$3)</f>
        <v/>
      </c>
      <c r="AE28" s="19" t="str">
        <f aca="false">IF(OR(V28="",NOT(ISNUMBER(V28))),"",V28*$D$3^2/(2*$H$3))</f>
        <v/>
      </c>
      <c r="AF28" s="20" t="str">
        <f aca="false">IF(OR(V28="",NOT(ISNUMBER(V28))),"",V28*$D$3^2/2*$F$3)</f>
        <v/>
      </c>
      <c r="AG28" s="19" t="str">
        <f aca="false">IF(OR(W28="",NOT(ISNUMBER(W28))),"",W28*$D$3^2/(2*$H$3))</f>
        <v/>
      </c>
      <c r="AH28" s="20" t="str">
        <f aca="false">IF(OR(W28="",NOT(ISNUMBER(W28))),"",W28*$D$3^2/2*$F$3)</f>
        <v/>
      </c>
    </row>
    <row r="29" customFormat="false" ht="15" hidden="false" customHeight="false" outlineLevel="0" collapsed="false">
      <c r="A29" s="10" t="s">
        <v>100</v>
      </c>
      <c r="B29" s="11" t="s">
        <v>41</v>
      </c>
      <c r="C29" s="6" t="s">
        <v>42</v>
      </c>
      <c r="D29" s="6" t="s">
        <v>101</v>
      </c>
      <c r="E29" s="6" t="s">
        <v>85</v>
      </c>
      <c r="F29" s="6" t="s">
        <v>86</v>
      </c>
      <c r="G29" s="6" t="n">
        <v>90</v>
      </c>
      <c r="H29" s="6"/>
      <c r="I29" s="6"/>
      <c r="J29" s="6" t="n">
        <v>16</v>
      </c>
      <c r="K29" s="6" t="s">
        <v>46</v>
      </c>
      <c r="L29" s="6" t="n">
        <v>139</v>
      </c>
      <c r="M29" s="6" t="n">
        <v>154</v>
      </c>
      <c r="N29" s="12" t="n">
        <v>73.6</v>
      </c>
      <c r="O29" s="12" t="n">
        <v>73.6</v>
      </c>
      <c r="P29" s="12"/>
      <c r="Q29" s="12"/>
      <c r="R29" s="14" t="n">
        <v>0.018</v>
      </c>
      <c r="S29" s="6"/>
      <c r="T29" s="6"/>
      <c r="U29" s="14"/>
      <c r="V29" s="14"/>
      <c r="W29" s="14"/>
      <c r="X29" s="10" t="s">
        <v>87</v>
      </c>
      <c r="Y29" s="16"/>
      <c r="Z29" s="17" t="s">
        <v>48</v>
      </c>
      <c r="AA29" s="6"/>
      <c r="AB29" s="18" t="n">
        <f aca="false">IF(O29="","",$D$3*PI()*(O29/1000)^2/4*3600)</f>
        <v>22.9741403500662</v>
      </c>
      <c r="AC29" s="19" t="str">
        <f aca="false">IF(OR(U29="",NOT(ISNUMBER(U29))),"",U29*$D$3^2/(2*$H$3))</f>
        <v/>
      </c>
      <c r="AD29" s="20" t="str">
        <f aca="false">IF(OR(U29="",NOT(ISNUMBER(U29))),"",U29*$D$3^2/2*$F$3)</f>
        <v/>
      </c>
      <c r="AE29" s="19" t="str">
        <f aca="false">IF(OR(V29="",NOT(ISNUMBER(V29))),"",V29*$D$3^2/(2*$H$3))</f>
        <v/>
      </c>
      <c r="AF29" s="20" t="str">
        <f aca="false">IF(OR(V29="",NOT(ISNUMBER(V29))),"",V29*$D$3^2/2*$F$3)</f>
        <v/>
      </c>
      <c r="AG29" s="19" t="str">
        <f aca="false">IF(OR(W29="",NOT(ISNUMBER(W29))),"",W29*$D$3^2/(2*$H$3))</f>
        <v/>
      </c>
      <c r="AH29" s="20" t="str">
        <f aca="false">IF(OR(W29="",NOT(ISNUMBER(W29))),"",W29*$D$3^2/2*$F$3)</f>
        <v/>
      </c>
    </row>
    <row r="30" customFormat="false" ht="15" hidden="false" customHeight="false" outlineLevel="0" collapsed="false">
      <c r="A30" s="10" t="s">
        <v>102</v>
      </c>
      <c r="B30" s="11" t="s">
        <v>41</v>
      </c>
      <c r="C30" s="6" t="s">
        <v>42</v>
      </c>
      <c r="D30" s="6" t="s">
        <v>103</v>
      </c>
      <c r="E30" s="6" t="s">
        <v>85</v>
      </c>
      <c r="F30" s="6" t="s">
        <v>86</v>
      </c>
      <c r="G30" s="6" t="n">
        <v>110</v>
      </c>
      <c r="H30" s="6"/>
      <c r="I30" s="6"/>
      <c r="J30" s="6" t="n">
        <v>16</v>
      </c>
      <c r="K30" s="6" t="s">
        <v>46</v>
      </c>
      <c r="L30" s="6" t="n">
        <v>159</v>
      </c>
      <c r="M30" s="6" t="n">
        <v>182</v>
      </c>
      <c r="N30" s="12" t="n">
        <v>90</v>
      </c>
      <c r="O30" s="12" t="n">
        <v>90</v>
      </c>
      <c r="P30" s="12"/>
      <c r="Q30" s="12"/>
      <c r="R30" s="14" t="n">
        <v>0.017</v>
      </c>
      <c r="S30" s="6"/>
      <c r="T30" s="6"/>
      <c r="U30" s="14"/>
      <c r="V30" s="14"/>
      <c r="W30" s="14"/>
      <c r="X30" s="10" t="s">
        <v>87</v>
      </c>
      <c r="Y30" s="16"/>
      <c r="Z30" s="17" t="s">
        <v>48</v>
      </c>
      <c r="AA30" s="6"/>
      <c r="AB30" s="18" t="n">
        <f aca="false">IF(O30="","",$D$3*PI()*(O30/1000)^2/4*3600)</f>
        <v>34.3533156670044</v>
      </c>
      <c r="AC30" s="19" t="str">
        <f aca="false">IF(OR(U30="",NOT(ISNUMBER(U30))),"",U30*$D$3^2/(2*$H$3))</f>
        <v/>
      </c>
      <c r="AD30" s="20" t="str">
        <f aca="false">IF(OR(U30="",NOT(ISNUMBER(U30))),"",U30*$D$3^2/2*$F$3)</f>
        <v/>
      </c>
      <c r="AE30" s="19" t="str">
        <f aca="false">IF(OR(V30="",NOT(ISNUMBER(V30))),"",V30*$D$3^2/(2*$H$3))</f>
        <v/>
      </c>
      <c r="AF30" s="20" t="str">
        <f aca="false">IF(OR(V30="",NOT(ISNUMBER(V30))),"",V30*$D$3^2/2*$F$3)</f>
        <v/>
      </c>
      <c r="AG30" s="19" t="str">
        <f aca="false">IF(OR(W30="",NOT(ISNUMBER(W30))),"",W30*$D$3^2/(2*$H$3))</f>
        <v/>
      </c>
      <c r="AH30" s="20" t="str">
        <f aca="false">IF(OR(W30="",NOT(ISNUMBER(W30))),"",W30*$D$3^2/2*$F$3)</f>
        <v/>
      </c>
    </row>
    <row r="31" customFormat="false" ht="15" hidden="false" customHeight="false" outlineLevel="0" collapsed="false">
      <c r="A31" s="10" t="s">
        <v>104</v>
      </c>
      <c r="B31" s="11" t="s">
        <v>41</v>
      </c>
      <c r="C31" s="6" t="s">
        <v>42</v>
      </c>
      <c r="D31" s="6" t="s">
        <v>105</v>
      </c>
      <c r="E31" s="6" t="s">
        <v>106</v>
      </c>
      <c r="F31" s="6" t="s">
        <v>107</v>
      </c>
      <c r="G31" s="6" t="n">
        <v>20</v>
      </c>
      <c r="H31" s="6"/>
      <c r="I31" s="6" t="s">
        <v>108</v>
      </c>
      <c r="J31" s="6" t="n">
        <v>16</v>
      </c>
      <c r="K31" s="6" t="s">
        <v>46</v>
      </c>
      <c r="L31" s="6" t="n">
        <v>59</v>
      </c>
      <c r="M31" s="6" t="n">
        <v>44</v>
      </c>
      <c r="N31" s="12" t="n">
        <v>16</v>
      </c>
      <c r="O31" s="12" t="n">
        <v>16</v>
      </c>
      <c r="P31" s="13" t="n">
        <v>13</v>
      </c>
      <c r="Q31" s="12"/>
      <c r="R31" s="14" t="n">
        <v>0.027</v>
      </c>
      <c r="S31" s="6" t="n">
        <v>0</v>
      </c>
      <c r="T31" s="6"/>
      <c r="U31" s="15" t="n">
        <f aca="false">(S31*R31+0.5*(1-(P31/N31)^2)+(1-(P31/O31)^2)^2)*(O31/P31)^4</f>
        <v>0.654914043625924</v>
      </c>
      <c r="V31" s="14"/>
      <c r="W31" s="14"/>
      <c r="X31" s="10" t="s">
        <v>47</v>
      </c>
      <c r="Y31" s="16"/>
      <c r="Z31" s="17" t="s">
        <v>48</v>
      </c>
      <c r="AA31" s="6"/>
      <c r="AB31" s="18" t="n">
        <f aca="false">IF(O31="","",$D$3*PI()*(O31/1000)^2/4*3600)</f>
        <v>1.08573442108063</v>
      </c>
      <c r="AC31" s="19" t="n">
        <f aca="false">IF(OR(U31="",NOT(ISNUMBER(U31))),"",U31*$D$3^2/(2*$H$3))</f>
        <v>0.0751048215167344</v>
      </c>
      <c r="AD31" s="20" t="n">
        <f aca="false">IF(OR(U31="",NOT(ISNUMBER(U31))),"",U31*$D$3^2/2*$F$3)</f>
        <v>736.778299079164</v>
      </c>
      <c r="AE31" s="19" t="str">
        <f aca="false">IF(OR(V31="",NOT(ISNUMBER(V31))),"",V31*$D$3^2/(2*$H$3))</f>
        <v/>
      </c>
      <c r="AF31" s="20" t="str">
        <f aca="false">IF(OR(V31="",NOT(ISNUMBER(V31))),"",V31*$D$3^2/2*$F$3)</f>
        <v/>
      </c>
      <c r="AG31" s="19" t="str">
        <f aca="false">IF(OR(W31="",NOT(ISNUMBER(W31))),"",W31*$D$3^2/(2*$H$3))</f>
        <v/>
      </c>
      <c r="AH31" s="20" t="str">
        <f aca="false">IF(OR(W31="",NOT(ISNUMBER(W31))),"",W31*$D$3^2/2*$F$3)</f>
        <v/>
      </c>
    </row>
    <row r="32" customFormat="false" ht="15" hidden="false" customHeight="false" outlineLevel="0" collapsed="false">
      <c r="A32" s="10" t="s">
        <v>109</v>
      </c>
      <c r="B32" s="11" t="s">
        <v>41</v>
      </c>
      <c r="C32" s="6" t="s">
        <v>42</v>
      </c>
      <c r="D32" s="6" t="s">
        <v>110</v>
      </c>
      <c r="E32" s="6" t="s">
        <v>106</v>
      </c>
      <c r="F32" s="6" t="s">
        <v>107</v>
      </c>
      <c r="G32" s="6" t="n">
        <v>20</v>
      </c>
      <c r="H32" s="6"/>
      <c r="I32" s="6" t="s">
        <v>111</v>
      </c>
      <c r="J32" s="6" t="n">
        <v>16</v>
      </c>
      <c r="K32" s="6" t="s">
        <v>46</v>
      </c>
      <c r="L32" s="6" t="n">
        <v>59</v>
      </c>
      <c r="M32" s="6" t="n">
        <v>44</v>
      </c>
      <c r="N32" s="12" t="n">
        <v>16</v>
      </c>
      <c r="O32" s="12" t="n">
        <v>16</v>
      </c>
      <c r="P32" s="13" t="n">
        <v>13</v>
      </c>
      <c r="Q32" s="12"/>
      <c r="R32" s="14" t="n">
        <v>0.027</v>
      </c>
      <c r="S32" s="6" t="n">
        <v>0</v>
      </c>
      <c r="T32" s="6"/>
      <c r="U32" s="15" t="n">
        <f aca="false">(S32*R32+0.5*(1-(P32/N32)^2)+(1-(P32/O32)^2)^2)*(O32/P32)^4</f>
        <v>0.654914043625924</v>
      </c>
      <c r="V32" s="14"/>
      <c r="W32" s="14"/>
      <c r="X32" s="10" t="s">
        <v>47</v>
      </c>
      <c r="Y32" s="16"/>
      <c r="Z32" s="17" t="s">
        <v>48</v>
      </c>
      <c r="AA32" s="6"/>
      <c r="AB32" s="18" t="n">
        <f aca="false">IF(O32="","",$D$3*PI()*(O32/1000)^2/4*3600)</f>
        <v>1.08573442108063</v>
      </c>
      <c r="AC32" s="19" t="n">
        <f aca="false">IF(OR(U32="",NOT(ISNUMBER(U32))),"",U32*$D$3^2/(2*$H$3))</f>
        <v>0.0751048215167344</v>
      </c>
      <c r="AD32" s="20" t="n">
        <f aca="false">IF(OR(U32="",NOT(ISNUMBER(U32))),"",U32*$D$3^2/2*$F$3)</f>
        <v>736.778299079164</v>
      </c>
      <c r="AE32" s="19" t="str">
        <f aca="false">IF(OR(V32="",NOT(ISNUMBER(V32))),"",V32*$D$3^2/(2*$H$3))</f>
        <v/>
      </c>
      <c r="AF32" s="20" t="str">
        <f aca="false">IF(OR(V32="",NOT(ISNUMBER(V32))),"",V32*$D$3^2/2*$F$3)</f>
        <v/>
      </c>
      <c r="AG32" s="19" t="str">
        <f aca="false">IF(OR(W32="",NOT(ISNUMBER(W32))),"",W32*$D$3^2/(2*$H$3))</f>
        <v/>
      </c>
      <c r="AH32" s="20" t="str">
        <f aca="false">IF(OR(W32="",NOT(ISNUMBER(W32))),"",W32*$D$3^2/2*$F$3)</f>
        <v/>
      </c>
    </row>
    <row r="33" customFormat="false" ht="15" hidden="false" customHeight="false" outlineLevel="0" collapsed="false">
      <c r="A33" s="10" t="s">
        <v>112</v>
      </c>
      <c r="B33" s="11" t="s">
        <v>41</v>
      </c>
      <c r="C33" s="6" t="s">
        <v>42</v>
      </c>
      <c r="D33" s="6" t="s">
        <v>113</v>
      </c>
      <c r="E33" s="6" t="s">
        <v>106</v>
      </c>
      <c r="F33" s="6" t="s">
        <v>107</v>
      </c>
      <c r="G33" s="6" t="n">
        <v>25</v>
      </c>
      <c r="H33" s="6"/>
      <c r="I33" s="6" t="s">
        <v>108</v>
      </c>
      <c r="J33" s="6" t="n">
        <v>16</v>
      </c>
      <c r="K33" s="6" t="s">
        <v>46</v>
      </c>
      <c r="L33" s="6" t="n">
        <v>60</v>
      </c>
      <c r="M33" s="6" t="n">
        <v>52</v>
      </c>
      <c r="N33" s="12" t="n">
        <v>20.4</v>
      </c>
      <c r="O33" s="12" t="n">
        <v>20.4</v>
      </c>
      <c r="P33" s="13" t="n">
        <v>17</v>
      </c>
      <c r="Q33" s="12"/>
      <c r="R33" s="14" t="n">
        <v>0.025</v>
      </c>
      <c r="S33" s="6" t="n">
        <v>0</v>
      </c>
      <c r="T33" s="6"/>
      <c r="U33" s="15" t="n">
        <f aca="false">(S33*R33+0.5*(1-(P33/N33)^2)+(1-(P33/O33)^2)^2)*(O33/P33)^4</f>
        <v>0.5104</v>
      </c>
      <c r="V33" s="14"/>
      <c r="W33" s="14"/>
      <c r="X33" s="10" t="s">
        <v>47</v>
      </c>
      <c r="Y33" s="16"/>
      <c r="Z33" s="17" t="s">
        <v>48</v>
      </c>
      <c r="AA33" s="6"/>
      <c r="AB33" s="18" t="n">
        <f aca="false">IF(O33="","",$D$3*PI()*(O33/1000)^2/4*3600)</f>
        <v>1.7649970182692</v>
      </c>
      <c r="AC33" s="19" t="n">
        <f aca="false">IF(OR(U33="",NOT(ISNUMBER(U33))),"",U33*$D$3^2/(2*$H$3))</f>
        <v>0.0585321100917431</v>
      </c>
      <c r="AD33" s="20" t="n">
        <f aca="false">IF(OR(U33="",NOT(ISNUMBER(U33))),"",U33*$D$3^2/2*$F$3)</f>
        <v>574.2</v>
      </c>
      <c r="AE33" s="19" t="str">
        <f aca="false">IF(OR(V33="",NOT(ISNUMBER(V33))),"",V33*$D$3^2/(2*$H$3))</f>
        <v/>
      </c>
      <c r="AF33" s="20" t="str">
        <f aca="false">IF(OR(V33="",NOT(ISNUMBER(V33))),"",V33*$D$3^2/2*$F$3)</f>
        <v/>
      </c>
      <c r="AG33" s="19" t="str">
        <f aca="false">IF(OR(W33="",NOT(ISNUMBER(W33))),"",W33*$D$3^2/(2*$H$3))</f>
        <v/>
      </c>
      <c r="AH33" s="20" t="str">
        <f aca="false">IF(OR(W33="",NOT(ISNUMBER(W33))),"",W33*$D$3^2/2*$F$3)</f>
        <v/>
      </c>
    </row>
    <row r="34" customFormat="false" ht="15" hidden="false" customHeight="false" outlineLevel="0" collapsed="false">
      <c r="A34" s="10" t="s">
        <v>114</v>
      </c>
      <c r="B34" s="11" t="s">
        <v>41</v>
      </c>
      <c r="C34" s="6" t="s">
        <v>42</v>
      </c>
      <c r="D34" s="6" t="s">
        <v>115</v>
      </c>
      <c r="E34" s="6" t="s">
        <v>106</v>
      </c>
      <c r="F34" s="6" t="s">
        <v>107</v>
      </c>
      <c r="G34" s="6" t="n">
        <v>25</v>
      </c>
      <c r="H34" s="6"/>
      <c r="I34" s="6" t="s">
        <v>111</v>
      </c>
      <c r="J34" s="6" t="n">
        <v>16</v>
      </c>
      <c r="K34" s="6" t="s">
        <v>46</v>
      </c>
      <c r="L34" s="6" t="n">
        <v>66</v>
      </c>
      <c r="M34" s="6" t="n">
        <v>52</v>
      </c>
      <c r="N34" s="12" t="n">
        <v>20.4</v>
      </c>
      <c r="O34" s="12" t="n">
        <v>20.4</v>
      </c>
      <c r="P34" s="13" t="n">
        <v>17</v>
      </c>
      <c r="Q34" s="12"/>
      <c r="R34" s="14" t="n">
        <v>0.025</v>
      </c>
      <c r="S34" s="6" t="n">
        <v>0</v>
      </c>
      <c r="T34" s="6"/>
      <c r="U34" s="15" t="n">
        <f aca="false">(S34*R34+0.5*(1-(P34/N34)^2)+(1-(P34/O34)^2)^2)*(O34/P34)^4</f>
        <v>0.5104</v>
      </c>
      <c r="V34" s="14"/>
      <c r="W34" s="14"/>
      <c r="X34" s="10" t="s">
        <v>47</v>
      </c>
      <c r="Y34" s="16"/>
      <c r="Z34" s="17" t="s">
        <v>48</v>
      </c>
      <c r="AA34" s="6"/>
      <c r="AB34" s="18" t="n">
        <f aca="false">IF(O34="","",$D$3*PI()*(O34/1000)^2/4*3600)</f>
        <v>1.7649970182692</v>
      </c>
      <c r="AC34" s="19" t="n">
        <f aca="false">IF(OR(U34="",NOT(ISNUMBER(U34))),"",U34*$D$3^2/(2*$H$3))</f>
        <v>0.0585321100917431</v>
      </c>
      <c r="AD34" s="20" t="n">
        <f aca="false">IF(OR(U34="",NOT(ISNUMBER(U34))),"",U34*$D$3^2/2*$F$3)</f>
        <v>574.2</v>
      </c>
      <c r="AE34" s="19" t="str">
        <f aca="false">IF(OR(V34="",NOT(ISNUMBER(V34))),"",V34*$D$3^2/(2*$H$3))</f>
        <v/>
      </c>
      <c r="AF34" s="20" t="str">
        <f aca="false">IF(OR(V34="",NOT(ISNUMBER(V34))),"",V34*$D$3^2/2*$F$3)</f>
        <v/>
      </c>
      <c r="AG34" s="19" t="str">
        <f aca="false">IF(OR(W34="",NOT(ISNUMBER(W34))),"",W34*$D$3^2/(2*$H$3))</f>
        <v/>
      </c>
      <c r="AH34" s="20" t="str">
        <f aca="false">IF(OR(W34="",NOT(ISNUMBER(W34))),"",W34*$D$3^2/2*$F$3)</f>
        <v/>
      </c>
    </row>
    <row r="35" customFormat="false" ht="15" hidden="false" customHeight="false" outlineLevel="0" collapsed="false">
      <c r="A35" s="10" t="s">
        <v>116</v>
      </c>
      <c r="B35" s="11" t="s">
        <v>41</v>
      </c>
      <c r="C35" s="6" t="s">
        <v>42</v>
      </c>
      <c r="D35" s="6" t="s">
        <v>117</v>
      </c>
      <c r="E35" s="6" t="s">
        <v>106</v>
      </c>
      <c r="F35" s="6" t="s">
        <v>107</v>
      </c>
      <c r="G35" s="6" t="n">
        <v>25</v>
      </c>
      <c r="H35" s="6"/>
      <c r="I35" s="6" t="s">
        <v>118</v>
      </c>
      <c r="J35" s="6" t="n">
        <v>16</v>
      </c>
      <c r="K35" s="6" t="s">
        <v>46</v>
      </c>
      <c r="L35" s="6" t="n">
        <v>69</v>
      </c>
      <c r="M35" s="6" t="n">
        <v>52</v>
      </c>
      <c r="N35" s="12" t="n">
        <v>20.4</v>
      </c>
      <c r="O35" s="12" t="n">
        <v>20.4</v>
      </c>
      <c r="P35" s="13" t="n">
        <v>17</v>
      </c>
      <c r="Q35" s="12"/>
      <c r="R35" s="14" t="n">
        <v>0.025</v>
      </c>
      <c r="S35" s="6" t="n">
        <v>0</v>
      </c>
      <c r="T35" s="6"/>
      <c r="U35" s="15" t="n">
        <f aca="false">(S35*R35+0.5*(1-(P35/N35)^2)+(1-(P35/O35)^2)^2)*(O35/P35)^4</f>
        <v>0.5104</v>
      </c>
      <c r="V35" s="14"/>
      <c r="W35" s="14"/>
      <c r="X35" s="10" t="s">
        <v>47</v>
      </c>
      <c r="Y35" s="16"/>
      <c r="Z35" s="17" t="s">
        <v>48</v>
      </c>
      <c r="AA35" s="6"/>
      <c r="AB35" s="18" t="n">
        <f aca="false">IF(O35="","",$D$3*PI()*(O35/1000)^2/4*3600)</f>
        <v>1.7649970182692</v>
      </c>
      <c r="AC35" s="19" t="n">
        <f aca="false">IF(OR(U35="",NOT(ISNUMBER(U35))),"",U35*$D$3^2/(2*$H$3))</f>
        <v>0.0585321100917431</v>
      </c>
      <c r="AD35" s="20" t="n">
        <f aca="false">IF(OR(U35="",NOT(ISNUMBER(U35))),"",U35*$D$3^2/2*$F$3)</f>
        <v>574.2</v>
      </c>
      <c r="AE35" s="19" t="str">
        <f aca="false">IF(OR(V35="",NOT(ISNUMBER(V35))),"",V35*$D$3^2/(2*$H$3))</f>
        <v/>
      </c>
      <c r="AF35" s="20" t="str">
        <f aca="false">IF(OR(V35="",NOT(ISNUMBER(V35))),"",V35*$D$3^2/2*$F$3)</f>
        <v/>
      </c>
      <c r="AG35" s="19" t="str">
        <f aca="false">IF(OR(W35="",NOT(ISNUMBER(W35))),"",W35*$D$3^2/(2*$H$3))</f>
        <v/>
      </c>
      <c r="AH35" s="20" t="str">
        <f aca="false">IF(OR(W35="",NOT(ISNUMBER(W35))),"",W35*$D$3^2/2*$F$3)</f>
        <v/>
      </c>
    </row>
    <row r="36" customFormat="false" ht="15" hidden="false" customHeight="false" outlineLevel="0" collapsed="false">
      <c r="A36" s="10" t="s">
        <v>119</v>
      </c>
      <c r="B36" s="11" t="s">
        <v>41</v>
      </c>
      <c r="C36" s="6" t="s">
        <v>42</v>
      </c>
      <c r="D36" s="6" t="s">
        <v>120</v>
      </c>
      <c r="E36" s="6" t="s">
        <v>106</v>
      </c>
      <c r="F36" s="6" t="s">
        <v>107</v>
      </c>
      <c r="G36" s="6" t="n">
        <v>32</v>
      </c>
      <c r="H36" s="6"/>
      <c r="I36" s="6" t="s">
        <v>111</v>
      </c>
      <c r="J36" s="6" t="n">
        <v>16</v>
      </c>
      <c r="K36" s="6" t="s">
        <v>46</v>
      </c>
      <c r="L36" s="6" t="n">
        <v>76</v>
      </c>
      <c r="M36" s="6" t="n">
        <v>62</v>
      </c>
      <c r="N36" s="12" t="n">
        <v>26.2</v>
      </c>
      <c r="O36" s="12" t="n">
        <v>26.2</v>
      </c>
      <c r="P36" s="13" t="n">
        <v>22</v>
      </c>
      <c r="Q36" s="12"/>
      <c r="R36" s="14" t="n">
        <v>0.023</v>
      </c>
      <c r="S36" s="6" t="n">
        <v>0</v>
      </c>
      <c r="T36" s="6"/>
      <c r="U36" s="15" t="n">
        <f aca="false">(S36*R36+0.5*(1-(P36/N36)^2)+(1-(P36/O36)^2)^2)*(O36/P36)^4</f>
        <v>0.471549972679462</v>
      </c>
      <c r="V36" s="14"/>
      <c r="W36" s="14"/>
      <c r="X36" s="10" t="s">
        <v>47</v>
      </c>
      <c r="Y36" s="16"/>
      <c r="Z36" s="17" t="s">
        <v>48</v>
      </c>
      <c r="AA36" s="6"/>
      <c r="AB36" s="18" t="n">
        <f aca="false">IF(O36="","",$D$3*PI()*(O36/1000)^2/4*3600)</f>
        <v>2.91129506252574</v>
      </c>
      <c r="AC36" s="19" t="n">
        <f aca="false">IF(OR(U36="",NOT(ISNUMBER(U36))),"",U36*$D$3^2/(2*$H$3))</f>
        <v>0.054076831729296</v>
      </c>
      <c r="AD36" s="20" t="n">
        <f aca="false">IF(OR(U36="",NOT(ISNUMBER(U36))),"",U36*$D$3^2/2*$F$3)</f>
        <v>530.493719264394</v>
      </c>
      <c r="AE36" s="19" t="str">
        <f aca="false">IF(OR(V36="",NOT(ISNUMBER(V36))),"",V36*$D$3^2/(2*$H$3))</f>
        <v/>
      </c>
      <c r="AF36" s="20" t="str">
        <f aca="false">IF(OR(V36="",NOT(ISNUMBER(V36))),"",V36*$D$3^2/2*$F$3)</f>
        <v/>
      </c>
      <c r="AG36" s="19" t="str">
        <f aca="false">IF(OR(W36="",NOT(ISNUMBER(W36))),"",W36*$D$3^2/(2*$H$3))</f>
        <v/>
      </c>
      <c r="AH36" s="20" t="str">
        <f aca="false">IF(OR(W36="",NOT(ISNUMBER(W36))),"",W36*$D$3^2/2*$F$3)</f>
        <v/>
      </c>
    </row>
    <row r="37" customFormat="false" ht="15" hidden="false" customHeight="false" outlineLevel="0" collapsed="false">
      <c r="A37" s="10" t="s">
        <v>121</v>
      </c>
      <c r="B37" s="11" t="s">
        <v>41</v>
      </c>
      <c r="C37" s="6" t="s">
        <v>42</v>
      </c>
      <c r="D37" s="6" t="s">
        <v>122</v>
      </c>
      <c r="E37" s="6" t="s">
        <v>106</v>
      </c>
      <c r="F37" s="6" t="s">
        <v>107</v>
      </c>
      <c r="G37" s="6" t="n">
        <v>32</v>
      </c>
      <c r="H37" s="6"/>
      <c r="I37" s="6" t="s">
        <v>118</v>
      </c>
      <c r="J37" s="6" t="n">
        <v>16</v>
      </c>
      <c r="K37" s="6" t="s">
        <v>46</v>
      </c>
      <c r="L37" s="6" t="n">
        <v>78</v>
      </c>
      <c r="M37" s="6" t="n">
        <v>62</v>
      </c>
      <c r="N37" s="12" t="n">
        <v>26.2</v>
      </c>
      <c r="O37" s="12" t="n">
        <v>26.2</v>
      </c>
      <c r="P37" s="13" t="n">
        <v>22</v>
      </c>
      <c r="Q37" s="12"/>
      <c r="R37" s="14" t="n">
        <v>0.023</v>
      </c>
      <c r="S37" s="6" t="n">
        <v>0</v>
      </c>
      <c r="T37" s="6"/>
      <c r="U37" s="15" t="n">
        <f aca="false">(S37*R37+0.5*(1-(P37/N37)^2)+(1-(P37/O37)^2)^2)*(O37/P37)^4</f>
        <v>0.471549972679462</v>
      </c>
      <c r="V37" s="14"/>
      <c r="W37" s="14"/>
      <c r="X37" s="10" t="s">
        <v>47</v>
      </c>
      <c r="Y37" s="16"/>
      <c r="Z37" s="17" t="s">
        <v>48</v>
      </c>
      <c r="AA37" s="6"/>
      <c r="AB37" s="18" t="n">
        <f aca="false">IF(O37="","",$D$3*PI()*(O37/1000)^2/4*3600)</f>
        <v>2.91129506252574</v>
      </c>
      <c r="AC37" s="19" t="n">
        <f aca="false">IF(OR(U37="",NOT(ISNUMBER(U37))),"",U37*$D$3^2/(2*$H$3))</f>
        <v>0.054076831729296</v>
      </c>
      <c r="AD37" s="20" t="n">
        <f aca="false">IF(OR(U37="",NOT(ISNUMBER(U37))),"",U37*$D$3^2/2*$F$3)</f>
        <v>530.493719264394</v>
      </c>
      <c r="AE37" s="19" t="str">
        <f aca="false">IF(OR(V37="",NOT(ISNUMBER(V37))),"",V37*$D$3^2/(2*$H$3))</f>
        <v/>
      </c>
      <c r="AF37" s="20" t="str">
        <f aca="false">IF(OR(V37="",NOT(ISNUMBER(V37))),"",V37*$D$3^2/2*$F$3)</f>
        <v/>
      </c>
      <c r="AG37" s="19" t="str">
        <f aca="false">IF(OR(W37="",NOT(ISNUMBER(W37))),"",W37*$D$3^2/(2*$H$3))</f>
        <v/>
      </c>
      <c r="AH37" s="20" t="str">
        <f aca="false">IF(OR(W37="",NOT(ISNUMBER(W37))),"",W37*$D$3^2/2*$F$3)</f>
        <v/>
      </c>
    </row>
    <row r="38" customFormat="false" ht="15" hidden="false" customHeight="false" outlineLevel="0" collapsed="false">
      <c r="A38" s="10" t="s">
        <v>123</v>
      </c>
      <c r="B38" s="11" t="s">
        <v>41</v>
      </c>
      <c r="C38" s="6" t="s">
        <v>42</v>
      </c>
      <c r="D38" s="6" t="s">
        <v>124</v>
      </c>
      <c r="E38" s="6" t="s">
        <v>106</v>
      </c>
      <c r="F38" s="6" t="s">
        <v>107</v>
      </c>
      <c r="G38" s="6" t="n">
        <v>40</v>
      </c>
      <c r="H38" s="6"/>
      <c r="I38" s="6" t="s">
        <v>118</v>
      </c>
      <c r="J38" s="6" t="n">
        <v>16</v>
      </c>
      <c r="K38" s="6" t="s">
        <v>46</v>
      </c>
      <c r="L38" s="6" t="n">
        <v>88</v>
      </c>
      <c r="M38" s="6" t="n">
        <v>72</v>
      </c>
      <c r="N38" s="12" t="n">
        <v>32.6</v>
      </c>
      <c r="O38" s="12" t="n">
        <v>32.6</v>
      </c>
      <c r="P38" s="13" t="n">
        <v>28</v>
      </c>
      <c r="Q38" s="12"/>
      <c r="R38" s="14" t="n">
        <v>0.022</v>
      </c>
      <c r="S38" s="6" t="n">
        <v>0</v>
      </c>
      <c r="T38" s="6"/>
      <c r="U38" s="15" t="n">
        <f aca="false">(S38*R38+0.5*(1-(P38/N38)^2)+(1-(P38/O38)^2)^2)*(O38/P38)^4</f>
        <v>0.367416288785923</v>
      </c>
      <c r="V38" s="14"/>
      <c r="W38" s="14"/>
      <c r="X38" s="10" t="s">
        <v>47</v>
      </c>
      <c r="Y38" s="16"/>
      <c r="Z38" s="17" t="s">
        <v>48</v>
      </c>
      <c r="AA38" s="6"/>
      <c r="AB38" s="18" t="n">
        <f aca="false">IF(O38="","",$D$3*PI()*(O38/1000)^2/4*3600)</f>
        <v>4.50732466151427</v>
      </c>
      <c r="AC38" s="19" t="n">
        <f aca="false">IF(OR(U38="",NOT(ISNUMBER(U38))),"",U38*$D$3^2/(2*$H$3))</f>
        <v>0.0421348955029728</v>
      </c>
      <c r="AD38" s="20" t="n">
        <f aca="false">IF(OR(U38="",NOT(ISNUMBER(U38))),"",U38*$D$3^2/2*$F$3)</f>
        <v>413.343324884163</v>
      </c>
      <c r="AE38" s="19" t="str">
        <f aca="false">IF(OR(V38="",NOT(ISNUMBER(V38))),"",V38*$D$3^2/(2*$H$3))</f>
        <v/>
      </c>
      <c r="AF38" s="20" t="str">
        <f aca="false">IF(OR(V38="",NOT(ISNUMBER(V38))),"",V38*$D$3^2/2*$F$3)</f>
        <v/>
      </c>
      <c r="AG38" s="19" t="str">
        <f aca="false">IF(OR(W38="",NOT(ISNUMBER(W38))),"",W38*$D$3^2/(2*$H$3))</f>
        <v/>
      </c>
      <c r="AH38" s="20" t="str">
        <f aca="false">IF(OR(W38="",NOT(ISNUMBER(W38))),"",W38*$D$3^2/2*$F$3)</f>
        <v/>
      </c>
    </row>
    <row r="39" customFormat="false" ht="15" hidden="false" customHeight="false" outlineLevel="0" collapsed="false">
      <c r="A39" s="10" t="s">
        <v>125</v>
      </c>
      <c r="B39" s="11" t="s">
        <v>41</v>
      </c>
      <c r="C39" s="6" t="s">
        <v>42</v>
      </c>
      <c r="D39" s="6" t="s">
        <v>126</v>
      </c>
      <c r="E39" s="6" t="s">
        <v>106</v>
      </c>
      <c r="F39" s="6" t="s">
        <v>107</v>
      </c>
      <c r="G39" s="6" t="n">
        <v>40</v>
      </c>
      <c r="H39" s="6"/>
      <c r="I39" s="6" t="s">
        <v>127</v>
      </c>
      <c r="J39" s="6" t="n">
        <v>16</v>
      </c>
      <c r="K39" s="6" t="s">
        <v>46</v>
      </c>
      <c r="L39" s="6" t="n">
        <v>88</v>
      </c>
      <c r="M39" s="6" t="n">
        <v>72</v>
      </c>
      <c r="N39" s="12" t="n">
        <v>32.6</v>
      </c>
      <c r="O39" s="12" t="n">
        <v>32.6</v>
      </c>
      <c r="P39" s="13" t="n">
        <v>28</v>
      </c>
      <c r="Q39" s="12"/>
      <c r="R39" s="14" t="n">
        <v>0.022</v>
      </c>
      <c r="S39" s="6" t="n">
        <v>0</v>
      </c>
      <c r="T39" s="6"/>
      <c r="U39" s="15" t="n">
        <f aca="false">(S39*R39+0.5*(1-(P39/N39)^2)+(1-(P39/O39)^2)^2)*(O39/P39)^4</f>
        <v>0.367416288785923</v>
      </c>
      <c r="V39" s="14"/>
      <c r="W39" s="14"/>
      <c r="X39" s="10" t="s">
        <v>47</v>
      </c>
      <c r="Y39" s="16"/>
      <c r="Z39" s="17" t="s">
        <v>48</v>
      </c>
      <c r="AA39" s="6"/>
      <c r="AB39" s="18" t="n">
        <f aca="false">IF(O39="","",$D$3*PI()*(O39/1000)^2/4*3600)</f>
        <v>4.50732466151427</v>
      </c>
      <c r="AC39" s="19" t="n">
        <f aca="false">IF(OR(U39="",NOT(ISNUMBER(U39))),"",U39*$D$3^2/(2*$H$3))</f>
        <v>0.0421348955029728</v>
      </c>
      <c r="AD39" s="20" t="n">
        <f aca="false">IF(OR(U39="",NOT(ISNUMBER(U39))),"",U39*$D$3^2/2*$F$3)</f>
        <v>413.343324884163</v>
      </c>
      <c r="AE39" s="19" t="str">
        <f aca="false">IF(OR(V39="",NOT(ISNUMBER(V39))),"",V39*$D$3^2/(2*$H$3))</f>
        <v/>
      </c>
      <c r="AF39" s="20" t="str">
        <f aca="false">IF(OR(V39="",NOT(ISNUMBER(V39))),"",V39*$D$3^2/2*$F$3)</f>
        <v/>
      </c>
      <c r="AG39" s="19" t="str">
        <f aca="false">IF(OR(W39="",NOT(ISNUMBER(W39))),"",W39*$D$3^2/(2*$H$3))</f>
        <v/>
      </c>
      <c r="AH39" s="20" t="str">
        <f aca="false">IF(OR(W39="",NOT(ISNUMBER(W39))),"",W39*$D$3^2/2*$F$3)</f>
        <v/>
      </c>
    </row>
    <row r="40" customFormat="false" ht="15" hidden="false" customHeight="false" outlineLevel="0" collapsed="false">
      <c r="A40" s="10" t="s">
        <v>128</v>
      </c>
      <c r="B40" s="11" t="s">
        <v>41</v>
      </c>
      <c r="C40" s="6" t="s">
        <v>42</v>
      </c>
      <c r="D40" s="6" t="s">
        <v>129</v>
      </c>
      <c r="E40" s="6" t="s">
        <v>106</v>
      </c>
      <c r="F40" s="6" t="s">
        <v>107</v>
      </c>
      <c r="G40" s="6" t="n">
        <v>50</v>
      </c>
      <c r="H40" s="6"/>
      <c r="I40" s="6" t="s">
        <v>130</v>
      </c>
      <c r="J40" s="6" t="n">
        <v>16</v>
      </c>
      <c r="K40" s="6" t="s">
        <v>46</v>
      </c>
      <c r="L40" s="6" t="n">
        <v>109</v>
      </c>
      <c r="M40" s="6" t="n">
        <v>86</v>
      </c>
      <c r="N40" s="12" t="n">
        <v>40.8</v>
      </c>
      <c r="O40" s="12" t="n">
        <v>40.8</v>
      </c>
      <c r="P40" s="13" t="n">
        <v>35</v>
      </c>
      <c r="Q40" s="12"/>
      <c r="R40" s="14" t="n">
        <v>0.021</v>
      </c>
      <c r="S40" s="6" t="n">
        <v>0</v>
      </c>
      <c r="T40" s="6"/>
      <c r="U40" s="15" t="n">
        <f aca="false">(S40*R40+0.5*(1-(P40/N40)^2)+(1-(P40/O40)^2)^2)*(O40/P40)^4</f>
        <v>0.372647726380675</v>
      </c>
      <c r="V40" s="14"/>
      <c r="W40" s="14"/>
      <c r="X40" s="10" t="s">
        <v>47</v>
      </c>
      <c r="Y40" s="16"/>
      <c r="Z40" s="17" t="s">
        <v>48</v>
      </c>
      <c r="AA40" s="6"/>
      <c r="AB40" s="18" t="n">
        <f aca="false">IF(O40="","",$D$3*PI()*(O40/1000)^2/4*3600)</f>
        <v>7.05998807307681</v>
      </c>
      <c r="AC40" s="19" t="n">
        <f aca="false">IF(OR(U40="",NOT(ISNUMBER(U40))),"",U40*$D$3^2/(2*$H$3))</f>
        <v>0.0427348310069581</v>
      </c>
      <c r="AD40" s="20" t="n">
        <f aca="false">IF(OR(U40="",NOT(ISNUMBER(U40))),"",U40*$D$3^2/2*$F$3)</f>
        <v>419.228692178259</v>
      </c>
      <c r="AE40" s="19" t="str">
        <f aca="false">IF(OR(V40="",NOT(ISNUMBER(V40))),"",V40*$D$3^2/(2*$H$3))</f>
        <v/>
      </c>
      <c r="AF40" s="20" t="str">
        <f aca="false">IF(OR(V40="",NOT(ISNUMBER(V40))),"",V40*$D$3^2/2*$F$3)</f>
        <v/>
      </c>
      <c r="AG40" s="19" t="str">
        <f aca="false">IF(OR(W40="",NOT(ISNUMBER(W40))),"",W40*$D$3^2/(2*$H$3))</f>
        <v/>
      </c>
      <c r="AH40" s="20" t="str">
        <f aca="false">IF(OR(W40="",NOT(ISNUMBER(W40))),"",W40*$D$3^2/2*$F$3)</f>
        <v/>
      </c>
    </row>
    <row r="41" customFormat="false" ht="15" hidden="false" customHeight="false" outlineLevel="0" collapsed="false">
      <c r="A41" s="10" t="s">
        <v>131</v>
      </c>
      <c r="B41" s="11" t="s">
        <v>41</v>
      </c>
      <c r="C41" s="6" t="s">
        <v>42</v>
      </c>
      <c r="D41" s="6" t="s">
        <v>132</v>
      </c>
      <c r="E41" s="6" t="s">
        <v>106</v>
      </c>
      <c r="F41" s="6" t="s">
        <v>107</v>
      </c>
      <c r="G41" s="6" t="n">
        <v>63</v>
      </c>
      <c r="H41" s="6"/>
      <c r="I41" s="6" t="s">
        <v>133</v>
      </c>
      <c r="J41" s="6" t="n">
        <v>16</v>
      </c>
      <c r="K41" s="6" t="s">
        <v>46</v>
      </c>
      <c r="L41" s="6" t="n">
        <v>137</v>
      </c>
      <c r="M41" s="6" t="n">
        <v>104</v>
      </c>
      <c r="N41" s="12" t="n">
        <v>51.4</v>
      </c>
      <c r="O41" s="12" t="n">
        <v>51.4</v>
      </c>
      <c r="P41" s="13" t="n">
        <v>45</v>
      </c>
      <c r="Q41" s="12"/>
      <c r="R41" s="14" t="n">
        <v>0.019</v>
      </c>
      <c r="S41" s="6" t="n">
        <v>0</v>
      </c>
      <c r="T41" s="6"/>
      <c r="U41" s="15" t="n">
        <f aca="false">(S41*R41+0.5*(1-(P41/N41)^2)+(1-(P41/O41)^2)^2)*(O41/P41)^4</f>
        <v>0.291572982752629</v>
      </c>
      <c r="V41" s="14"/>
      <c r="W41" s="14"/>
      <c r="X41" s="10" t="s">
        <v>47</v>
      </c>
      <c r="Y41" s="16"/>
      <c r="Z41" s="17" t="s">
        <v>48</v>
      </c>
      <c r="AA41" s="6"/>
      <c r="AB41" s="18" t="n">
        <f aca="false">IF(O41="","",$D$3*PI()*(O41/1000)^2/4*3600)</f>
        <v>11.2049488715554</v>
      </c>
      <c r="AC41" s="19" t="n">
        <f aca="false">IF(OR(U41="",NOT(ISNUMBER(U41))),"",U41*$D$3^2/(2*$H$3))</f>
        <v>0.0334372686642924</v>
      </c>
      <c r="AD41" s="20" t="n">
        <f aca="false">IF(OR(U41="",NOT(ISNUMBER(U41))),"",U41*$D$3^2/2*$F$3)</f>
        <v>328.019605596708</v>
      </c>
      <c r="AE41" s="19" t="str">
        <f aca="false">IF(OR(V41="",NOT(ISNUMBER(V41))),"",V41*$D$3^2/(2*$H$3))</f>
        <v/>
      </c>
      <c r="AF41" s="20" t="str">
        <f aca="false">IF(OR(V41="",NOT(ISNUMBER(V41))),"",V41*$D$3^2/2*$F$3)</f>
        <v/>
      </c>
      <c r="AG41" s="19" t="str">
        <f aca="false">IF(OR(W41="",NOT(ISNUMBER(W41))),"",W41*$D$3^2/(2*$H$3))</f>
        <v/>
      </c>
      <c r="AH41" s="20" t="str">
        <f aca="false">IF(OR(W41="",NOT(ISNUMBER(W41))),"",W41*$D$3^2/2*$F$3)</f>
        <v/>
      </c>
    </row>
    <row r="42" customFormat="false" ht="15" hidden="false" customHeight="false" outlineLevel="0" collapsed="false">
      <c r="A42" s="10" t="s">
        <v>134</v>
      </c>
      <c r="B42" s="11" t="s">
        <v>41</v>
      </c>
      <c r="C42" s="6" t="s">
        <v>42</v>
      </c>
      <c r="D42" s="6" t="s">
        <v>135</v>
      </c>
      <c r="E42" s="6" t="s">
        <v>106</v>
      </c>
      <c r="F42" s="6" t="s">
        <v>107</v>
      </c>
      <c r="G42" s="6" t="n">
        <v>75</v>
      </c>
      <c r="H42" s="6"/>
      <c r="I42" s="6" t="s">
        <v>136</v>
      </c>
      <c r="J42" s="6" t="n">
        <v>16</v>
      </c>
      <c r="K42" s="6" t="s">
        <v>46</v>
      </c>
      <c r="L42" s="6" t="n">
        <v>160</v>
      </c>
      <c r="M42" s="6" t="n">
        <v>131</v>
      </c>
      <c r="N42" s="12" t="n">
        <v>61.4</v>
      </c>
      <c r="O42" s="12" t="n">
        <v>61.4</v>
      </c>
      <c r="P42" s="13" t="n">
        <v>54</v>
      </c>
      <c r="Q42" s="12"/>
      <c r="R42" s="14" t="n">
        <v>0.018</v>
      </c>
      <c r="S42" s="6" t="n">
        <v>0</v>
      </c>
      <c r="T42" s="6"/>
      <c r="U42" s="15" t="n">
        <f aca="false">(S42*R42+0.5*(1-(P42/N42)^2)+(1-(P42/O42)^2)^2)*(O42/P42)^4</f>
        <v>0.275071127651047</v>
      </c>
      <c r="V42" s="14"/>
      <c r="W42" s="14"/>
      <c r="X42" s="10" t="s">
        <v>47</v>
      </c>
      <c r="Y42" s="16"/>
      <c r="Z42" s="17" t="s">
        <v>48</v>
      </c>
      <c r="AA42" s="6"/>
      <c r="AB42" s="18" t="n">
        <f aca="false">IF(O42="","",$D$3*PI()*(O42/1000)^2/4*3600)</f>
        <v>15.988966164442</v>
      </c>
      <c r="AC42" s="19" t="n">
        <f aca="false">IF(OR(U42="",NOT(ISNUMBER(U42))),"",U42*$D$3^2/(2*$H$3))</f>
        <v>0.0315448540884228</v>
      </c>
      <c r="AD42" s="20" t="n">
        <f aca="false">IF(OR(U42="",NOT(ISNUMBER(U42))),"",U42*$D$3^2/2*$F$3)</f>
        <v>309.455018607428</v>
      </c>
      <c r="AE42" s="19" t="str">
        <f aca="false">IF(OR(V42="",NOT(ISNUMBER(V42))),"",V42*$D$3^2/(2*$H$3))</f>
        <v/>
      </c>
      <c r="AF42" s="20" t="str">
        <f aca="false">IF(OR(V42="",NOT(ISNUMBER(V42))),"",V42*$D$3^2/2*$F$3)</f>
        <v/>
      </c>
      <c r="AG42" s="19" t="str">
        <f aca="false">IF(OR(W42="",NOT(ISNUMBER(W42))),"",W42*$D$3^2/(2*$H$3))</f>
        <v/>
      </c>
      <c r="AH42" s="20" t="str">
        <f aca="false">IF(OR(W42="",NOT(ISNUMBER(W42))),"",W42*$D$3^2/2*$F$3)</f>
        <v/>
      </c>
    </row>
    <row r="43" customFormat="false" ht="15" hidden="false" customHeight="false" outlineLevel="0" collapsed="false">
      <c r="A43" s="10" t="s">
        <v>137</v>
      </c>
      <c r="B43" s="11" t="s">
        <v>41</v>
      </c>
      <c r="C43" s="6" t="s">
        <v>42</v>
      </c>
      <c r="D43" s="6" t="s">
        <v>138</v>
      </c>
      <c r="E43" s="6" t="s">
        <v>106</v>
      </c>
      <c r="F43" s="6" t="s">
        <v>107</v>
      </c>
      <c r="G43" s="6" t="n">
        <v>90</v>
      </c>
      <c r="H43" s="6"/>
      <c r="I43" s="6" t="s">
        <v>139</v>
      </c>
      <c r="J43" s="6" t="n">
        <v>16</v>
      </c>
      <c r="K43" s="6" t="s">
        <v>46</v>
      </c>
      <c r="L43" s="6" t="n">
        <v>182</v>
      </c>
      <c r="M43" s="6" t="n">
        <v>154</v>
      </c>
      <c r="N43" s="12" t="n">
        <v>73.6</v>
      </c>
      <c r="O43" s="12" t="n">
        <v>73.6</v>
      </c>
      <c r="P43" s="13" t="n">
        <v>66</v>
      </c>
      <c r="Q43" s="12"/>
      <c r="R43" s="14" t="n">
        <v>0.018</v>
      </c>
      <c r="S43" s="6" t="n">
        <v>0</v>
      </c>
      <c r="T43" s="6"/>
      <c r="U43" s="15" t="n">
        <f aca="false">(S43*R43+0.5*(1-(P43/N43)^2)+(1-(P43/O43)^2)^2)*(O43/P43)^4</f>
        <v>0.210765781531822</v>
      </c>
      <c r="V43" s="14"/>
      <c r="W43" s="14"/>
      <c r="X43" s="10" t="s">
        <v>47</v>
      </c>
      <c r="Y43" s="16"/>
      <c r="Z43" s="17" t="s">
        <v>48</v>
      </c>
      <c r="AA43" s="6"/>
      <c r="AB43" s="18" t="n">
        <f aca="false">IF(O43="","",$D$3*PI()*(O43/1000)^2/4*3600)</f>
        <v>22.9741403500662</v>
      </c>
      <c r="AC43" s="19" t="n">
        <f aca="false">IF(OR(U43="",NOT(ISNUMBER(U43))),"",U43*$D$3^2/(2*$H$3))</f>
        <v>0.0241703877903465</v>
      </c>
      <c r="AD43" s="20" t="n">
        <f aca="false">IF(OR(U43="",NOT(ISNUMBER(U43))),"",U43*$D$3^2/2*$F$3)</f>
        <v>237.1115042233</v>
      </c>
      <c r="AE43" s="19" t="str">
        <f aca="false">IF(OR(V43="",NOT(ISNUMBER(V43))),"",V43*$D$3^2/(2*$H$3))</f>
        <v/>
      </c>
      <c r="AF43" s="20" t="str">
        <f aca="false">IF(OR(V43="",NOT(ISNUMBER(V43))),"",V43*$D$3^2/2*$F$3)</f>
        <v/>
      </c>
      <c r="AG43" s="19" t="str">
        <f aca="false">IF(OR(W43="",NOT(ISNUMBER(W43))),"",W43*$D$3^2/(2*$H$3))</f>
        <v/>
      </c>
      <c r="AH43" s="20" t="str">
        <f aca="false">IF(OR(W43="",NOT(ISNUMBER(W43))),"",W43*$D$3^2/2*$F$3)</f>
        <v/>
      </c>
    </row>
    <row r="44" customFormat="false" ht="15" hidden="false" customHeight="false" outlineLevel="0" collapsed="false">
      <c r="A44" s="10" t="s">
        <v>140</v>
      </c>
      <c r="B44" s="11" t="s">
        <v>41</v>
      </c>
      <c r="C44" s="6" t="s">
        <v>42</v>
      </c>
      <c r="D44" s="6" t="s">
        <v>141</v>
      </c>
      <c r="E44" s="6" t="s">
        <v>106</v>
      </c>
      <c r="F44" s="6" t="s">
        <v>107</v>
      </c>
      <c r="G44" s="6" t="n">
        <v>110</v>
      </c>
      <c r="H44" s="6"/>
      <c r="I44" s="6" t="s">
        <v>142</v>
      </c>
      <c r="J44" s="6" t="n">
        <v>16</v>
      </c>
      <c r="K44" s="6" t="s">
        <v>46</v>
      </c>
      <c r="L44" s="6" t="n">
        <v>192</v>
      </c>
      <c r="M44" s="6" t="n">
        <v>183</v>
      </c>
      <c r="N44" s="12" t="n">
        <v>90</v>
      </c>
      <c r="O44" s="12" t="n">
        <v>90</v>
      </c>
      <c r="P44" s="13" t="n">
        <v>81</v>
      </c>
      <c r="Q44" s="12"/>
      <c r="R44" s="14" t="n">
        <v>0.017</v>
      </c>
      <c r="S44" s="6" t="n">
        <v>0</v>
      </c>
      <c r="T44" s="6"/>
      <c r="U44" s="15" t="n">
        <f aca="false">(S44*R44+0.5*(1-(P44/N44)^2)+(1-(P44/O44)^2)^2)*(O44/P44)^4</f>
        <v>0.199817101051669</v>
      </c>
      <c r="V44" s="14"/>
      <c r="W44" s="14"/>
      <c r="X44" s="10" t="s">
        <v>47</v>
      </c>
      <c r="Y44" s="16"/>
      <c r="Z44" s="17" t="s">
        <v>48</v>
      </c>
      <c r="AA44" s="6"/>
      <c r="AB44" s="18" t="n">
        <f aca="false">IF(O44="","",$D$3*PI()*(O44/1000)^2/4*3600)</f>
        <v>34.3533156670044</v>
      </c>
      <c r="AC44" s="19" t="n">
        <f aca="false">IF(OR(U44="",NOT(ISNUMBER(U44))),"",U44*$D$3^2/(2*$H$3))</f>
        <v>0.0229148051664758</v>
      </c>
      <c r="AD44" s="20" t="n">
        <f aca="false">IF(OR(U44="",NOT(ISNUMBER(U44))),"",U44*$D$3^2/2*$F$3)</f>
        <v>224.794238683128</v>
      </c>
      <c r="AE44" s="19" t="str">
        <f aca="false">IF(OR(V44="",NOT(ISNUMBER(V44))),"",V44*$D$3^2/(2*$H$3))</f>
        <v/>
      </c>
      <c r="AF44" s="20" t="str">
        <f aca="false">IF(OR(V44="",NOT(ISNUMBER(V44))),"",V44*$D$3^2/2*$F$3)</f>
        <v/>
      </c>
      <c r="AG44" s="19" t="str">
        <f aca="false">IF(OR(W44="",NOT(ISNUMBER(W44))),"",W44*$D$3^2/(2*$H$3))</f>
        <v/>
      </c>
      <c r="AH44" s="20" t="str">
        <f aca="false">IF(OR(W44="",NOT(ISNUMBER(W44))),"",W44*$D$3^2/2*$F$3)</f>
        <v/>
      </c>
    </row>
    <row r="45" customFormat="false" ht="15" hidden="false" customHeight="false" outlineLevel="0" collapsed="false">
      <c r="A45" s="10" t="s">
        <v>143</v>
      </c>
      <c r="B45" s="11" t="s">
        <v>41</v>
      </c>
      <c r="C45" s="6" t="s">
        <v>42</v>
      </c>
      <c r="D45" s="6" t="s">
        <v>144</v>
      </c>
      <c r="E45" s="6" t="s">
        <v>145</v>
      </c>
      <c r="F45" s="6" t="s">
        <v>107</v>
      </c>
      <c r="G45" s="6" t="n">
        <v>20</v>
      </c>
      <c r="H45" s="6"/>
      <c r="I45" s="6" t="s">
        <v>108</v>
      </c>
      <c r="J45" s="6" t="n">
        <v>16</v>
      </c>
      <c r="K45" s="6" t="s">
        <v>46</v>
      </c>
      <c r="L45" s="6" t="n">
        <v>60</v>
      </c>
      <c r="M45" s="6" t="n">
        <v>44</v>
      </c>
      <c r="N45" s="12" t="n">
        <v>16</v>
      </c>
      <c r="O45" s="12" t="n">
        <v>16</v>
      </c>
      <c r="P45" s="13" t="n">
        <v>13</v>
      </c>
      <c r="Q45" s="12"/>
      <c r="R45" s="14" t="n">
        <v>0.027</v>
      </c>
      <c r="S45" s="6" t="n">
        <v>0</v>
      </c>
      <c r="T45" s="6"/>
      <c r="U45" s="15" t="n">
        <f aca="false">(S45*R45+0.5*(1-(P45/N45)^2)+(1-(P45/O45)^2)^2)*(O45/P45)^4</f>
        <v>0.654914043625924</v>
      </c>
      <c r="V45" s="14"/>
      <c r="W45" s="14"/>
      <c r="X45" s="10" t="s">
        <v>47</v>
      </c>
      <c r="Y45" s="16"/>
      <c r="Z45" s="17" t="s">
        <v>48</v>
      </c>
      <c r="AA45" s="6"/>
      <c r="AB45" s="18" t="n">
        <f aca="false">IF(O45="","",$D$3*PI()*(O45/1000)^2/4*3600)</f>
        <v>1.08573442108063</v>
      </c>
      <c r="AC45" s="19" t="n">
        <f aca="false">IF(OR(U45="",NOT(ISNUMBER(U45))),"",U45*$D$3^2/(2*$H$3))</f>
        <v>0.0751048215167344</v>
      </c>
      <c r="AD45" s="20" t="n">
        <f aca="false">IF(OR(U45="",NOT(ISNUMBER(U45))),"",U45*$D$3^2/2*$F$3)</f>
        <v>736.778299079164</v>
      </c>
      <c r="AE45" s="19" t="str">
        <f aca="false">IF(OR(V45="",NOT(ISNUMBER(V45))),"",V45*$D$3^2/(2*$H$3))</f>
        <v/>
      </c>
      <c r="AF45" s="20" t="str">
        <f aca="false">IF(OR(V45="",NOT(ISNUMBER(V45))),"",V45*$D$3^2/2*$F$3)</f>
        <v/>
      </c>
      <c r="AG45" s="19" t="str">
        <f aca="false">IF(OR(W45="",NOT(ISNUMBER(W45))),"",W45*$D$3^2/(2*$H$3))</f>
        <v/>
      </c>
      <c r="AH45" s="20" t="str">
        <f aca="false">IF(OR(W45="",NOT(ISNUMBER(W45))),"",W45*$D$3^2/2*$F$3)</f>
        <v/>
      </c>
    </row>
    <row r="46" customFormat="false" ht="15" hidden="false" customHeight="false" outlineLevel="0" collapsed="false">
      <c r="A46" s="10" t="s">
        <v>146</v>
      </c>
      <c r="B46" s="11" t="s">
        <v>41</v>
      </c>
      <c r="C46" s="6" t="s">
        <v>42</v>
      </c>
      <c r="D46" s="6" t="s">
        <v>147</v>
      </c>
      <c r="E46" s="6" t="s">
        <v>145</v>
      </c>
      <c r="F46" s="6" t="s">
        <v>107</v>
      </c>
      <c r="G46" s="6" t="n">
        <v>20</v>
      </c>
      <c r="H46" s="6"/>
      <c r="I46" s="6" t="s">
        <v>111</v>
      </c>
      <c r="J46" s="6" t="n">
        <v>16</v>
      </c>
      <c r="K46" s="6" t="s">
        <v>46</v>
      </c>
      <c r="L46" s="6" t="n">
        <v>57</v>
      </c>
      <c r="M46" s="6" t="n">
        <v>44</v>
      </c>
      <c r="N46" s="12" t="n">
        <v>16</v>
      </c>
      <c r="O46" s="12" t="n">
        <v>16</v>
      </c>
      <c r="P46" s="13" t="n">
        <v>13</v>
      </c>
      <c r="Q46" s="12"/>
      <c r="R46" s="14" t="n">
        <v>0.027</v>
      </c>
      <c r="S46" s="6" t="n">
        <v>0</v>
      </c>
      <c r="T46" s="6"/>
      <c r="U46" s="15" t="n">
        <f aca="false">(S46*R46+0.5*(1-(P46/N46)^2)+(1-(P46/O46)^2)^2)*(O46/P46)^4</f>
        <v>0.654914043625924</v>
      </c>
      <c r="V46" s="14"/>
      <c r="W46" s="14"/>
      <c r="X46" s="10" t="s">
        <v>47</v>
      </c>
      <c r="Y46" s="16"/>
      <c r="Z46" s="17" t="s">
        <v>48</v>
      </c>
      <c r="AA46" s="6"/>
      <c r="AB46" s="18" t="n">
        <f aca="false">IF(O46="","",$D$3*PI()*(O46/1000)^2/4*3600)</f>
        <v>1.08573442108063</v>
      </c>
      <c r="AC46" s="19" t="n">
        <f aca="false">IF(OR(U46="",NOT(ISNUMBER(U46))),"",U46*$D$3^2/(2*$H$3))</f>
        <v>0.0751048215167344</v>
      </c>
      <c r="AD46" s="20" t="n">
        <f aca="false">IF(OR(U46="",NOT(ISNUMBER(U46))),"",U46*$D$3^2/2*$F$3)</f>
        <v>736.778299079164</v>
      </c>
      <c r="AE46" s="19" t="str">
        <f aca="false">IF(OR(V46="",NOT(ISNUMBER(V46))),"",V46*$D$3^2/(2*$H$3))</f>
        <v/>
      </c>
      <c r="AF46" s="20" t="str">
        <f aca="false">IF(OR(V46="",NOT(ISNUMBER(V46))),"",V46*$D$3^2/2*$F$3)</f>
        <v/>
      </c>
      <c r="AG46" s="19" t="str">
        <f aca="false">IF(OR(W46="",NOT(ISNUMBER(W46))),"",W46*$D$3^2/(2*$H$3))</f>
        <v/>
      </c>
      <c r="AH46" s="20" t="str">
        <f aca="false">IF(OR(W46="",NOT(ISNUMBER(W46))),"",W46*$D$3^2/2*$F$3)</f>
        <v/>
      </c>
    </row>
    <row r="47" customFormat="false" ht="15" hidden="false" customHeight="false" outlineLevel="0" collapsed="false">
      <c r="A47" s="10" t="s">
        <v>148</v>
      </c>
      <c r="B47" s="11" t="s">
        <v>41</v>
      </c>
      <c r="C47" s="6" t="s">
        <v>42</v>
      </c>
      <c r="D47" s="6" t="s">
        <v>149</v>
      </c>
      <c r="E47" s="6" t="s">
        <v>145</v>
      </c>
      <c r="F47" s="6" t="s">
        <v>107</v>
      </c>
      <c r="G47" s="6" t="n">
        <v>25</v>
      </c>
      <c r="H47" s="6"/>
      <c r="I47" s="6" t="s">
        <v>108</v>
      </c>
      <c r="J47" s="6" t="n">
        <v>16</v>
      </c>
      <c r="K47" s="6" t="s">
        <v>46</v>
      </c>
      <c r="L47" s="6" t="n">
        <v>65</v>
      </c>
      <c r="M47" s="6" t="n">
        <v>52</v>
      </c>
      <c r="N47" s="12" t="n">
        <v>20.4</v>
      </c>
      <c r="O47" s="12" t="n">
        <v>20.4</v>
      </c>
      <c r="P47" s="13" t="n">
        <v>17</v>
      </c>
      <c r="Q47" s="12"/>
      <c r="R47" s="14" t="n">
        <v>0.025</v>
      </c>
      <c r="S47" s="6" t="n">
        <v>0</v>
      </c>
      <c r="T47" s="6"/>
      <c r="U47" s="15" t="n">
        <f aca="false">(S47*R47+0.5*(1-(P47/N47)^2)+(1-(P47/O47)^2)^2)*(O47/P47)^4</f>
        <v>0.5104</v>
      </c>
      <c r="V47" s="14"/>
      <c r="W47" s="14"/>
      <c r="X47" s="10" t="s">
        <v>47</v>
      </c>
      <c r="Y47" s="16"/>
      <c r="Z47" s="17" t="s">
        <v>48</v>
      </c>
      <c r="AA47" s="6"/>
      <c r="AB47" s="18" t="n">
        <f aca="false">IF(O47="","",$D$3*PI()*(O47/1000)^2/4*3600)</f>
        <v>1.7649970182692</v>
      </c>
      <c r="AC47" s="19" t="n">
        <f aca="false">IF(OR(U47="",NOT(ISNUMBER(U47))),"",U47*$D$3^2/(2*$H$3))</f>
        <v>0.0585321100917431</v>
      </c>
      <c r="AD47" s="20" t="n">
        <f aca="false">IF(OR(U47="",NOT(ISNUMBER(U47))),"",U47*$D$3^2/2*$F$3)</f>
        <v>574.2</v>
      </c>
      <c r="AE47" s="19" t="str">
        <f aca="false">IF(OR(V47="",NOT(ISNUMBER(V47))),"",V47*$D$3^2/(2*$H$3))</f>
        <v/>
      </c>
      <c r="AF47" s="20" t="str">
        <f aca="false">IF(OR(V47="",NOT(ISNUMBER(V47))),"",V47*$D$3^2/2*$F$3)</f>
        <v/>
      </c>
      <c r="AG47" s="19" t="str">
        <f aca="false">IF(OR(W47="",NOT(ISNUMBER(W47))),"",W47*$D$3^2/(2*$H$3))</f>
        <v/>
      </c>
      <c r="AH47" s="20" t="str">
        <f aca="false">IF(OR(W47="",NOT(ISNUMBER(W47))),"",W47*$D$3^2/2*$F$3)</f>
        <v/>
      </c>
    </row>
    <row r="48" customFormat="false" ht="15" hidden="false" customHeight="false" outlineLevel="0" collapsed="false">
      <c r="A48" s="10" t="s">
        <v>150</v>
      </c>
      <c r="B48" s="11" t="s">
        <v>41</v>
      </c>
      <c r="C48" s="6" t="s">
        <v>42</v>
      </c>
      <c r="D48" s="6" t="s">
        <v>151</v>
      </c>
      <c r="E48" s="6" t="s">
        <v>145</v>
      </c>
      <c r="F48" s="6" t="s">
        <v>107</v>
      </c>
      <c r="G48" s="6" t="n">
        <v>25</v>
      </c>
      <c r="H48" s="6"/>
      <c r="I48" s="6" t="s">
        <v>111</v>
      </c>
      <c r="J48" s="6" t="n">
        <v>16</v>
      </c>
      <c r="K48" s="6" t="s">
        <v>46</v>
      </c>
      <c r="L48" s="6" t="n">
        <v>67</v>
      </c>
      <c r="M48" s="6" t="n">
        <v>52</v>
      </c>
      <c r="N48" s="12" t="n">
        <v>20.4</v>
      </c>
      <c r="O48" s="12" t="n">
        <v>20.4</v>
      </c>
      <c r="P48" s="13" t="n">
        <v>17</v>
      </c>
      <c r="Q48" s="12"/>
      <c r="R48" s="14" t="n">
        <v>0.025</v>
      </c>
      <c r="S48" s="6" t="n">
        <v>0</v>
      </c>
      <c r="T48" s="6"/>
      <c r="U48" s="15" t="n">
        <f aca="false">(S48*R48+0.5*(1-(P48/N48)^2)+(1-(P48/O48)^2)^2)*(O48/P48)^4</f>
        <v>0.5104</v>
      </c>
      <c r="V48" s="14"/>
      <c r="W48" s="14"/>
      <c r="X48" s="10" t="s">
        <v>47</v>
      </c>
      <c r="Y48" s="16"/>
      <c r="Z48" s="17" t="s">
        <v>48</v>
      </c>
      <c r="AA48" s="6"/>
      <c r="AB48" s="18" t="n">
        <f aca="false">IF(O48="","",$D$3*PI()*(O48/1000)^2/4*3600)</f>
        <v>1.7649970182692</v>
      </c>
      <c r="AC48" s="19" t="n">
        <f aca="false">IF(OR(U48="",NOT(ISNUMBER(U48))),"",U48*$D$3^2/(2*$H$3))</f>
        <v>0.0585321100917431</v>
      </c>
      <c r="AD48" s="20" t="n">
        <f aca="false">IF(OR(U48="",NOT(ISNUMBER(U48))),"",U48*$D$3^2/2*$F$3)</f>
        <v>574.2</v>
      </c>
      <c r="AE48" s="19" t="str">
        <f aca="false">IF(OR(V48="",NOT(ISNUMBER(V48))),"",V48*$D$3^2/(2*$H$3))</f>
        <v/>
      </c>
      <c r="AF48" s="20" t="str">
        <f aca="false">IF(OR(V48="",NOT(ISNUMBER(V48))),"",V48*$D$3^2/2*$F$3)</f>
        <v/>
      </c>
      <c r="AG48" s="19" t="str">
        <f aca="false">IF(OR(W48="",NOT(ISNUMBER(W48))),"",W48*$D$3^2/(2*$H$3))</f>
        <v/>
      </c>
      <c r="AH48" s="20" t="str">
        <f aca="false">IF(OR(W48="",NOT(ISNUMBER(W48))),"",W48*$D$3^2/2*$F$3)</f>
        <v/>
      </c>
    </row>
    <row r="49" customFormat="false" ht="15" hidden="false" customHeight="false" outlineLevel="0" collapsed="false">
      <c r="A49" s="10" t="s">
        <v>152</v>
      </c>
      <c r="B49" s="11" t="s">
        <v>41</v>
      </c>
      <c r="C49" s="6" t="s">
        <v>42</v>
      </c>
      <c r="D49" s="6" t="s">
        <v>153</v>
      </c>
      <c r="E49" s="6" t="s">
        <v>145</v>
      </c>
      <c r="F49" s="6" t="s">
        <v>107</v>
      </c>
      <c r="G49" s="6" t="n">
        <v>25</v>
      </c>
      <c r="H49" s="6"/>
      <c r="I49" s="6" t="s">
        <v>118</v>
      </c>
      <c r="J49" s="6" t="n">
        <v>16</v>
      </c>
      <c r="K49" s="6" t="s">
        <v>46</v>
      </c>
      <c r="L49" s="6" t="n">
        <v>70</v>
      </c>
      <c r="M49" s="6" t="n">
        <v>52</v>
      </c>
      <c r="N49" s="12" t="n">
        <v>20.4</v>
      </c>
      <c r="O49" s="12" t="n">
        <v>20.4</v>
      </c>
      <c r="P49" s="13" t="n">
        <v>17</v>
      </c>
      <c r="Q49" s="12"/>
      <c r="R49" s="14" t="n">
        <v>0.025</v>
      </c>
      <c r="S49" s="6" t="n">
        <v>0</v>
      </c>
      <c r="T49" s="6"/>
      <c r="U49" s="15" t="n">
        <f aca="false">(S49*R49+0.5*(1-(P49/N49)^2)+(1-(P49/O49)^2)^2)*(O49/P49)^4</f>
        <v>0.5104</v>
      </c>
      <c r="V49" s="14"/>
      <c r="W49" s="14"/>
      <c r="X49" s="10" t="s">
        <v>47</v>
      </c>
      <c r="Y49" s="16"/>
      <c r="Z49" s="17" t="s">
        <v>48</v>
      </c>
      <c r="AA49" s="6"/>
      <c r="AB49" s="18" t="n">
        <f aca="false">IF(O49="","",$D$3*PI()*(O49/1000)^2/4*3600)</f>
        <v>1.7649970182692</v>
      </c>
      <c r="AC49" s="19" t="n">
        <f aca="false">IF(OR(U49="",NOT(ISNUMBER(U49))),"",U49*$D$3^2/(2*$H$3))</f>
        <v>0.0585321100917431</v>
      </c>
      <c r="AD49" s="20" t="n">
        <f aca="false">IF(OR(U49="",NOT(ISNUMBER(U49))),"",U49*$D$3^2/2*$F$3)</f>
        <v>574.2</v>
      </c>
      <c r="AE49" s="19" t="str">
        <f aca="false">IF(OR(V49="",NOT(ISNUMBER(V49))),"",V49*$D$3^2/(2*$H$3))</f>
        <v/>
      </c>
      <c r="AF49" s="20" t="str">
        <f aca="false">IF(OR(V49="",NOT(ISNUMBER(V49))),"",V49*$D$3^2/2*$F$3)</f>
        <v/>
      </c>
      <c r="AG49" s="19" t="str">
        <f aca="false">IF(OR(W49="",NOT(ISNUMBER(W49))),"",W49*$D$3^2/(2*$H$3))</f>
        <v/>
      </c>
      <c r="AH49" s="20" t="str">
        <f aca="false">IF(OR(W49="",NOT(ISNUMBER(W49))),"",W49*$D$3^2/2*$F$3)</f>
        <v/>
      </c>
    </row>
    <row r="50" customFormat="false" ht="15" hidden="false" customHeight="false" outlineLevel="0" collapsed="false">
      <c r="A50" s="10" t="s">
        <v>154</v>
      </c>
      <c r="B50" s="11" t="s">
        <v>41</v>
      </c>
      <c r="C50" s="6" t="s">
        <v>42</v>
      </c>
      <c r="D50" s="6" t="s">
        <v>155</v>
      </c>
      <c r="E50" s="6" t="s">
        <v>145</v>
      </c>
      <c r="F50" s="6" t="s">
        <v>107</v>
      </c>
      <c r="G50" s="6" t="n">
        <v>32</v>
      </c>
      <c r="H50" s="6"/>
      <c r="I50" s="6" t="s">
        <v>111</v>
      </c>
      <c r="J50" s="6" t="n">
        <v>16</v>
      </c>
      <c r="K50" s="6" t="s">
        <v>46</v>
      </c>
      <c r="L50" s="6" t="n">
        <v>78</v>
      </c>
      <c r="M50" s="6" t="n">
        <v>62</v>
      </c>
      <c r="N50" s="12" t="n">
        <v>26.2</v>
      </c>
      <c r="O50" s="12" t="n">
        <v>26.2</v>
      </c>
      <c r="P50" s="13" t="n">
        <v>22</v>
      </c>
      <c r="Q50" s="12"/>
      <c r="R50" s="14" t="n">
        <v>0.023</v>
      </c>
      <c r="S50" s="6" t="n">
        <v>0</v>
      </c>
      <c r="T50" s="6"/>
      <c r="U50" s="15" t="n">
        <f aca="false">(S50*R50+0.5*(1-(P50/N50)^2)+(1-(P50/O50)^2)^2)*(O50/P50)^4</f>
        <v>0.471549972679462</v>
      </c>
      <c r="V50" s="14"/>
      <c r="W50" s="14"/>
      <c r="X50" s="10" t="s">
        <v>47</v>
      </c>
      <c r="Y50" s="16"/>
      <c r="Z50" s="17" t="s">
        <v>48</v>
      </c>
      <c r="AA50" s="6"/>
      <c r="AB50" s="18" t="n">
        <f aca="false">IF(O50="","",$D$3*PI()*(O50/1000)^2/4*3600)</f>
        <v>2.91129506252574</v>
      </c>
      <c r="AC50" s="19" t="n">
        <f aca="false">IF(OR(U50="",NOT(ISNUMBER(U50))),"",U50*$D$3^2/(2*$H$3))</f>
        <v>0.054076831729296</v>
      </c>
      <c r="AD50" s="20" t="n">
        <f aca="false">IF(OR(U50="",NOT(ISNUMBER(U50))),"",U50*$D$3^2/2*$F$3)</f>
        <v>530.493719264394</v>
      </c>
      <c r="AE50" s="19" t="str">
        <f aca="false">IF(OR(V50="",NOT(ISNUMBER(V50))),"",V50*$D$3^2/(2*$H$3))</f>
        <v/>
      </c>
      <c r="AF50" s="20" t="str">
        <f aca="false">IF(OR(V50="",NOT(ISNUMBER(V50))),"",V50*$D$3^2/2*$F$3)</f>
        <v/>
      </c>
      <c r="AG50" s="19" t="str">
        <f aca="false">IF(OR(W50="",NOT(ISNUMBER(W50))),"",W50*$D$3^2/(2*$H$3))</f>
        <v/>
      </c>
      <c r="AH50" s="20" t="str">
        <f aca="false">IF(OR(W50="",NOT(ISNUMBER(W50))),"",W50*$D$3^2/2*$F$3)</f>
        <v/>
      </c>
    </row>
    <row r="51" customFormat="false" ht="15" hidden="false" customHeight="false" outlineLevel="0" collapsed="false">
      <c r="A51" s="10" t="s">
        <v>156</v>
      </c>
      <c r="B51" s="11" t="s">
        <v>41</v>
      </c>
      <c r="C51" s="6" t="s">
        <v>42</v>
      </c>
      <c r="D51" s="6" t="s">
        <v>157</v>
      </c>
      <c r="E51" s="6" t="s">
        <v>145</v>
      </c>
      <c r="F51" s="6" t="s">
        <v>107</v>
      </c>
      <c r="G51" s="6" t="n">
        <v>32</v>
      </c>
      <c r="H51" s="6"/>
      <c r="I51" s="6" t="s">
        <v>118</v>
      </c>
      <c r="J51" s="6" t="n">
        <v>16</v>
      </c>
      <c r="K51" s="6" t="s">
        <v>46</v>
      </c>
      <c r="L51" s="6" t="n">
        <v>79</v>
      </c>
      <c r="M51" s="6" t="n">
        <v>62</v>
      </c>
      <c r="N51" s="12" t="n">
        <v>26.2</v>
      </c>
      <c r="O51" s="12" t="n">
        <v>26.2</v>
      </c>
      <c r="P51" s="13" t="n">
        <v>22</v>
      </c>
      <c r="Q51" s="12"/>
      <c r="R51" s="14" t="n">
        <v>0.023</v>
      </c>
      <c r="S51" s="6" t="n">
        <v>0</v>
      </c>
      <c r="T51" s="6"/>
      <c r="U51" s="15" t="n">
        <f aca="false">(S51*R51+0.5*(1-(P51/N51)^2)+(1-(P51/O51)^2)^2)*(O51/P51)^4</f>
        <v>0.471549972679462</v>
      </c>
      <c r="V51" s="14"/>
      <c r="W51" s="14"/>
      <c r="X51" s="10" t="s">
        <v>47</v>
      </c>
      <c r="Y51" s="16"/>
      <c r="Z51" s="17" t="s">
        <v>48</v>
      </c>
      <c r="AA51" s="6"/>
      <c r="AB51" s="18" t="n">
        <f aca="false">IF(O51="","",$D$3*PI()*(O51/1000)^2/4*3600)</f>
        <v>2.91129506252574</v>
      </c>
      <c r="AC51" s="19" t="n">
        <f aca="false">IF(OR(U51="",NOT(ISNUMBER(U51))),"",U51*$D$3^2/(2*$H$3))</f>
        <v>0.054076831729296</v>
      </c>
      <c r="AD51" s="20" t="n">
        <f aca="false">IF(OR(U51="",NOT(ISNUMBER(U51))),"",U51*$D$3^2/2*$F$3)</f>
        <v>530.493719264394</v>
      </c>
      <c r="AE51" s="19" t="str">
        <f aca="false">IF(OR(V51="",NOT(ISNUMBER(V51))),"",V51*$D$3^2/(2*$H$3))</f>
        <v/>
      </c>
      <c r="AF51" s="20" t="str">
        <f aca="false">IF(OR(V51="",NOT(ISNUMBER(V51))),"",V51*$D$3^2/2*$F$3)</f>
        <v/>
      </c>
      <c r="AG51" s="19" t="str">
        <f aca="false">IF(OR(W51="",NOT(ISNUMBER(W51))),"",W51*$D$3^2/(2*$H$3))</f>
        <v/>
      </c>
      <c r="AH51" s="20" t="str">
        <f aca="false">IF(OR(W51="",NOT(ISNUMBER(W51))),"",W51*$D$3^2/2*$F$3)</f>
        <v/>
      </c>
    </row>
    <row r="52" customFormat="false" ht="15" hidden="false" customHeight="false" outlineLevel="0" collapsed="false">
      <c r="A52" s="10" t="s">
        <v>158</v>
      </c>
      <c r="B52" s="11" t="s">
        <v>41</v>
      </c>
      <c r="C52" s="6" t="s">
        <v>42</v>
      </c>
      <c r="D52" s="6" t="s">
        <v>159</v>
      </c>
      <c r="E52" s="6" t="s">
        <v>145</v>
      </c>
      <c r="F52" s="6" t="s">
        <v>107</v>
      </c>
      <c r="G52" s="6" t="n">
        <v>32</v>
      </c>
      <c r="H52" s="6"/>
      <c r="I52" s="6" t="s">
        <v>127</v>
      </c>
      <c r="J52" s="6" t="n">
        <v>16</v>
      </c>
      <c r="K52" s="6" t="s">
        <v>46</v>
      </c>
      <c r="L52" s="6" t="n">
        <v>83</v>
      </c>
      <c r="M52" s="6" t="n">
        <v>62</v>
      </c>
      <c r="N52" s="12" t="n">
        <v>26.2</v>
      </c>
      <c r="O52" s="12" t="n">
        <v>26.2</v>
      </c>
      <c r="P52" s="13" t="n">
        <v>22</v>
      </c>
      <c r="Q52" s="12"/>
      <c r="R52" s="14" t="n">
        <v>0.023</v>
      </c>
      <c r="S52" s="6" t="n">
        <v>0</v>
      </c>
      <c r="T52" s="6"/>
      <c r="U52" s="15" t="n">
        <f aca="false">(S52*R52+0.5*(1-(P52/N52)^2)+(1-(P52/O52)^2)^2)*(O52/P52)^4</f>
        <v>0.471549972679462</v>
      </c>
      <c r="V52" s="14"/>
      <c r="W52" s="14"/>
      <c r="X52" s="10" t="s">
        <v>47</v>
      </c>
      <c r="Y52" s="16"/>
      <c r="Z52" s="17" t="s">
        <v>48</v>
      </c>
      <c r="AA52" s="6"/>
      <c r="AB52" s="18" t="n">
        <f aca="false">IF(O52="","",$D$3*PI()*(O52/1000)^2/4*3600)</f>
        <v>2.91129506252574</v>
      </c>
      <c r="AC52" s="19" t="n">
        <f aca="false">IF(OR(U52="",NOT(ISNUMBER(U52))),"",U52*$D$3^2/(2*$H$3))</f>
        <v>0.054076831729296</v>
      </c>
      <c r="AD52" s="20" t="n">
        <f aca="false">IF(OR(U52="",NOT(ISNUMBER(U52))),"",U52*$D$3^2/2*$F$3)</f>
        <v>530.493719264394</v>
      </c>
      <c r="AE52" s="19" t="str">
        <f aca="false">IF(OR(V52="",NOT(ISNUMBER(V52))),"",V52*$D$3^2/(2*$H$3))</f>
        <v/>
      </c>
      <c r="AF52" s="20" t="str">
        <f aca="false">IF(OR(V52="",NOT(ISNUMBER(V52))),"",V52*$D$3^2/2*$F$3)</f>
        <v/>
      </c>
      <c r="AG52" s="19" t="str">
        <f aca="false">IF(OR(W52="",NOT(ISNUMBER(W52))),"",W52*$D$3^2/(2*$H$3))</f>
        <v/>
      </c>
      <c r="AH52" s="20" t="str">
        <f aca="false">IF(OR(W52="",NOT(ISNUMBER(W52))),"",W52*$D$3^2/2*$F$3)</f>
        <v/>
      </c>
    </row>
    <row r="53" customFormat="false" ht="15" hidden="false" customHeight="false" outlineLevel="0" collapsed="false">
      <c r="A53" s="10" t="s">
        <v>160</v>
      </c>
      <c r="B53" s="11" t="s">
        <v>41</v>
      </c>
      <c r="C53" s="6" t="s">
        <v>42</v>
      </c>
      <c r="D53" s="6" t="s">
        <v>161</v>
      </c>
      <c r="E53" s="6" t="s">
        <v>145</v>
      </c>
      <c r="F53" s="6" t="s">
        <v>107</v>
      </c>
      <c r="G53" s="6" t="n">
        <v>40</v>
      </c>
      <c r="H53" s="6"/>
      <c r="I53" s="6" t="s">
        <v>118</v>
      </c>
      <c r="J53" s="6" t="n">
        <v>16</v>
      </c>
      <c r="K53" s="6" t="s">
        <v>46</v>
      </c>
      <c r="L53" s="6" t="n">
        <v>88</v>
      </c>
      <c r="M53" s="6" t="n">
        <v>72</v>
      </c>
      <c r="N53" s="12" t="n">
        <v>32.6</v>
      </c>
      <c r="O53" s="12" t="n">
        <v>32.6</v>
      </c>
      <c r="P53" s="13" t="n">
        <v>28</v>
      </c>
      <c r="Q53" s="12"/>
      <c r="R53" s="14" t="n">
        <v>0.022</v>
      </c>
      <c r="S53" s="6" t="n">
        <v>0</v>
      </c>
      <c r="T53" s="6"/>
      <c r="U53" s="15" t="n">
        <f aca="false">(S53*R53+0.5*(1-(P53/N53)^2)+(1-(P53/O53)^2)^2)*(O53/P53)^4</f>
        <v>0.367416288785923</v>
      </c>
      <c r="V53" s="14"/>
      <c r="W53" s="14"/>
      <c r="X53" s="10" t="s">
        <v>47</v>
      </c>
      <c r="Y53" s="16"/>
      <c r="Z53" s="17" t="s">
        <v>48</v>
      </c>
      <c r="AA53" s="6"/>
      <c r="AB53" s="18" t="n">
        <f aca="false">IF(O53="","",$D$3*PI()*(O53/1000)^2/4*3600)</f>
        <v>4.50732466151427</v>
      </c>
      <c r="AC53" s="19" t="n">
        <f aca="false">IF(OR(U53="",NOT(ISNUMBER(U53))),"",U53*$D$3^2/(2*$H$3))</f>
        <v>0.0421348955029728</v>
      </c>
      <c r="AD53" s="20" t="n">
        <f aca="false">IF(OR(U53="",NOT(ISNUMBER(U53))),"",U53*$D$3^2/2*$F$3)</f>
        <v>413.343324884163</v>
      </c>
      <c r="AE53" s="19" t="str">
        <f aca="false">IF(OR(V53="",NOT(ISNUMBER(V53))),"",V53*$D$3^2/(2*$H$3))</f>
        <v/>
      </c>
      <c r="AF53" s="20" t="str">
        <f aca="false">IF(OR(V53="",NOT(ISNUMBER(V53))),"",V53*$D$3^2/2*$F$3)</f>
        <v/>
      </c>
      <c r="AG53" s="19" t="str">
        <f aca="false">IF(OR(W53="",NOT(ISNUMBER(W53))),"",W53*$D$3^2/(2*$H$3))</f>
        <v/>
      </c>
      <c r="AH53" s="20" t="str">
        <f aca="false">IF(OR(W53="",NOT(ISNUMBER(W53))),"",W53*$D$3^2/2*$F$3)</f>
        <v/>
      </c>
    </row>
    <row r="54" customFormat="false" ht="15" hidden="false" customHeight="false" outlineLevel="0" collapsed="false">
      <c r="A54" s="10" t="s">
        <v>162</v>
      </c>
      <c r="B54" s="11" t="s">
        <v>41</v>
      </c>
      <c r="C54" s="6" t="s">
        <v>42</v>
      </c>
      <c r="D54" s="6" t="s">
        <v>163</v>
      </c>
      <c r="E54" s="6" t="s">
        <v>145</v>
      </c>
      <c r="F54" s="6" t="s">
        <v>107</v>
      </c>
      <c r="G54" s="6" t="n">
        <v>40</v>
      </c>
      <c r="H54" s="6"/>
      <c r="I54" s="6" t="s">
        <v>127</v>
      </c>
      <c r="J54" s="6" t="n">
        <v>16</v>
      </c>
      <c r="K54" s="6" t="s">
        <v>46</v>
      </c>
      <c r="L54" s="6" t="n">
        <v>91</v>
      </c>
      <c r="M54" s="6" t="n">
        <v>72</v>
      </c>
      <c r="N54" s="12" t="n">
        <v>32.6</v>
      </c>
      <c r="O54" s="12" t="n">
        <v>32.6</v>
      </c>
      <c r="P54" s="13" t="n">
        <v>28</v>
      </c>
      <c r="Q54" s="12"/>
      <c r="R54" s="14" t="n">
        <v>0.022</v>
      </c>
      <c r="S54" s="6" t="n">
        <v>0</v>
      </c>
      <c r="T54" s="6"/>
      <c r="U54" s="15" t="n">
        <f aca="false">(S54*R54+0.5*(1-(P54/N54)^2)+(1-(P54/O54)^2)^2)*(O54/P54)^4</f>
        <v>0.367416288785923</v>
      </c>
      <c r="V54" s="14"/>
      <c r="W54" s="14"/>
      <c r="X54" s="10" t="s">
        <v>47</v>
      </c>
      <c r="Y54" s="16"/>
      <c r="Z54" s="17" t="s">
        <v>48</v>
      </c>
      <c r="AA54" s="6"/>
      <c r="AB54" s="18" t="n">
        <f aca="false">IF(O54="","",$D$3*PI()*(O54/1000)^2/4*3600)</f>
        <v>4.50732466151427</v>
      </c>
      <c r="AC54" s="19" t="n">
        <f aca="false">IF(OR(U54="",NOT(ISNUMBER(U54))),"",U54*$D$3^2/(2*$H$3))</f>
        <v>0.0421348955029728</v>
      </c>
      <c r="AD54" s="20" t="n">
        <f aca="false">IF(OR(U54="",NOT(ISNUMBER(U54))),"",U54*$D$3^2/2*$F$3)</f>
        <v>413.343324884163</v>
      </c>
      <c r="AE54" s="19" t="str">
        <f aca="false">IF(OR(V54="",NOT(ISNUMBER(V54))),"",V54*$D$3^2/(2*$H$3))</f>
        <v/>
      </c>
      <c r="AF54" s="20" t="str">
        <f aca="false">IF(OR(V54="",NOT(ISNUMBER(V54))),"",V54*$D$3^2/2*$F$3)</f>
        <v/>
      </c>
      <c r="AG54" s="19" t="str">
        <f aca="false">IF(OR(W54="",NOT(ISNUMBER(W54))),"",W54*$D$3^2/(2*$H$3))</f>
        <v/>
      </c>
      <c r="AH54" s="20" t="str">
        <f aca="false">IF(OR(W54="",NOT(ISNUMBER(W54))),"",W54*$D$3^2/2*$F$3)</f>
        <v/>
      </c>
    </row>
    <row r="55" customFormat="false" ht="15" hidden="false" customHeight="false" outlineLevel="0" collapsed="false">
      <c r="A55" s="10" t="s">
        <v>164</v>
      </c>
      <c r="B55" s="11" t="s">
        <v>41</v>
      </c>
      <c r="C55" s="6" t="s">
        <v>42</v>
      </c>
      <c r="D55" s="6" t="s">
        <v>165</v>
      </c>
      <c r="E55" s="6" t="s">
        <v>145</v>
      </c>
      <c r="F55" s="6" t="s">
        <v>107</v>
      </c>
      <c r="G55" s="6" t="n">
        <v>40</v>
      </c>
      <c r="H55" s="6"/>
      <c r="I55" s="6" t="s">
        <v>130</v>
      </c>
      <c r="J55" s="6" t="n">
        <v>16</v>
      </c>
      <c r="K55" s="6" t="s">
        <v>46</v>
      </c>
      <c r="L55" s="6" t="n">
        <v>95</v>
      </c>
      <c r="M55" s="6" t="n">
        <v>72</v>
      </c>
      <c r="N55" s="12" t="n">
        <v>32.6</v>
      </c>
      <c r="O55" s="12" t="n">
        <v>32.6</v>
      </c>
      <c r="P55" s="13" t="n">
        <v>28</v>
      </c>
      <c r="Q55" s="12"/>
      <c r="R55" s="14" t="n">
        <v>0.022</v>
      </c>
      <c r="S55" s="6" t="n">
        <v>0</v>
      </c>
      <c r="T55" s="6"/>
      <c r="U55" s="15" t="n">
        <f aca="false">(S55*R55+0.5*(1-(P55/N55)^2)+(1-(P55/O55)^2)^2)*(O55/P55)^4</f>
        <v>0.367416288785923</v>
      </c>
      <c r="V55" s="14"/>
      <c r="W55" s="14"/>
      <c r="X55" s="10" t="s">
        <v>47</v>
      </c>
      <c r="Y55" s="16"/>
      <c r="Z55" s="17" t="s">
        <v>48</v>
      </c>
      <c r="AA55" s="6"/>
      <c r="AB55" s="18" t="n">
        <f aca="false">IF(O55="","",$D$3*PI()*(O55/1000)^2/4*3600)</f>
        <v>4.50732466151427</v>
      </c>
      <c r="AC55" s="19" t="n">
        <f aca="false">IF(OR(U55="",NOT(ISNUMBER(U55))),"",U55*$D$3^2/(2*$H$3))</f>
        <v>0.0421348955029728</v>
      </c>
      <c r="AD55" s="20" t="n">
        <f aca="false">IF(OR(U55="",NOT(ISNUMBER(U55))),"",U55*$D$3^2/2*$F$3)</f>
        <v>413.343324884163</v>
      </c>
      <c r="AE55" s="19" t="str">
        <f aca="false">IF(OR(V55="",NOT(ISNUMBER(V55))),"",V55*$D$3^2/(2*$H$3))</f>
        <v/>
      </c>
      <c r="AF55" s="20" t="str">
        <f aca="false">IF(OR(V55="",NOT(ISNUMBER(V55))),"",V55*$D$3^2/2*$F$3)</f>
        <v/>
      </c>
      <c r="AG55" s="19" t="str">
        <f aca="false">IF(OR(W55="",NOT(ISNUMBER(W55))),"",W55*$D$3^2/(2*$H$3))</f>
        <v/>
      </c>
      <c r="AH55" s="20" t="str">
        <f aca="false">IF(OR(W55="",NOT(ISNUMBER(W55))),"",W55*$D$3^2/2*$F$3)</f>
        <v/>
      </c>
    </row>
    <row r="56" customFormat="false" ht="15" hidden="false" customHeight="false" outlineLevel="0" collapsed="false">
      <c r="A56" s="10" t="s">
        <v>166</v>
      </c>
      <c r="B56" s="11" t="s">
        <v>41</v>
      </c>
      <c r="C56" s="6" t="s">
        <v>42</v>
      </c>
      <c r="D56" s="6" t="s">
        <v>167</v>
      </c>
      <c r="E56" s="6" t="s">
        <v>145</v>
      </c>
      <c r="F56" s="6" t="s">
        <v>107</v>
      </c>
      <c r="G56" s="6" t="n">
        <v>50</v>
      </c>
      <c r="H56" s="6"/>
      <c r="I56" s="6" t="s">
        <v>130</v>
      </c>
      <c r="J56" s="6" t="n">
        <v>16</v>
      </c>
      <c r="K56" s="6" t="s">
        <v>46</v>
      </c>
      <c r="L56" s="6" t="n">
        <v>114</v>
      </c>
      <c r="M56" s="6" t="n">
        <v>86</v>
      </c>
      <c r="N56" s="12" t="n">
        <v>40.8</v>
      </c>
      <c r="O56" s="12" t="n">
        <v>40.8</v>
      </c>
      <c r="P56" s="13" t="n">
        <v>35</v>
      </c>
      <c r="Q56" s="12"/>
      <c r="R56" s="14" t="n">
        <v>0.021</v>
      </c>
      <c r="S56" s="6" t="n">
        <v>0</v>
      </c>
      <c r="T56" s="6"/>
      <c r="U56" s="15" t="n">
        <f aca="false">(S56*R56+0.5*(1-(P56/N56)^2)+(1-(P56/O56)^2)^2)*(O56/P56)^4</f>
        <v>0.372647726380675</v>
      </c>
      <c r="V56" s="14"/>
      <c r="W56" s="14"/>
      <c r="X56" s="10" t="s">
        <v>47</v>
      </c>
      <c r="Y56" s="16"/>
      <c r="Z56" s="17" t="s">
        <v>48</v>
      </c>
      <c r="AA56" s="6"/>
      <c r="AB56" s="18" t="n">
        <f aca="false">IF(O56="","",$D$3*PI()*(O56/1000)^2/4*3600)</f>
        <v>7.05998807307681</v>
      </c>
      <c r="AC56" s="19" t="n">
        <f aca="false">IF(OR(U56="",NOT(ISNUMBER(U56))),"",U56*$D$3^2/(2*$H$3))</f>
        <v>0.0427348310069581</v>
      </c>
      <c r="AD56" s="20" t="n">
        <f aca="false">IF(OR(U56="",NOT(ISNUMBER(U56))),"",U56*$D$3^2/2*$F$3)</f>
        <v>419.228692178259</v>
      </c>
      <c r="AE56" s="19" t="str">
        <f aca="false">IF(OR(V56="",NOT(ISNUMBER(V56))),"",V56*$D$3^2/(2*$H$3))</f>
        <v/>
      </c>
      <c r="AF56" s="20" t="str">
        <f aca="false">IF(OR(V56="",NOT(ISNUMBER(V56))),"",V56*$D$3^2/2*$F$3)</f>
        <v/>
      </c>
      <c r="AG56" s="19" t="str">
        <f aca="false">IF(OR(W56="",NOT(ISNUMBER(W56))),"",W56*$D$3^2/(2*$H$3))</f>
        <v/>
      </c>
      <c r="AH56" s="20" t="str">
        <f aca="false">IF(OR(W56="",NOT(ISNUMBER(W56))),"",W56*$D$3^2/2*$F$3)</f>
        <v/>
      </c>
    </row>
    <row r="57" customFormat="false" ht="15" hidden="false" customHeight="false" outlineLevel="0" collapsed="false">
      <c r="A57" s="10" t="s">
        <v>168</v>
      </c>
      <c r="B57" s="11" t="s">
        <v>41</v>
      </c>
      <c r="C57" s="6" t="s">
        <v>42</v>
      </c>
      <c r="D57" s="6" t="s">
        <v>169</v>
      </c>
      <c r="E57" s="6" t="s">
        <v>145</v>
      </c>
      <c r="F57" s="6" t="s">
        <v>107</v>
      </c>
      <c r="G57" s="6" t="n">
        <v>63</v>
      </c>
      <c r="H57" s="6"/>
      <c r="I57" s="6" t="s">
        <v>133</v>
      </c>
      <c r="J57" s="6" t="n">
        <v>16</v>
      </c>
      <c r="K57" s="6" t="s">
        <v>46</v>
      </c>
      <c r="L57" s="6" t="n">
        <v>134</v>
      </c>
      <c r="M57" s="6" t="n">
        <v>104</v>
      </c>
      <c r="N57" s="12" t="n">
        <v>51.4</v>
      </c>
      <c r="O57" s="12" t="n">
        <v>51.4</v>
      </c>
      <c r="P57" s="13" t="n">
        <v>45</v>
      </c>
      <c r="Q57" s="12"/>
      <c r="R57" s="14" t="n">
        <v>0.019</v>
      </c>
      <c r="S57" s="6" t="n">
        <v>0</v>
      </c>
      <c r="T57" s="6"/>
      <c r="U57" s="15" t="n">
        <f aca="false">(S57*R57+0.5*(1-(P57/N57)^2)+(1-(P57/O57)^2)^2)*(O57/P57)^4</f>
        <v>0.291572982752629</v>
      </c>
      <c r="V57" s="14"/>
      <c r="W57" s="14"/>
      <c r="X57" s="10" t="s">
        <v>47</v>
      </c>
      <c r="Y57" s="16"/>
      <c r="Z57" s="17" t="s">
        <v>48</v>
      </c>
      <c r="AA57" s="6"/>
      <c r="AB57" s="18" t="n">
        <f aca="false">IF(O57="","",$D$3*PI()*(O57/1000)^2/4*3600)</f>
        <v>11.2049488715554</v>
      </c>
      <c r="AC57" s="19" t="n">
        <f aca="false">IF(OR(U57="",NOT(ISNUMBER(U57))),"",U57*$D$3^2/(2*$H$3))</f>
        <v>0.0334372686642924</v>
      </c>
      <c r="AD57" s="20" t="n">
        <f aca="false">IF(OR(U57="",NOT(ISNUMBER(U57))),"",U57*$D$3^2/2*$F$3)</f>
        <v>328.019605596708</v>
      </c>
      <c r="AE57" s="19" t="str">
        <f aca="false">IF(OR(V57="",NOT(ISNUMBER(V57))),"",V57*$D$3^2/(2*$H$3))</f>
        <v/>
      </c>
      <c r="AF57" s="20" t="str">
        <f aca="false">IF(OR(V57="",NOT(ISNUMBER(V57))),"",V57*$D$3^2/2*$F$3)</f>
        <v/>
      </c>
      <c r="AG57" s="19" t="str">
        <f aca="false">IF(OR(W57="",NOT(ISNUMBER(W57))),"",W57*$D$3^2/(2*$H$3))</f>
        <v/>
      </c>
      <c r="AH57" s="20" t="str">
        <f aca="false">IF(OR(W57="",NOT(ISNUMBER(W57))),"",W57*$D$3^2/2*$F$3)</f>
        <v/>
      </c>
    </row>
    <row r="58" customFormat="false" ht="15" hidden="false" customHeight="false" outlineLevel="0" collapsed="false">
      <c r="A58" s="10" t="s">
        <v>170</v>
      </c>
      <c r="B58" s="11" t="s">
        <v>41</v>
      </c>
      <c r="C58" s="6" t="s">
        <v>42</v>
      </c>
      <c r="D58" s="6" t="s">
        <v>171</v>
      </c>
      <c r="E58" s="6" t="s">
        <v>145</v>
      </c>
      <c r="F58" s="6" t="s">
        <v>107</v>
      </c>
      <c r="G58" s="6" t="n">
        <v>75</v>
      </c>
      <c r="H58" s="6"/>
      <c r="I58" s="6" t="s">
        <v>133</v>
      </c>
      <c r="J58" s="6" t="n">
        <v>16</v>
      </c>
      <c r="K58" s="6" t="s">
        <v>46</v>
      </c>
      <c r="L58" s="6" t="n">
        <v>148</v>
      </c>
      <c r="M58" s="6" t="n">
        <v>131</v>
      </c>
      <c r="N58" s="12" t="n">
        <v>61.4</v>
      </c>
      <c r="O58" s="12" t="n">
        <v>61.4</v>
      </c>
      <c r="P58" s="13" t="n">
        <v>54</v>
      </c>
      <c r="Q58" s="12"/>
      <c r="R58" s="14" t="n">
        <v>0.018</v>
      </c>
      <c r="S58" s="6" t="n">
        <v>0</v>
      </c>
      <c r="T58" s="6"/>
      <c r="U58" s="15" t="n">
        <f aca="false">(S58*R58+0.5*(1-(P58/N58)^2)+(1-(P58/O58)^2)^2)*(O58/P58)^4</f>
        <v>0.275071127651047</v>
      </c>
      <c r="V58" s="14"/>
      <c r="W58" s="14"/>
      <c r="X58" s="10" t="s">
        <v>47</v>
      </c>
      <c r="Y58" s="16"/>
      <c r="Z58" s="17" t="s">
        <v>48</v>
      </c>
      <c r="AA58" s="6"/>
      <c r="AB58" s="18" t="n">
        <f aca="false">IF(O58="","",$D$3*PI()*(O58/1000)^2/4*3600)</f>
        <v>15.988966164442</v>
      </c>
      <c r="AC58" s="19" t="n">
        <f aca="false">IF(OR(U58="",NOT(ISNUMBER(U58))),"",U58*$D$3^2/(2*$H$3))</f>
        <v>0.0315448540884228</v>
      </c>
      <c r="AD58" s="20" t="n">
        <f aca="false">IF(OR(U58="",NOT(ISNUMBER(U58))),"",U58*$D$3^2/2*$F$3)</f>
        <v>309.455018607428</v>
      </c>
      <c r="AE58" s="19" t="str">
        <f aca="false">IF(OR(V58="",NOT(ISNUMBER(V58))),"",V58*$D$3^2/(2*$H$3))</f>
        <v/>
      </c>
      <c r="AF58" s="20" t="str">
        <f aca="false">IF(OR(V58="",NOT(ISNUMBER(V58))),"",V58*$D$3^2/2*$F$3)</f>
        <v/>
      </c>
      <c r="AG58" s="19" t="str">
        <f aca="false">IF(OR(W58="",NOT(ISNUMBER(W58))),"",W58*$D$3^2/(2*$H$3))</f>
        <v/>
      </c>
      <c r="AH58" s="20" t="str">
        <f aca="false">IF(OR(W58="",NOT(ISNUMBER(W58))),"",W58*$D$3^2/2*$F$3)</f>
        <v/>
      </c>
    </row>
    <row r="59" customFormat="false" ht="15" hidden="false" customHeight="false" outlineLevel="0" collapsed="false">
      <c r="A59" s="10" t="s">
        <v>172</v>
      </c>
      <c r="B59" s="11" t="s">
        <v>41</v>
      </c>
      <c r="C59" s="6" t="s">
        <v>42</v>
      </c>
      <c r="D59" s="6" t="s">
        <v>173</v>
      </c>
      <c r="E59" s="6" t="s">
        <v>145</v>
      </c>
      <c r="F59" s="6" t="s">
        <v>107</v>
      </c>
      <c r="G59" s="6" t="n">
        <v>75</v>
      </c>
      <c r="H59" s="6"/>
      <c r="I59" s="6" t="s">
        <v>136</v>
      </c>
      <c r="J59" s="6" t="n">
        <v>16</v>
      </c>
      <c r="K59" s="6" t="s">
        <v>46</v>
      </c>
      <c r="L59" s="6" t="n">
        <v>156</v>
      </c>
      <c r="M59" s="6" t="n">
        <v>131</v>
      </c>
      <c r="N59" s="12" t="n">
        <v>61.4</v>
      </c>
      <c r="O59" s="12" t="n">
        <v>61.4</v>
      </c>
      <c r="P59" s="13" t="n">
        <v>54</v>
      </c>
      <c r="Q59" s="12"/>
      <c r="R59" s="14" t="n">
        <v>0.018</v>
      </c>
      <c r="S59" s="6" t="n">
        <v>0</v>
      </c>
      <c r="T59" s="6"/>
      <c r="U59" s="15" t="n">
        <f aca="false">(S59*R59+0.5*(1-(P59/N59)^2)+(1-(P59/O59)^2)^2)*(O59/P59)^4</f>
        <v>0.275071127651047</v>
      </c>
      <c r="V59" s="14"/>
      <c r="W59" s="14"/>
      <c r="X59" s="10" t="s">
        <v>47</v>
      </c>
      <c r="Y59" s="16"/>
      <c r="Z59" s="17" t="s">
        <v>48</v>
      </c>
      <c r="AA59" s="6"/>
      <c r="AB59" s="18" t="n">
        <f aca="false">IF(O59="","",$D$3*PI()*(O59/1000)^2/4*3600)</f>
        <v>15.988966164442</v>
      </c>
      <c r="AC59" s="19" t="n">
        <f aca="false">IF(OR(U59="",NOT(ISNUMBER(U59))),"",U59*$D$3^2/(2*$H$3))</f>
        <v>0.0315448540884228</v>
      </c>
      <c r="AD59" s="20" t="n">
        <f aca="false">IF(OR(U59="",NOT(ISNUMBER(U59))),"",U59*$D$3^2/2*$F$3)</f>
        <v>309.455018607428</v>
      </c>
      <c r="AE59" s="19" t="str">
        <f aca="false">IF(OR(V59="",NOT(ISNUMBER(V59))),"",V59*$D$3^2/(2*$H$3))</f>
        <v/>
      </c>
      <c r="AF59" s="20" t="str">
        <f aca="false">IF(OR(V59="",NOT(ISNUMBER(V59))),"",V59*$D$3^2/2*$F$3)</f>
        <v/>
      </c>
      <c r="AG59" s="19" t="str">
        <f aca="false">IF(OR(W59="",NOT(ISNUMBER(W59))),"",W59*$D$3^2/(2*$H$3))</f>
        <v/>
      </c>
      <c r="AH59" s="20" t="str">
        <f aca="false">IF(OR(W59="",NOT(ISNUMBER(W59))),"",W59*$D$3^2/2*$F$3)</f>
        <v/>
      </c>
    </row>
    <row r="60" customFormat="false" ht="15" hidden="false" customHeight="false" outlineLevel="0" collapsed="false">
      <c r="A60" s="10" t="s">
        <v>174</v>
      </c>
      <c r="B60" s="11" t="s">
        <v>41</v>
      </c>
      <c r="C60" s="6" t="s">
        <v>42</v>
      </c>
      <c r="D60" s="6" t="s">
        <v>175</v>
      </c>
      <c r="E60" s="6" t="s">
        <v>145</v>
      </c>
      <c r="F60" s="6" t="s">
        <v>107</v>
      </c>
      <c r="G60" s="6" t="n">
        <v>90</v>
      </c>
      <c r="H60" s="6"/>
      <c r="I60" s="6" t="s">
        <v>139</v>
      </c>
      <c r="J60" s="6" t="n">
        <v>16</v>
      </c>
      <c r="K60" s="6" t="s">
        <v>46</v>
      </c>
      <c r="L60" s="6" t="n">
        <v>172</v>
      </c>
      <c r="M60" s="6" t="n">
        <v>154</v>
      </c>
      <c r="N60" s="12" t="n">
        <v>73.6</v>
      </c>
      <c r="O60" s="12" t="n">
        <v>73.6</v>
      </c>
      <c r="P60" s="13" t="n">
        <v>66</v>
      </c>
      <c r="Q60" s="12"/>
      <c r="R60" s="14" t="n">
        <v>0.018</v>
      </c>
      <c r="S60" s="6" t="n">
        <v>0</v>
      </c>
      <c r="T60" s="6"/>
      <c r="U60" s="15" t="n">
        <f aca="false">(S60*R60+0.5*(1-(P60/N60)^2)+(1-(P60/O60)^2)^2)*(O60/P60)^4</f>
        <v>0.210765781531822</v>
      </c>
      <c r="V60" s="14"/>
      <c r="W60" s="14"/>
      <c r="X60" s="10" t="s">
        <v>47</v>
      </c>
      <c r="Y60" s="16"/>
      <c r="Z60" s="17" t="s">
        <v>48</v>
      </c>
      <c r="AA60" s="6"/>
      <c r="AB60" s="18" t="n">
        <f aca="false">IF(O60="","",$D$3*PI()*(O60/1000)^2/4*3600)</f>
        <v>22.9741403500662</v>
      </c>
      <c r="AC60" s="19" t="n">
        <f aca="false">IF(OR(U60="",NOT(ISNUMBER(U60))),"",U60*$D$3^2/(2*$H$3))</f>
        <v>0.0241703877903465</v>
      </c>
      <c r="AD60" s="20" t="n">
        <f aca="false">IF(OR(U60="",NOT(ISNUMBER(U60))),"",U60*$D$3^2/2*$F$3)</f>
        <v>237.1115042233</v>
      </c>
      <c r="AE60" s="19" t="str">
        <f aca="false">IF(OR(V60="",NOT(ISNUMBER(V60))),"",V60*$D$3^2/(2*$H$3))</f>
        <v/>
      </c>
      <c r="AF60" s="20" t="str">
        <f aca="false">IF(OR(V60="",NOT(ISNUMBER(V60))),"",V60*$D$3^2/2*$F$3)</f>
        <v/>
      </c>
      <c r="AG60" s="19" t="str">
        <f aca="false">IF(OR(W60="",NOT(ISNUMBER(W60))),"",W60*$D$3^2/(2*$H$3))</f>
        <v/>
      </c>
      <c r="AH60" s="20" t="str">
        <f aca="false">IF(OR(W60="",NOT(ISNUMBER(W60))),"",W60*$D$3^2/2*$F$3)</f>
        <v/>
      </c>
    </row>
    <row r="61" customFormat="false" ht="15" hidden="false" customHeight="false" outlineLevel="0" collapsed="false">
      <c r="A61" s="10" t="s">
        <v>176</v>
      </c>
      <c r="B61" s="11" t="s">
        <v>41</v>
      </c>
      <c r="C61" s="6" t="s">
        <v>42</v>
      </c>
      <c r="D61" s="6" t="s">
        <v>177</v>
      </c>
      <c r="E61" s="6" t="s">
        <v>145</v>
      </c>
      <c r="F61" s="6" t="s">
        <v>107</v>
      </c>
      <c r="G61" s="6" t="n">
        <v>110</v>
      </c>
      <c r="H61" s="6"/>
      <c r="I61" s="6" t="s">
        <v>142</v>
      </c>
      <c r="J61" s="6" t="n">
        <v>16</v>
      </c>
      <c r="K61" s="6" t="s">
        <v>46</v>
      </c>
      <c r="L61" s="6" t="n">
        <v>190</v>
      </c>
      <c r="M61" s="6" t="n">
        <v>181</v>
      </c>
      <c r="N61" s="12" t="n">
        <v>90</v>
      </c>
      <c r="O61" s="12" t="n">
        <v>90</v>
      </c>
      <c r="P61" s="13" t="n">
        <v>81</v>
      </c>
      <c r="Q61" s="12"/>
      <c r="R61" s="14" t="n">
        <v>0.017</v>
      </c>
      <c r="S61" s="6" t="n">
        <v>0</v>
      </c>
      <c r="T61" s="6"/>
      <c r="U61" s="15" t="n">
        <f aca="false">(S61*R61+0.5*(1-(P61/N61)^2)+(1-(P61/O61)^2)^2)*(O61/P61)^4</f>
        <v>0.199817101051669</v>
      </c>
      <c r="V61" s="14"/>
      <c r="W61" s="14"/>
      <c r="X61" s="10" t="s">
        <v>47</v>
      </c>
      <c r="Y61" s="16"/>
      <c r="Z61" s="17" t="s">
        <v>48</v>
      </c>
      <c r="AA61" s="6"/>
      <c r="AB61" s="18" t="n">
        <f aca="false">IF(O61="","",$D$3*PI()*(O61/1000)^2/4*3600)</f>
        <v>34.3533156670044</v>
      </c>
      <c r="AC61" s="19" t="n">
        <f aca="false">IF(OR(U61="",NOT(ISNUMBER(U61))),"",U61*$D$3^2/(2*$H$3))</f>
        <v>0.0229148051664758</v>
      </c>
      <c r="AD61" s="20" t="n">
        <f aca="false">IF(OR(U61="",NOT(ISNUMBER(U61))),"",U61*$D$3^2/2*$F$3)</f>
        <v>224.794238683128</v>
      </c>
      <c r="AE61" s="19" t="str">
        <f aca="false">IF(OR(V61="",NOT(ISNUMBER(V61))),"",V61*$D$3^2/(2*$H$3))</f>
        <v/>
      </c>
      <c r="AF61" s="20" t="str">
        <f aca="false">IF(OR(V61="",NOT(ISNUMBER(V61))),"",V61*$D$3^2/2*$F$3)</f>
        <v/>
      </c>
      <c r="AG61" s="19" t="str">
        <f aca="false">IF(OR(W61="",NOT(ISNUMBER(W61))),"",W61*$D$3^2/(2*$H$3))</f>
        <v/>
      </c>
      <c r="AH61" s="20" t="str">
        <f aca="false">IF(OR(W61="",NOT(ISNUMBER(W61))),"",W61*$D$3^2/2*$F$3)</f>
        <v/>
      </c>
    </row>
    <row r="62" customFormat="false" ht="15" hidden="false" customHeight="false" outlineLevel="0" collapsed="false">
      <c r="A62" s="10" t="s">
        <v>178</v>
      </c>
      <c r="B62" s="11" t="s">
        <v>41</v>
      </c>
      <c r="C62" s="6" t="s">
        <v>42</v>
      </c>
      <c r="D62" s="6" t="s">
        <v>179</v>
      </c>
      <c r="E62" s="6" t="s">
        <v>180</v>
      </c>
      <c r="F62" s="6" t="s">
        <v>181</v>
      </c>
      <c r="G62" s="6" t="n">
        <v>20</v>
      </c>
      <c r="H62" s="6"/>
      <c r="I62" s="6"/>
      <c r="J62" s="6" t="n">
        <v>16</v>
      </c>
      <c r="K62" s="6" t="s">
        <v>46</v>
      </c>
      <c r="L62" s="6" t="n">
        <v>78</v>
      </c>
      <c r="M62" s="6" t="n">
        <v>78</v>
      </c>
      <c r="N62" s="12" t="n">
        <v>16</v>
      </c>
      <c r="O62" s="12" t="n">
        <v>16</v>
      </c>
      <c r="P62" s="13" t="n">
        <v>13</v>
      </c>
      <c r="Q62" s="12"/>
      <c r="R62" s="14" t="n">
        <v>0.027</v>
      </c>
      <c r="S62" s="6" t="n">
        <v>30</v>
      </c>
      <c r="T62" s="6"/>
      <c r="U62" s="15" t="n">
        <f aca="false">(S62*R62+0.5*(1-(P62/N62)^2)+(1-(P62/O62)^2)^2)*(O62/P62)^4</f>
        <v>2.51353804138511</v>
      </c>
      <c r="V62" s="14"/>
      <c r="W62" s="14"/>
      <c r="X62" s="10" t="s">
        <v>47</v>
      </c>
      <c r="Y62" s="16"/>
      <c r="Z62" s="17" t="s">
        <v>48</v>
      </c>
      <c r="AA62" s="6"/>
      <c r="AB62" s="18" t="n">
        <f aca="false">IF(O62="","",$D$3*PI()*(O62/1000)^2/4*3600)</f>
        <v>1.08573442108063</v>
      </c>
      <c r="AC62" s="19" t="n">
        <f aca="false">IF(OR(U62="",NOT(ISNUMBER(U62))),"",U62*$D$3^2/(2*$H$3))</f>
        <v>0.2882497753882</v>
      </c>
      <c r="AD62" s="20" t="n">
        <f aca="false">IF(OR(U62="",NOT(ISNUMBER(U62))),"",U62*$D$3^2/2*$F$3)</f>
        <v>2827.73029655824</v>
      </c>
      <c r="AE62" s="19" t="str">
        <f aca="false">IF(OR(V62="",NOT(ISNUMBER(V62))),"",V62*$D$3^2/(2*$H$3))</f>
        <v/>
      </c>
      <c r="AF62" s="20" t="str">
        <f aca="false">IF(OR(V62="",NOT(ISNUMBER(V62))),"",V62*$D$3^2/2*$F$3)</f>
        <v/>
      </c>
      <c r="AG62" s="19" t="str">
        <f aca="false">IF(OR(W62="",NOT(ISNUMBER(W62))),"",W62*$D$3^2/(2*$H$3))</f>
        <v/>
      </c>
      <c r="AH62" s="20" t="str">
        <f aca="false">IF(OR(W62="",NOT(ISNUMBER(W62))),"",W62*$D$3^2/2*$F$3)</f>
        <v/>
      </c>
    </row>
    <row r="63" customFormat="false" ht="15" hidden="false" customHeight="false" outlineLevel="0" collapsed="false">
      <c r="A63" s="10" t="s">
        <v>182</v>
      </c>
      <c r="B63" s="11" t="s">
        <v>41</v>
      </c>
      <c r="C63" s="6" t="s">
        <v>42</v>
      </c>
      <c r="D63" s="6" t="s">
        <v>183</v>
      </c>
      <c r="E63" s="6" t="s">
        <v>180</v>
      </c>
      <c r="F63" s="6" t="s">
        <v>181</v>
      </c>
      <c r="G63" s="6" t="n">
        <v>25</v>
      </c>
      <c r="H63" s="6"/>
      <c r="I63" s="6"/>
      <c r="J63" s="6" t="n">
        <v>16</v>
      </c>
      <c r="K63" s="6" t="s">
        <v>46</v>
      </c>
      <c r="L63" s="6" t="n">
        <v>88</v>
      </c>
      <c r="M63" s="6" t="n">
        <v>88</v>
      </c>
      <c r="N63" s="12" t="n">
        <v>20.4</v>
      </c>
      <c r="O63" s="12" t="n">
        <v>20.4</v>
      </c>
      <c r="P63" s="13" t="n">
        <v>17</v>
      </c>
      <c r="Q63" s="12"/>
      <c r="R63" s="14" t="n">
        <v>0.025</v>
      </c>
      <c r="S63" s="6" t="n">
        <v>30</v>
      </c>
      <c r="T63" s="6"/>
      <c r="U63" s="15" t="n">
        <f aca="false">(S63*R63+0.5*(1-(P63/N63)^2)+(1-(P63/O63)^2)^2)*(O63/P63)^4</f>
        <v>2.0656</v>
      </c>
      <c r="V63" s="14"/>
      <c r="W63" s="14"/>
      <c r="X63" s="10" t="s">
        <v>47</v>
      </c>
      <c r="Y63" s="16"/>
      <c r="Z63" s="17" t="s">
        <v>48</v>
      </c>
      <c r="AA63" s="6"/>
      <c r="AB63" s="18" t="n">
        <f aca="false">IF(O63="","",$D$3*PI()*(O63/1000)^2/4*3600)</f>
        <v>1.7649970182692</v>
      </c>
      <c r="AC63" s="19" t="n">
        <f aca="false">IF(OR(U63="",NOT(ISNUMBER(U63))),"",U63*$D$3^2/(2*$H$3))</f>
        <v>0.236880733944954</v>
      </c>
      <c r="AD63" s="20" t="n">
        <f aca="false">IF(OR(U63="",NOT(ISNUMBER(U63))),"",U63*$D$3^2/2*$F$3)</f>
        <v>2323.8</v>
      </c>
      <c r="AE63" s="19" t="str">
        <f aca="false">IF(OR(V63="",NOT(ISNUMBER(V63))),"",V63*$D$3^2/(2*$H$3))</f>
        <v/>
      </c>
      <c r="AF63" s="20" t="str">
        <f aca="false">IF(OR(V63="",NOT(ISNUMBER(V63))),"",V63*$D$3^2/2*$F$3)</f>
        <v/>
      </c>
      <c r="AG63" s="19" t="str">
        <f aca="false">IF(OR(W63="",NOT(ISNUMBER(W63))),"",W63*$D$3^2/(2*$H$3))</f>
        <v/>
      </c>
      <c r="AH63" s="20" t="str">
        <f aca="false">IF(OR(W63="",NOT(ISNUMBER(W63))),"",W63*$D$3^2/2*$F$3)</f>
        <v/>
      </c>
    </row>
    <row r="64" customFormat="false" ht="15" hidden="false" customHeight="false" outlineLevel="0" collapsed="false">
      <c r="A64" s="10" t="s">
        <v>184</v>
      </c>
      <c r="B64" s="11" t="s">
        <v>41</v>
      </c>
      <c r="C64" s="6" t="s">
        <v>42</v>
      </c>
      <c r="D64" s="6" t="s">
        <v>185</v>
      </c>
      <c r="E64" s="6" t="s">
        <v>180</v>
      </c>
      <c r="F64" s="6" t="s">
        <v>181</v>
      </c>
      <c r="G64" s="6" t="n">
        <v>32</v>
      </c>
      <c r="H64" s="6"/>
      <c r="I64" s="6"/>
      <c r="J64" s="6" t="n">
        <v>16</v>
      </c>
      <c r="K64" s="6" t="s">
        <v>46</v>
      </c>
      <c r="L64" s="6" t="n">
        <v>109</v>
      </c>
      <c r="M64" s="6" t="n">
        <v>109</v>
      </c>
      <c r="N64" s="12" t="n">
        <v>26.2</v>
      </c>
      <c r="O64" s="12" t="n">
        <v>26.2</v>
      </c>
      <c r="P64" s="13" t="n">
        <v>22</v>
      </c>
      <c r="Q64" s="12"/>
      <c r="R64" s="14" t="n">
        <v>0.023</v>
      </c>
      <c r="S64" s="6" t="n">
        <v>30</v>
      </c>
      <c r="T64" s="6"/>
      <c r="U64" s="15" t="n">
        <f aca="false">(S64*R64+0.5*(1-(P64/N64)^2)+(1-(P64/O64)^2)^2)*(O64/P64)^4</f>
        <v>1.85946709234342</v>
      </c>
      <c r="V64" s="14"/>
      <c r="W64" s="14"/>
      <c r="X64" s="10" t="s">
        <v>47</v>
      </c>
      <c r="Y64" s="16"/>
      <c r="Z64" s="17" t="s">
        <v>48</v>
      </c>
      <c r="AA64" s="6"/>
      <c r="AB64" s="18" t="n">
        <f aca="false">IF(O64="","",$D$3*PI()*(O64/1000)^2/4*3600)</f>
        <v>2.91129506252574</v>
      </c>
      <c r="AC64" s="19" t="n">
        <f aca="false">IF(OR(U64="",NOT(ISNUMBER(U64))),"",U64*$D$3^2/(2*$H$3))</f>
        <v>0.213241639030209</v>
      </c>
      <c r="AD64" s="20" t="n">
        <f aca="false">IF(OR(U64="",NOT(ISNUMBER(U64))),"",U64*$D$3^2/2*$F$3)</f>
        <v>2091.90047888635</v>
      </c>
      <c r="AE64" s="19" t="str">
        <f aca="false">IF(OR(V64="",NOT(ISNUMBER(V64))),"",V64*$D$3^2/(2*$H$3))</f>
        <v/>
      </c>
      <c r="AF64" s="20" t="str">
        <f aca="false">IF(OR(V64="",NOT(ISNUMBER(V64))),"",V64*$D$3^2/2*$F$3)</f>
        <v/>
      </c>
      <c r="AG64" s="19" t="str">
        <f aca="false">IF(OR(W64="",NOT(ISNUMBER(W64))),"",W64*$D$3^2/(2*$H$3))</f>
        <v/>
      </c>
      <c r="AH64" s="20" t="str">
        <f aca="false">IF(OR(W64="",NOT(ISNUMBER(W64))),"",W64*$D$3^2/2*$F$3)</f>
        <v/>
      </c>
    </row>
    <row r="65" customFormat="false" ht="15" hidden="false" customHeight="false" outlineLevel="0" collapsed="false">
      <c r="A65" s="10" t="s">
        <v>186</v>
      </c>
      <c r="B65" s="11" t="s">
        <v>41</v>
      </c>
      <c r="C65" s="6" t="s">
        <v>42</v>
      </c>
      <c r="D65" s="6" t="s">
        <v>187</v>
      </c>
      <c r="E65" s="6" t="s">
        <v>180</v>
      </c>
      <c r="F65" s="6" t="s">
        <v>181</v>
      </c>
      <c r="G65" s="6" t="n">
        <v>40</v>
      </c>
      <c r="H65" s="6"/>
      <c r="I65" s="6"/>
      <c r="J65" s="6" t="n">
        <v>16</v>
      </c>
      <c r="K65" s="6" t="s">
        <v>46</v>
      </c>
      <c r="L65" s="6" t="n">
        <v>122</v>
      </c>
      <c r="M65" s="6" t="n">
        <v>122</v>
      </c>
      <c r="N65" s="12" t="n">
        <v>32.6</v>
      </c>
      <c r="O65" s="12" t="n">
        <v>32.6</v>
      </c>
      <c r="P65" s="13" t="n">
        <v>28</v>
      </c>
      <c r="Q65" s="12"/>
      <c r="R65" s="14" t="n">
        <v>0.022</v>
      </c>
      <c r="S65" s="6" t="n">
        <v>30</v>
      </c>
      <c r="T65" s="6"/>
      <c r="U65" s="15" t="n">
        <f aca="false">(S65*R65+0.5*(1-(P65/N65)^2)+(1-(P65/O65)^2)^2)*(O65/P65)^4</f>
        <v>1.5801968027905</v>
      </c>
      <c r="V65" s="14"/>
      <c r="W65" s="14"/>
      <c r="X65" s="10" t="s">
        <v>47</v>
      </c>
      <c r="Y65" s="16"/>
      <c r="Z65" s="17" t="s">
        <v>48</v>
      </c>
      <c r="AA65" s="6"/>
      <c r="AB65" s="18" t="n">
        <f aca="false">IF(O65="","",$D$3*PI()*(O65/1000)^2/4*3600)</f>
        <v>4.50732466151427</v>
      </c>
      <c r="AC65" s="19" t="n">
        <f aca="false">IF(OR(U65="",NOT(ISNUMBER(U65))),"",U65*$D$3^2/(2*$H$3))</f>
        <v>0.18121522967781</v>
      </c>
      <c r="AD65" s="20" t="n">
        <f aca="false">IF(OR(U65="",NOT(ISNUMBER(U65))),"",U65*$D$3^2/2*$F$3)</f>
        <v>1777.72140313932</v>
      </c>
      <c r="AE65" s="19" t="str">
        <f aca="false">IF(OR(V65="",NOT(ISNUMBER(V65))),"",V65*$D$3^2/(2*$H$3))</f>
        <v/>
      </c>
      <c r="AF65" s="20" t="str">
        <f aca="false">IF(OR(V65="",NOT(ISNUMBER(V65))),"",V65*$D$3^2/2*$F$3)</f>
        <v/>
      </c>
      <c r="AG65" s="19" t="str">
        <f aca="false">IF(OR(W65="",NOT(ISNUMBER(W65))),"",W65*$D$3^2/(2*$H$3))</f>
        <v/>
      </c>
      <c r="AH65" s="20" t="str">
        <f aca="false">IF(OR(W65="",NOT(ISNUMBER(W65))),"",W65*$D$3^2/2*$F$3)</f>
        <v/>
      </c>
    </row>
    <row r="66" customFormat="false" ht="15" hidden="false" customHeight="false" outlineLevel="0" collapsed="false">
      <c r="A66" s="10" t="s">
        <v>188</v>
      </c>
      <c r="B66" s="11" t="s">
        <v>41</v>
      </c>
      <c r="C66" s="6" t="s">
        <v>42</v>
      </c>
      <c r="D66" s="6" t="s">
        <v>189</v>
      </c>
      <c r="E66" s="6" t="s">
        <v>180</v>
      </c>
      <c r="F66" s="6" t="s">
        <v>181</v>
      </c>
      <c r="G66" s="6" t="n">
        <v>50</v>
      </c>
      <c r="H66" s="6"/>
      <c r="I66" s="6"/>
      <c r="J66" s="6" t="n">
        <v>16</v>
      </c>
      <c r="K66" s="6" t="s">
        <v>46</v>
      </c>
      <c r="L66" s="6" t="n">
        <v>154</v>
      </c>
      <c r="M66" s="6" t="n">
        <v>154</v>
      </c>
      <c r="N66" s="12" t="n">
        <v>40.8</v>
      </c>
      <c r="O66" s="12" t="n">
        <v>40.8</v>
      </c>
      <c r="P66" s="13" t="n">
        <v>35</v>
      </c>
      <c r="Q66" s="12"/>
      <c r="R66" s="14" t="n">
        <v>0.021</v>
      </c>
      <c r="S66" s="6" t="n">
        <v>30</v>
      </c>
      <c r="T66" s="6"/>
      <c r="U66" s="15" t="n">
        <f aca="false">(S66*R66+0.5*(1-(P66/N66)^2)+(1-(P66/O66)^2)^2)*(O66/P66)^4</f>
        <v>1.53599405717484</v>
      </c>
      <c r="V66" s="14"/>
      <c r="W66" s="14"/>
      <c r="X66" s="10" t="s">
        <v>47</v>
      </c>
      <c r="Y66" s="16"/>
      <c r="Z66" s="17" t="s">
        <v>48</v>
      </c>
      <c r="AA66" s="6"/>
      <c r="AB66" s="18" t="n">
        <f aca="false">IF(O66="","",$D$3*PI()*(O66/1000)^2/4*3600)</f>
        <v>7.05998807307681</v>
      </c>
      <c r="AC66" s="19" t="n">
        <f aca="false">IF(OR(U66="",NOT(ISNUMBER(U66))),"",U66*$D$3^2/(2*$H$3))</f>
        <v>0.176146107474179</v>
      </c>
      <c r="AD66" s="20" t="n">
        <f aca="false">IF(OR(U66="",NOT(ISNUMBER(U66))),"",U66*$D$3^2/2*$F$3)</f>
        <v>1727.9933143217</v>
      </c>
      <c r="AE66" s="19" t="str">
        <f aca="false">IF(OR(V66="",NOT(ISNUMBER(V66))),"",V66*$D$3^2/(2*$H$3))</f>
        <v/>
      </c>
      <c r="AF66" s="20" t="str">
        <f aca="false">IF(OR(V66="",NOT(ISNUMBER(V66))),"",V66*$D$3^2/2*$F$3)</f>
        <v/>
      </c>
      <c r="AG66" s="19" t="str">
        <f aca="false">IF(OR(W66="",NOT(ISNUMBER(W66))),"",W66*$D$3^2/(2*$H$3))</f>
        <v/>
      </c>
      <c r="AH66" s="20" t="str">
        <f aca="false">IF(OR(W66="",NOT(ISNUMBER(W66))),"",W66*$D$3^2/2*$F$3)</f>
        <v/>
      </c>
    </row>
    <row r="67" customFormat="false" ht="15" hidden="false" customHeight="false" outlineLevel="0" collapsed="false">
      <c r="A67" s="10" t="s">
        <v>190</v>
      </c>
      <c r="B67" s="11" t="s">
        <v>41</v>
      </c>
      <c r="C67" s="6" t="s">
        <v>42</v>
      </c>
      <c r="D67" s="6" t="s">
        <v>191</v>
      </c>
      <c r="E67" s="6" t="s">
        <v>180</v>
      </c>
      <c r="F67" s="6" t="s">
        <v>181</v>
      </c>
      <c r="G67" s="6" t="n">
        <v>63</v>
      </c>
      <c r="H67" s="6"/>
      <c r="I67" s="6"/>
      <c r="J67" s="6" t="n">
        <v>16</v>
      </c>
      <c r="K67" s="6" t="s">
        <v>46</v>
      </c>
      <c r="L67" s="6" t="n">
        <v>186</v>
      </c>
      <c r="M67" s="6" t="n">
        <v>186</v>
      </c>
      <c r="N67" s="12" t="n">
        <v>51.4</v>
      </c>
      <c r="O67" s="12" t="n">
        <v>51.4</v>
      </c>
      <c r="P67" s="13" t="n">
        <v>45</v>
      </c>
      <c r="Q67" s="12"/>
      <c r="R67" s="14" t="n">
        <v>0.019</v>
      </c>
      <c r="S67" s="6" t="n">
        <v>30</v>
      </c>
      <c r="T67" s="6"/>
      <c r="U67" s="15" t="n">
        <f aca="false">(S67*R67+0.5*(1-(P67/N67)^2)+(1-(P67/O67)^2)^2)*(O67/P67)^4</f>
        <v>1.26180874088999</v>
      </c>
      <c r="V67" s="14"/>
      <c r="W67" s="14"/>
      <c r="X67" s="10" t="s">
        <v>47</v>
      </c>
      <c r="Y67" s="16"/>
      <c r="Z67" s="17" t="s">
        <v>48</v>
      </c>
      <c r="AA67" s="6"/>
      <c r="AB67" s="18" t="n">
        <f aca="false">IF(O67="","",$D$3*PI()*(O67/1000)^2/4*3600)</f>
        <v>11.2049488715554</v>
      </c>
      <c r="AC67" s="19" t="n">
        <f aca="false">IF(OR(U67="",NOT(ISNUMBER(U67))),"",U67*$D$3^2/(2*$H$3))</f>
        <v>0.144702837258026</v>
      </c>
      <c r="AD67" s="20" t="n">
        <f aca="false">IF(OR(U67="",NOT(ISNUMBER(U67))),"",U67*$D$3^2/2*$F$3)</f>
        <v>1419.53483350123</v>
      </c>
      <c r="AE67" s="19" t="str">
        <f aca="false">IF(OR(V67="",NOT(ISNUMBER(V67))),"",V67*$D$3^2/(2*$H$3))</f>
        <v/>
      </c>
      <c r="AF67" s="20" t="str">
        <f aca="false">IF(OR(V67="",NOT(ISNUMBER(V67))),"",V67*$D$3^2/2*$F$3)</f>
        <v/>
      </c>
      <c r="AG67" s="19" t="str">
        <f aca="false">IF(OR(W67="",NOT(ISNUMBER(W67))),"",W67*$D$3^2/(2*$H$3))</f>
        <v/>
      </c>
      <c r="AH67" s="20" t="str">
        <f aca="false">IF(OR(W67="",NOT(ISNUMBER(W67))),"",W67*$D$3^2/2*$F$3)</f>
        <v/>
      </c>
    </row>
    <row r="68" customFormat="false" ht="15" hidden="false" customHeight="false" outlineLevel="0" collapsed="false">
      <c r="A68" s="10" t="s">
        <v>192</v>
      </c>
      <c r="B68" s="11" t="s">
        <v>41</v>
      </c>
      <c r="C68" s="6" t="s">
        <v>42</v>
      </c>
      <c r="D68" s="6" t="s">
        <v>193</v>
      </c>
      <c r="E68" s="6" t="s">
        <v>180</v>
      </c>
      <c r="F68" s="6" t="s">
        <v>181</v>
      </c>
      <c r="G68" s="6" t="n">
        <v>75</v>
      </c>
      <c r="H68" s="6"/>
      <c r="I68" s="6"/>
      <c r="J68" s="6" t="n">
        <v>16</v>
      </c>
      <c r="K68" s="6" t="s">
        <v>46</v>
      </c>
      <c r="L68" s="6" t="n">
        <v>230</v>
      </c>
      <c r="M68" s="6" t="n">
        <v>230</v>
      </c>
      <c r="N68" s="12" t="n">
        <v>61.4</v>
      </c>
      <c r="O68" s="12" t="n">
        <v>61.4</v>
      </c>
      <c r="P68" s="13" t="n">
        <v>54</v>
      </c>
      <c r="Q68" s="12"/>
      <c r="R68" s="14" t="n">
        <v>0.018</v>
      </c>
      <c r="S68" s="6" t="n">
        <v>30</v>
      </c>
      <c r="T68" s="6"/>
      <c r="U68" s="15" t="n">
        <f aca="false">(S68*R68+0.5*(1-(P68/N68)^2)+(1-(P68/O68)^2)^2)*(O68/P68)^4</f>
        <v>1.17766463483999</v>
      </c>
      <c r="V68" s="14"/>
      <c r="W68" s="14"/>
      <c r="X68" s="10" t="s">
        <v>47</v>
      </c>
      <c r="Y68" s="16"/>
      <c r="Z68" s="17" t="s">
        <v>48</v>
      </c>
      <c r="AA68" s="6"/>
      <c r="AB68" s="18" t="n">
        <f aca="false">IF(O68="","",$D$3*PI()*(O68/1000)^2/4*3600)</f>
        <v>15.988966164442</v>
      </c>
      <c r="AC68" s="19" t="n">
        <f aca="false">IF(OR(U68="",NOT(ISNUMBER(U68))),"",U68*$D$3^2/(2*$H$3))</f>
        <v>0.135053283811926</v>
      </c>
      <c r="AD68" s="20" t="n">
        <f aca="false">IF(OR(U68="",NOT(ISNUMBER(U68))),"",U68*$D$3^2/2*$F$3)</f>
        <v>1324.87271419499</v>
      </c>
      <c r="AE68" s="19" t="str">
        <f aca="false">IF(OR(V68="",NOT(ISNUMBER(V68))),"",V68*$D$3^2/(2*$H$3))</f>
        <v/>
      </c>
      <c r="AF68" s="20" t="str">
        <f aca="false">IF(OR(V68="",NOT(ISNUMBER(V68))),"",V68*$D$3^2/2*$F$3)</f>
        <v/>
      </c>
      <c r="AG68" s="19" t="str">
        <f aca="false">IF(OR(W68="",NOT(ISNUMBER(W68))),"",W68*$D$3^2/(2*$H$3))</f>
        <v/>
      </c>
      <c r="AH68" s="20" t="str">
        <f aca="false">IF(OR(W68="",NOT(ISNUMBER(W68))),"",W68*$D$3^2/2*$F$3)</f>
        <v/>
      </c>
    </row>
    <row r="69" customFormat="false" ht="15" hidden="false" customHeight="false" outlineLevel="0" collapsed="false">
      <c r="A69" s="10" t="s">
        <v>194</v>
      </c>
      <c r="B69" s="11" t="s">
        <v>41</v>
      </c>
      <c r="C69" s="6" t="s">
        <v>42</v>
      </c>
      <c r="D69" s="6" t="s">
        <v>195</v>
      </c>
      <c r="E69" s="6" t="s">
        <v>180</v>
      </c>
      <c r="F69" s="6" t="s">
        <v>181</v>
      </c>
      <c r="G69" s="6" t="n">
        <v>90</v>
      </c>
      <c r="H69" s="6"/>
      <c r="I69" s="6"/>
      <c r="J69" s="6" t="n">
        <v>16</v>
      </c>
      <c r="K69" s="6" t="s">
        <v>46</v>
      </c>
      <c r="L69" s="6" t="n">
        <v>261</v>
      </c>
      <c r="M69" s="6" t="n">
        <v>261</v>
      </c>
      <c r="N69" s="12" t="n">
        <v>73.6</v>
      </c>
      <c r="O69" s="12" t="n">
        <v>73.6</v>
      </c>
      <c r="P69" s="13" t="n">
        <v>66</v>
      </c>
      <c r="Q69" s="12"/>
      <c r="R69" s="14" t="n">
        <v>0.018</v>
      </c>
      <c r="S69" s="6" t="n">
        <v>30</v>
      </c>
      <c r="T69" s="6"/>
      <c r="U69" s="15" t="n">
        <f aca="false">(S69*R69+0.5*(1-(P69/N69)^2)+(1-(P69/O69)^2)^2)*(O69/P69)^4</f>
        <v>1.04584807445353</v>
      </c>
      <c r="V69" s="14"/>
      <c r="W69" s="14"/>
      <c r="X69" s="10" t="s">
        <v>47</v>
      </c>
      <c r="Y69" s="16"/>
      <c r="Z69" s="17" t="s">
        <v>48</v>
      </c>
      <c r="AA69" s="6"/>
      <c r="AB69" s="18" t="n">
        <f aca="false">IF(O69="","",$D$3*PI()*(O69/1000)^2/4*3600)</f>
        <v>22.9741403500662</v>
      </c>
      <c r="AC69" s="19" t="n">
        <f aca="false">IF(OR(U69="",NOT(ISNUMBER(U69))),"",U69*$D$3^2/(2*$H$3))</f>
        <v>0.119936705785955</v>
      </c>
      <c r="AD69" s="20" t="n">
        <f aca="false">IF(OR(U69="",NOT(ISNUMBER(U69))),"",U69*$D$3^2/2*$F$3)</f>
        <v>1176.57908376022</v>
      </c>
      <c r="AE69" s="19" t="str">
        <f aca="false">IF(OR(V69="",NOT(ISNUMBER(V69))),"",V69*$D$3^2/(2*$H$3))</f>
        <v/>
      </c>
      <c r="AF69" s="20" t="str">
        <f aca="false">IF(OR(V69="",NOT(ISNUMBER(V69))),"",V69*$D$3^2/2*$F$3)</f>
        <v/>
      </c>
      <c r="AG69" s="19" t="str">
        <f aca="false">IF(OR(W69="",NOT(ISNUMBER(W69))),"",W69*$D$3^2/(2*$H$3))</f>
        <v/>
      </c>
      <c r="AH69" s="20" t="str">
        <f aca="false">IF(OR(W69="",NOT(ISNUMBER(W69))),"",W69*$D$3^2/2*$F$3)</f>
        <v/>
      </c>
    </row>
    <row r="70" customFormat="false" ht="15" hidden="false" customHeight="false" outlineLevel="0" collapsed="false">
      <c r="A70" s="10" t="s">
        <v>196</v>
      </c>
      <c r="B70" s="11" t="s">
        <v>41</v>
      </c>
      <c r="C70" s="6" t="s">
        <v>42</v>
      </c>
      <c r="D70" s="6" t="s">
        <v>197</v>
      </c>
      <c r="E70" s="6" t="s">
        <v>180</v>
      </c>
      <c r="F70" s="6" t="s">
        <v>181</v>
      </c>
      <c r="G70" s="6" t="n">
        <v>110</v>
      </c>
      <c r="H70" s="6"/>
      <c r="I70" s="6"/>
      <c r="J70" s="6" t="n">
        <v>16</v>
      </c>
      <c r="K70" s="6" t="s">
        <v>46</v>
      </c>
      <c r="L70" s="6" t="n">
        <v>317</v>
      </c>
      <c r="M70" s="6" t="n">
        <v>317</v>
      </c>
      <c r="N70" s="12" t="n">
        <v>90</v>
      </c>
      <c r="O70" s="12" t="n">
        <v>90</v>
      </c>
      <c r="P70" s="13" t="n">
        <v>81</v>
      </c>
      <c r="Q70" s="12"/>
      <c r="R70" s="14" t="n">
        <v>0.017</v>
      </c>
      <c r="S70" s="6" t="n">
        <v>30</v>
      </c>
      <c r="T70" s="6"/>
      <c r="U70" s="15" t="n">
        <f aca="false">(S70*R70+0.5*(1-(P70/N70)^2)+(1-(P70/O70)^2)^2)*(O70/P70)^4</f>
        <v>0.977137631458619</v>
      </c>
      <c r="V70" s="14"/>
      <c r="W70" s="14"/>
      <c r="X70" s="10" t="s">
        <v>47</v>
      </c>
      <c r="Y70" s="16"/>
      <c r="Z70" s="17" t="s">
        <v>48</v>
      </c>
      <c r="AA70" s="6"/>
      <c r="AB70" s="18" t="n">
        <f aca="false">IF(O70="","",$D$3*PI()*(O70/1000)^2/4*3600)</f>
        <v>34.3533156670044</v>
      </c>
      <c r="AC70" s="19" t="n">
        <f aca="false">IF(OR(U70="",NOT(ISNUMBER(U70))),"",U70*$D$3^2/(2*$H$3))</f>
        <v>0.112057067827823</v>
      </c>
      <c r="AD70" s="20" t="n">
        <f aca="false">IF(OR(U70="",NOT(ISNUMBER(U70))),"",U70*$D$3^2/2*$F$3)</f>
        <v>1099.27983539095</v>
      </c>
      <c r="AE70" s="19" t="str">
        <f aca="false">IF(OR(V70="",NOT(ISNUMBER(V70))),"",V70*$D$3^2/(2*$H$3))</f>
        <v/>
      </c>
      <c r="AF70" s="20" t="str">
        <f aca="false">IF(OR(V70="",NOT(ISNUMBER(V70))),"",V70*$D$3^2/2*$F$3)</f>
        <v/>
      </c>
      <c r="AG70" s="19" t="str">
        <f aca="false">IF(OR(W70="",NOT(ISNUMBER(W70))),"",W70*$D$3^2/(2*$H$3))</f>
        <v/>
      </c>
      <c r="AH70" s="20" t="str">
        <f aca="false">IF(OR(W70="",NOT(ISNUMBER(W70))),"",W70*$D$3^2/2*$F$3)</f>
        <v/>
      </c>
    </row>
    <row r="71" customFormat="false" ht="15" hidden="false" customHeight="false" outlineLevel="0" collapsed="false">
      <c r="A71" s="10" t="s">
        <v>198</v>
      </c>
      <c r="B71" s="11" t="s">
        <v>41</v>
      </c>
      <c r="C71" s="6" t="s">
        <v>42</v>
      </c>
      <c r="D71" s="6" t="s">
        <v>199</v>
      </c>
      <c r="E71" s="6" t="s">
        <v>200</v>
      </c>
      <c r="F71" s="6" t="s">
        <v>181</v>
      </c>
      <c r="G71" s="6" t="n">
        <v>20</v>
      </c>
      <c r="H71" s="6"/>
      <c r="I71" s="6" t="s">
        <v>108</v>
      </c>
      <c r="J71" s="6" t="n">
        <v>16</v>
      </c>
      <c r="K71" s="6" t="s">
        <v>46</v>
      </c>
      <c r="L71" s="6" t="n">
        <v>70</v>
      </c>
      <c r="M71" s="6" t="n">
        <v>62</v>
      </c>
      <c r="N71" s="12" t="n">
        <v>16</v>
      </c>
      <c r="O71" s="12" t="n">
        <v>16</v>
      </c>
      <c r="P71" s="13" t="n">
        <v>13</v>
      </c>
      <c r="Q71" s="12"/>
      <c r="R71" s="14" t="n">
        <v>0.027</v>
      </c>
      <c r="S71" s="6" t="n">
        <v>30</v>
      </c>
      <c r="T71" s="6"/>
      <c r="U71" s="15" t="n">
        <f aca="false">(S71*R71+0.5*(1-(P71/N71)^2)+(1-(P71/O71)^2)^2)*(O71/P71)^4</f>
        <v>2.51353804138511</v>
      </c>
      <c r="V71" s="14"/>
      <c r="W71" s="14"/>
      <c r="X71" s="10" t="s">
        <v>47</v>
      </c>
      <c r="Y71" s="16"/>
      <c r="Z71" s="17" t="s">
        <v>48</v>
      </c>
      <c r="AA71" s="6"/>
      <c r="AB71" s="18" t="n">
        <f aca="false">IF(O71="","",$D$3*PI()*(O71/1000)^2/4*3600)</f>
        <v>1.08573442108063</v>
      </c>
      <c r="AC71" s="19" t="n">
        <f aca="false">IF(OR(U71="",NOT(ISNUMBER(U71))),"",U71*$D$3^2/(2*$H$3))</f>
        <v>0.2882497753882</v>
      </c>
      <c r="AD71" s="20" t="n">
        <f aca="false">IF(OR(U71="",NOT(ISNUMBER(U71))),"",U71*$D$3^2/2*$F$3)</f>
        <v>2827.73029655824</v>
      </c>
      <c r="AE71" s="19" t="str">
        <f aca="false">IF(OR(V71="",NOT(ISNUMBER(V71))),"",V71*$D$3^2/(2*$H$3))</f>
        <v/>
      </c>
      <c r="AF71" s="20" t="str">
        <f aca="false">IF(OR(V71="",NOT(ISNUMBER(V71))),"",V71*$D$3^2/2*$F$3)</f>
        <v/>
      </c>
      <c r="AG71" s="19" t="str">
        <f aca="false">IF(OR(W71="",NOT(ISNUMBER(W71))),"",W71*$D$3^2/(2*$H$3))</f>
        <v/>
      </c>
      <c r="AH71" s="20" t="str">
        <f aca="false">IF(OR(W71="",NOT(ISNUMBER(W71))),"",W71*$D$3^2/2*$F$3)</f>
        <v/>
      </c>
    </row>
    <row r="72" customFormat="false" ht="15" hidden="false" customHeight="false" outlineLevel="0" collapsed="false">
      <c r="A72" s="10" t="s">
        <v>201</v>
      </c>
      <c r="B72" s="11" t="s">
        <v>41</v>
      </c>
      <c r="C72" s="6" t="s">
        <v>42</v>
      </c>
      <c r="D72" s="6" t="s">
        <v>202</v>
      </c>
      <c r="E72" s="6" t="s">
        <v>200</v>
      </c>
      <c r="F72" s="6" t="s">
        <v>181</v>
      </c>
      <c r="G72" s="6" t="n">
        <v>25</v>
      </c>
      <c r="H72" s="6"/>
      <c r="I72" s="6" t="s">
        <v>111</v>
      </c>
      <c r="J72" s="6" t="n">
        <v>16</v>
      </c>
      <c r="K72" s="6" t="s">
        <v>46</v>
      </c>
      <c r="L72" s="6" t="n">
        <v>78</v>
      </c>
      <c r="M72" s="6" t="n">
        <v>68</v>
      </c>
      <c r="N72" s="12" t="n">
        <v>20.4</v>
      </c>
      <c r="O72" s="12" t="n">
        <v>20.4</v>
      </c>
      <c r="P72" s="13" t="n">
        <v>17</v>
      </c>
      <c r="Q72" s="12"/>
      <c r="R72" s="14" t="n">
        <v>0.025</v>
      </c>
      <c r="S72" s="6" t="n">
        <v>30</v>
      </c>
      <c r="T72" s="6"/>
      <c r="U72" s="15" t="n">
        <f aca="false">(S72*R72+0.5*(1-(P72/N72)^2)+(1-(P72/O72)^2)^2)*(O72/P72)^4</f>
        <v>2.0656</v>
      </c>
      <c r="V72" s="14"/>
      <c r="W72" s="14"/>
      <c r="X72" s="10" t="s">
        <v>47</v>
      </c>
      <c r="Y72" s="16"/>
      <c r="Z72" s="17" t="s">
        <v>48</v>
      </c>
      <c r="AA72" s="6"/>
      <c r="AB72" s="18" t="n">
        <f aca="false">IF(O72="","",$D$3*PI()*(O72/1000)^2/4*3600)</f>
        <v>1.7649970182692</v>
      </c>
      <c r="AC72" s="19" t="n">
        <f aca="false">IF(OR(U72="",NOT(ISNUMBER(U72))),"",U72*$D$3^2/(2*$H$3))</f>
        <v>0.236880733944954</v>
      </c>
      <c r="AD72" s="20" t="n">
        <f aca="false">IF(OR(U72="",NOT(ISNUMBER(U72))),"",U72*$D$3^2/2*$F$3)</f>
        <v>2323.8</v>
      </c>
      <c r="AE72" s="19" t="str">
        <f aca="false">IF(OR(V72="",NOT(ISNUMBER(V72))),"",V72*$D$3^2/(2*$H$3))</f>
        <v/>
      </c>
      <c r="AF72" s="20" t="str">
        <f aca="false">IF(OR(V72="",NOT(ISNUMBER(V72))),"",V72*$D$3^2/2*$F$3)</f>
        <v/>
      </c>
      <c r="AG72" s="19" t="str">
        <f aca="false">IF(OR(W72="",NOT(ISNUMBER(W72))),"",W72*$D$3^2/(2*$H$3))</f>
        <v/>
      </c>
      <c r="AH72" s="20" t="str">
        <f aca="false">IF(OR(W72="",NOT(ISNUMBER(W72))),"",W72*$D$3^2/2*$F$3)</f>
        <v/>
      </c>
    </row>
    <row r="73" customFormat="false" ht="15" hidden="false" customHeight="false" outlineLevel="0" collapsed="false">
      <c r="A73" s="10" t="s">
        <v>203</v>
      </c>
      <c r="B73" s="11" t="s">
        <v>41</v>
      </c>
      <c r="C73" s="6" t="s">
        <v>42</v>
      </c>
      <c r="D73" s="6" t="s">
        <v>204</v>
      </c>
      <c r="E73" s="6" t="s">
        <v>200</v>
      </c>
      <c r="F73" s="6" t="s">
        <v>181</v>
      </c>
      <c r="G73" s="6" t="n">
        <v>32</v>
      </c>
      <c r="H73" s="6"/>
      <c r="I73" s="6" t="s">
        <v>111</v>
      </c>
      <c r="J73" s="6" t="n">
        <v>16</v>
      </c>
      <c r="K73" s="6" t="s">
        <v>46</v>
      </c>
      <c r="L73" s="6" t="n">
        <v>95</v>
      </c>
      <c r="M73" s="6" t="n">
        <v>80</v>
      </c>
      <c r="N73" s="12" t="n">
        <v>26.2</v>
      </c>
      <c r="O73" s="12" t="n">
        <v>26.2</v>
      </c>
      <c r="P73" s="13" t="n">
        <v>22</v>
      </c>
      <c r="Q73" s="12"/>
      <c r="R73" s="14" t="n">
        <v>0.023</v>
      </c>
      <c r="S73" s="6" t="n">
        <v>30</v>
      </c>
      <c r="T73" s="6"/>
      <c r="U73" s="15" t="n">
        <f aca="false">(S73*R73+0.5*(1-(P73/N73)^2)+(1-(P73/O73)^2)^2)*(O73/P73)^4</f>
        <v>1.85946709234342</v>
      </c>
      <c r="V73" s="14"/>
      <c r="W73" s="14"/>
      <c r="X73" s="10" t="s">
        <v>47</v>
      </c>
      <c r="Y73" s="16"/>
      <c r="Z73" s="17" t="s">
        <v>48</v>
      </c>
      <c r="AA73" s="6"/>
      <c r="AB73" s="18" t="n">
        <f aca="false">IF(O73="","",$D$3*PI()*(O73/1000)^2/4*3600)</f>
        <v>2.91129506252574</v>
      </c>
      <c r="AC73" s="19" t="n">
        <f aca="false">IF(OR(U73="",NOT(ISNUMBER(U73))),"",U73*$D$3^2/(2*$H$3))</f>
        <v>0.213241639030209</v>
      </c>
      <c r="AD73" s="20" t="n">
        <f aca="false">IF(OR(U73="",NOT(ISNUMBER(U73))),"",U73*$D$3^2/2*$F$3)</f>
        <v>2091.90047888635</v>
      </c>
      <c r="AE73" s="19" t="str">
        <f aca="false">IF(OR(V73="",NOT(ISNUMBER(V73))),"",V73*$D$3^2/(2*$H$3))</f>
        <v/>
      </c>
      <c r="AF73" s="20" t="str">
        <f aca="false">IF(OR(V73="",NOT(ISNUMBER(V73))),"",V73*$D$3^2/2*$F$3)</f>
        <v/>
      </c>
      <c r="AG73" s="19" t="str">
        <f aca="false">IF(OR(W73="",NOT(ISNUMBER(W73))),"",W73*$D$3^2/(2*$H$3))</f>
        <v/>
      </c>
      <c r="AH73" s="20" t="str">
        <f aca="false">IF(OR(W73="",NOT(ISNUMBER(W73))),"",W73*$D$3^2/2*$F$3)</f>
        <v/>
      </c>
    </row>
    <row r="74" customFormat="false" ht="15" hidden="false" customHeight="false" outlineLevel="0" collapsed="false">
      <c r="A74" s="10" t="s">
        <v>205</v>
      </c>
      <c r="B74" s="11" t="s">
        <v>41</v>
      </c>
      <c r="C74" s="6" t="s">
        <v>42</v>
      </c>
      <c r="D74" s="6" t="s">
        <v>206</v>
      </c>
      <c r="E74" s="6" t="s">
        <v>200</v>
      </c>
      <c r="F74" s="6" t="s">
        <v>181</v>
      </c>
      <c r="G74" s="6" t="n">
        <v>32</v>
      </c>
      <c r="H74" s="6"/>
      <c r="I74" s="6" t="s">
        <v>118</v>
      </c>
      <c r="J74" s="6" t="n">
        <v>16</v>
      </c>
      <c r="K74" s="6" t="s">
        <v>46</v>
      </c>
      <c r="L74" s="6" t="n">
        <v>95</v>
      </c>
      <c r="M74" s="6" t="n">
        <v>82</v>
      </c>
      <c r="N74" s="12" t="n">
        <v>26.2</v>
      </c>
      <c r="O74" s="12" t="n">
        <v>26.2</v>
      </c>
      <c r="P74" s="13" t="n">
        <v>22</v>
      </c>
      <c r="Q74" s="12"/>
      <c r="R74" s="14" t="n">
        <v>0.023</v>
      </c>
      <c r="S74" s="6" t="n">
        <v>30</v>
      </c>
      <c r="T74" s="6"/>
      <c r="U74" s="15" t="n">
        <f aca="false">(S74*R74+0.5*(1-(P74/N74)^2)+(1-(P74/O74)^2)^2)*(O74/P74)^4</f>
        <v>1.85946709234342</v>
      </c>
      <c r="V74" s="14"/>
      <c r="W74" s="14"/>
      <c r="X74" s="10" t="s">
        <v>47</v>
      </c>
      <c r="Y74" s="16"/>
      <c r="Z74" s="17" t="s">
        <v>48</v>
      </c>
      <c r="AA74" s="6"/>
      <c r="AB74" s="18" t="n">
        <f aca="false">IF(O74="","",$D$3*PI()*(O74/1000)^2/4*3600)</f>
        <v>2.91129506252574</v>
      </c>
      <c r="AC74" s="19" t="n">
        <f aca="false">IF(OR(U74="",NOT(ISNUMBER(U74))),"",U74*$D$3^2/(2*$H$3))</f>
        <v>0.213241639030209</v>
      </c>
      <c r="AD74" s="20" t="n">
        <f aca="false">IF(OR(U74="",NOT(ISNUMBER(U74))),"",U74*$D$3^2/2*$F$3)</f>
        <v>2091.90047888635</v>
      </c>
      <c r="AE74" s="19" t="str">
        <f aca="false">IF(OR(V74="",NOT(ISNUMBER(V74))),"",V74*$D$3^2/(2*$H$3))</f>
        <v/>
      </c>
      <c r="AF74" s="20" t="str">
        <f aca="false">IF(OR(V74="",NOT(ISNUMBER(V74))),"",V74*$D$3^2/2*$F$3)</f>
        <v/>
      </c>
      <c r="AG74" s="19" t="str">
        <f aca="false">IF(OR(W74="",NOT(ISNUMBER(W74))),"",W74*$D$3^2/(2*$H$3))</f>
        <v/>
      </c>
      <c r="AH74" s="20" t="str">
        <f aca="false">IF(OR(W74="",NOT(ISNUMBER(W74))),"",W74*$D$3^2/2*$F$3)</f>
        <v/>
      </c>
    </row>
    <row r="75" customFormat="false" ht="15" hidden="false" customHeight="false" outlineLevel="0" collapsed="false">
      <c r="A75" s="10" t="s">
        <v>207</v>
      </c>
      <c r="B75" s="11" t="s">
        <v>41</v>
      </c>
      <c r="C75" s="6" t="s">
        <v>42</v>
      </c>
      <c r="D75" s="6" t="s">
        <v>208</v>
      </c>
      <c r="E75" s="6" t="s">
        <v>200</v>
      </c>
      <c r="F75" s="6" t="s">
        <v>181</v>
      </c>
      <c r="G75" s="6" t="n">
        <v>40</v>
      </c>
      <c r="H75" s="6"/>
      <c r="I75" s="6" t="s">
        <v>127</v>
      </c>
      <c r="J75" s="6" t="n">
        <v>16</v>
      </c>
      <c r="K75" s="6" t="s">
        <v>46</v>
      </c>
      <c r="L75" s="6" t="n">
        <v>111</v>
      </c>
      <c r="M75" s="6" t="n">
        <v>100</v>
      </c>
      <c r="N75" s="12" t="n">
        <v>32.6</v>
      </c>
      <c r="O75" s="12" t="n">
        <v>32.6</v>
      </c>
      <c r="P75" s="13" t="n">
        <v>28</v>
      </c>
      <c r="Q75" s="12"/>
      <c r="R75" s="14" t="n">
        <v>0.022</v>
      </c>
      <c r="S75" s="6" t="n">
        <v>30</v>
      </c>
      <c r="T75" s="6"/>
      <c r="U75" s="15" t="n">
        <f aca="false">(S75*R75+0.5*(1-(P75/N75)^2)+(1-(P75/O75)^2)^2)*(O75/P75)^4</f>
        <v>1.5801968027905</v>
      </c>
      <c r="V75" s="14"/>
      <c r="W75" s="14"/>
      <c r="X75" s="10" t="s">
        <v>47</v>
      </c>
      <c r="Y75" s="16"/>
      <c r="Z75" s="17" t="s">
        <v>48</v>
      </c>
      <c r="AA75" s="6"/>
      <c r="AB75" s="18" t="n">
        <f aca="false">IF(O75="","",$D$3*PI()*(O75/1000)^2/4*3600)</f>
        <v>4.50732466151427</v>
      </c>
      <c r="AC75" s="19" t="n">
        <f aca="false">IF(OR(U75="",NOT(ISNUMBER(U75))),"",U75*$D$3^2/(2*$H$3))</f>
        <v>0.18121522967781</v>
      </c>
      <c r="AD75" s="20" t="n">
        <f aca="false">IF(OR(U75="",NOT(ISNUMBER(U75))),"",U75*$D$3^2/2*$F$3)</f>
        <v>1777.72140313932</v>
      </c>
      <c r="AE75" s="19" t="str">
        <f aca="false">IF(OR(V75="",NOT(ISNUMBER(V75))),"",V75*$D$3^2/(2*$H$3))</f>
        <v/>
      </c>
      <c r="AF75" s="20" t="str">
        <f aca="false">IF(OR(V75="",NOT(ISNUMBER(V75))),"",V75*$D$3^2/2*$F$3)</f>
        <v/>
      </c>
      <c r="AG75" s="19" t="str">
        <f aca="false">IF(OR(W75="",NOT(ISNUMBER(W75))),"",W75*$D$3^2/(2*$H$3))</f>
        <v/>
      </c>
      <c r="AH75" s="20" t="str">
        <f aca="false">IF(OR(W75="",NOT(ISNUMBER(W75))),"",W75*$D$3^2/2*$F$3)</f>
        <v/>
      </c>
    </row>
    <row r="76" customFormat="false" ht="15" hidden="false" customHeight="false" outlineLevel="0" collapsed="false">
      <c r="A76" s="10" t="s">
        <v>209</v>
      </c>
      <c r="B76" s="11" t="s">
        <v>41</v>
      </c>
      <c r="C76" s="6" t="s">
        <v>42</v>
      </c>
      <c r="D76" s="6" t="s">
        <v>210</v>
      </c>
      <c r="E76" s="6" t="s">
        <v>200</v>
      </c>
      <c r="F76" s="6" t="s">
        <v>181</v>
      </c>
      <c r="G76" s="6" t="n">
        <v>50</v>
      </c>
      <c r="H76" s="6"/>
      <c r="I76" s="6" t="s">
        <v>130</v>
      </c>
      <c r="J76" s="6" t="n">
        <v>16</v>
      </c>
      <c r="K76" s="6" t="s">
        <v>46</v>
      </c>
      <c r="L76" s="6" t="n">
        <v>143</v>
      </c>
      <c r="M76" s="6" t="n">
        <v>118</v>
      </c>
      <c r="N76" s="12" t="n">
        <v>40.8</v>
      </c>
      <c r="O76" s="12" t="n">
        <v>40.8</v>
      </c>
      <c r="P76" s="13" t="n">
        <v>35</v>
      </c>
      <c r="Q76" s="12"/>
      <c r="R76" s="14" t="n">
        <v>0.021</v>
      </c>
      <c r="S76" s="6" t="n">
        <v>30</v>
      </c>
      <c r="T76" s="6"/>
      <c r="U76" s="15" t="n">
        <f aca="false">(S76*R76+0.5*(1-(P76/N76)^2)+(1-(P76/O76)^2)^2)*(O76/P76)^4</f>
        <v>1.53599405717484</v>
      </c>
      <c r="V76" s="14"/>
      <c r="W76" s="14"/>
      <c r="X76" s="10" t="s">
        <v>47</v>
      </c>
      <c r="Y76" s="16"/>
      <c r="Z76" s="17" t="s">
        <v>48</v>
      </c>
      <c r="AA76" s="6"/>
      <c r="AB76" s="18" t="n">
        <f aca="false">IF(O76="","",$D$3*PI()*(O76/1000)^2/4*3600)</f>
        <v>7.05998807307681</v>
      </c>
      <c r="AC76" s="19" t="n">
        <f aca="false">IF(OR(U76="",NOT(ISNUMBER(U76))),"",U76*$D$3^2/(2*$H$3))</f>
        <v>0.176146107474179</v>
      </c>
      <c r="AD76" s="20" t="n">
        <f aca="false">IF(OR(U76="",NOT(ISNUMBER(U76))),"",U76*$D$3^2/2*$F$3)</f>
        <v>1727.9933143217</v>
      </c>
      <c r="AE76" s="19" t="str">
        <f aca="false">IF(OR(V76="",NOT(ISNUMBER(V76))),"",V76*$D$3^2/(2*$H$3))</f>
        <v/>
      </c>
      <c r="AF76" s="20" t="str">
        <f aca="false">IF(OR(V76="",NOT(ISNUMBER(V76))),"",V76*$D$3^2/2*$F$3)</f>
        <v/>
      </c>
      <c r="AG76" s="19" t="str">
        <f aca="false">IF(OR(W76="",NOT(ISNUMBER(W76))),"",W76*$D$3^2/(2*$H$3))</f>
        <v/>
      </c>
      <c r="AH76" s="20" t="str">
        <f aca="false">IF(OR(W76="",NOT(ISNUMBER(W76))),"",W76*$D$3^2/2*$F$3)</f>
        <v/>
      </c>
    </row>
    <row r="77" customFormat="false" ht="15" hidden="false" customHeight="false" outlineLevel="0" collapsed="false">
      <c r="A77" s="10" t="s">
        <v>211</v>
      </c>
      <c r="B77" s="11" t="s">
        <v>41</v>
      </c>
      <c r="C77" s="6" t="s">
        <v>42</v>
      </c>
      <c r="D77" s="6" t="s">
        <v>212</v>
      </c>
      <c r="E77" s="6" t="s">
        <v>200</v>
      </c>
      <c r="F77" s="6" t="s">
        <v>181</v>
      </c>
      <c r="G77" s="6" t="n">
        <v>63</v>
      </c>
      <c r="H77" s="6"/>
      <c r="I77" s="6" t="s">
        <v>133</v>
      </c>
      <c r="J77" s="6" t="n">
        <v>16</v>
      </c>
      <c r="K77" s="6" t="s">
        <v>46</v>
      </c>
      <c r="L77" s="6" t="n">
        <v>169</v>
      </c>
      <c r="M77" s="6" t="n">
        <v>139</v>
      </c>
      <c r="N77" s="12" t="n">
        <v>51.4</v>
      </c>
      <c r="O77" s="12" t="n">
        <v>51.4</v>
      </c>
      <c r="P77" s="13" t="n">
        <v>45</v>
      </c>
      <c r="Q77" s="12"/>
      <c r="R77" s="14" t="n">
        <v>0.019</v>
      </c>
      <c r="S77" s="6" t="n">
        <v>30</v>
      </c>
      <c r="T77" s="6"/>
      <c r="U77" s="15" t="n">
        <f aca="false">(S77*R77+0.5*(1-(P77/N77)^2)+(1-(P77/O77)^2)^2)*(O77/P77)^4</f>
        <v>1.26180874088999</v>
      </c>
      <c r="V77" s="14"/>
      <c r="W77" s="14"/>
      <c r="X77" s="10" t="s">
        <v>47</v>
      </c>
      <c r="Y77" s="16"/>
      <c r="Z77" s="17" t="s">
        <v>48</v>
      </c>
      <c r="AA77" s="6"/>
      <c r="AB77" s="18" t="n">
        <f aca="false">IF(O77="","",$D$3*PI()*(O77/1000)^2/4*3600)</f>
        <v>11.2049488715554</v>
      </c>
      <c r="AC77" s="19" t="n">
        <f aca="false">IF(OR(U77="",NOT(ISNUMBER(U77))),"",U77*$D$3^2/(2*$H$3))</f>
        <v>0.144702837258026</v>
      </c>
      <c r="AD77" s="20" t="n">
        <f aca="false">IF(OR(U77="",NOT(ISNUMBER(U77))),"",U77*$D$3^2/2*$F$3)</f>
        <v>1419.53483350123</v>
      </c>
      <c r="AE77" s="19" t="str">
        <f aca="false">IF(OR(V77="",NOT(ISNUMBER(V77))),"",V77*$D$3^2/(2*$H$3))</f>
        <v/>
      </c>
      <c r="AF77" s="20" t="str">
        <f aca="false">IF(OR(V77="",NOT(ISNUMBER(V77))),"",V77*$D$3^2/2*$F$3)</f>
        <v/>
      </c>
      <c r="AG77" s="19" t="str">
        <f aca="false">IF(OR(W77="",NOT(ISNUMBER(W77))),"",W77*$D$3^2/(2*$H$3))</f>
        <v/>
      </c>
      <c r="AH77" s="20" t="str">
        <f aca="false">IF(OR(W77="",NOT(ISNUMBER(W77))),"",W77*$D$3^2/2*$F$3)</f>
        <v/>
      </c>
    </row>
    <row r="78" customFormat="false" ht="15" hidden="false" customHeight="false" outlineLevel="0" collapsed="false">
      <c r="A78" s="10" t="s">
        <v>213</v>
      </c>
      <c r="B78" s="11" t="s">
        <v>41</v>
      </c>
      <c r="C78" s="6" t="s">
        <v>42</v>
      </c>
      <c r="D78" s="6" t="s">
        <v>214</v>
      </c>
      <c r="E78" s="6" t="s">
        <v>200</v>
      </c>
      <c r="F78" s="6" t="s">
        <v>181</v>
      </c>
      <c r="G78" s="6" t="n">
        <v>75</v>
      </c>
      <c r="H78" s="6"/>
      <c r="I78" s="6" t="s">
        <v>136</v>
      </c>
      <c r="J78" s="6" t="n">
        <v>16</v>
      </c>
      <c r="K78" s="6" t="s">
        <v>46</v>
      </c>
      <c r="L78" s="6" t="n">
        <v>209</v>
      </c>
      <c r="M78" s="6" t="n">
        <v>157</v>
      </c>
      <c r="N78" s="12" t="n">
        <v>61.4</v>
      </c>
      <c r="O78" s="12" t="n">
        <v>61.4</v>
      </c>
      <c r="P78" s="13" t="n">
        <v>54</v>
      </c>
      <c r="Q78" s="12"/>
      <c r="R78" s="14" t="n">
        <v>0.018</v>
      </c>
      <c r="S78" s="6" t="n">
        <v>30</v>
      </c>
      <c r="T78" s="6"/>
      <c r="U78" s="15" t="n">
        <f aca="false">(S78*R78+0.5*(1-(P78/N78)^2)+(1-(P78/O78)^2)^2)*(O78/P78)^4</f>
        <v>1.17766463483999</v>
      </c>
      <c r="V78" s="14"/>
      <c r="W78" s="14"/>
      <c r="X78" s="10" t="s">
        <v>47</v>
      </c>
      <c r="Y78" s="16"/>
      <c r="Z78" s="17" t="s">
        <v>48</v>
      </c>
      <c r="AA78" s="6"/>
      <c r="AB78" s="18" t="n">
        <f aca="false">IF(O78="","",$D$3*PI()*(O78/1000)^2/4*3600)</f>
        <v>15.988966164442</v>
      </c>
      <c r="AC78" s="19" t="n">
        <f aca="false">IF(OR(U78="",NOT(ISNUMBER(U78))),"",U78*$D$3^2/(2*$H$3))</f>
        <v>0.135053283811926</v>
      </c>
      <c r="AD78" s="20" t="n">
        <f aca="false">IF(OR(U78="",NOT(ISNUMBER(U78))),"",U78*$D$3^2/2*$F$3)</f>
        <v>1324.87271419499</v>
      </c>
      <c r="AE78" s="19" t="str">
        <f aca="false">IF(OR(V78="",NOT(ISNUMBER(V78))),"",V78*$D$3^2/(2*$H$3))</f>
        <v/>
      </c>
      <c r="AF78" s="20" t="str">
        <f aca="false">IF(OR(V78="",NOT(ISNUMBER(V78))),"",V78*$D$3^2/2*$F$3)</f>
        <v/>
      </c>
      <c r="AG78" s="19" t="str">
        <f aca="false">IF(OR(W78="",NOT(ISNUMBER(W78))),"",W78*$D$3^2/(2*$H$3))</f>
        <v/>
      </c>
      <c r="AH78" s="20" t="str">
        <f aca="false">IF(OR(W78="",NOT(ISNUMBER(W78))),"",W78*$D$3^2/2*$F$3)</f>
        <v/>
      </c>
    </row>
    <row r="79" customFormat="false" ht="15" hidden="false" customHeight="false" outlineLevel="0" collapsed="false">
      <c r="A79" s="10" t="s">
        <v>215</v>
      </c>
      <c r="B79" s="11" t="s">
        <v>41</v>
      </c>
      <c r="C79" s="6" t="s">
        <v>42</v>
      </c>
      <c r="D79" s="6" t="s">
        <v>216</v>
      </c>
      <c r="E79" s="6" t="s">
        <v>200</v>
      </c>
      <c r="F79" s="6" t="s">
        <v>181</v>
      </c>
      <c r="G79" s="6" t="n">
        <v>90</v>
      </c>
      <c r="H79" s="6"/>
      <c r="I79" s="6" t="s">
        <v>139</v>
      </c>
      <c r="J79" s="6" t="n">
        <v>16</v>
      </c>
      <c r="K79" s="6" t="s">
        <v>46</v>
      </c>
      <c r="L79" s="6" t="n">
        <v>237</v>
      </c>
      <c r="M79" s="6" t="n">
        <v>204</v>
      </c>
      <c r="N79" s="12" t="n">
        <v>73.6</v>
      </c>
      <c r="O79" s="12" t="n">
        <v>73.6</v>
      </c>
      <c r="P79" s="13" t="n">
        <v>66</v>
      </c>
      <c r="Q79" s="12"/>
      <c r="R79" s="14" t="n">
        <v>0.018</v>
      </c>
      <c r="S79" s="6" t="n">
        <v>30</v>
      </c>
      <c r="T79" s="6"/>
      <c r="U79" s="15" t="n">
        <f aca="false">(S79*R79+0.5*(1-(P79/N79)^2)+(1-(P79/O79)^2)^2)*(O79/P79)^4</f>
        <v>1.04584807445353</v>
      </c>
      <c r="V79" s="14"/>
      <c r="W79" s="14"/>
      <c r="X79" s="10" t="s">
        <v>47</v>
      </c>
      <c r="Y79" s="16"/>
      <c r="Z79" s="17" t="s">
        <v>48</v>
      </c>
      <c r="AA79" s="6"/>
      <c r="AB79" s="18" t="n">
        <f aca="false">IF(O79="","",$D$3*PI()*(O79/1000)^2/4*3600)</f>
        <v>22.9741403500662</v>
      </c>
      <c r="AC79" s="19" t="n">
        <f aca="false">IF(OR(U79="",NOT(ISNUMBER(U79))),"",U79*$D$3^2/(2*$H$3))</f>
        <v>0.119936705785955</v>
      </c>
      <c r="AD79" s="20" t="n">
        <f aca="false">IF(OR(U79="",NOT(ISNUMBER(U79))),"",U79*$D$3^2/2*$F$3)</f>
        <v>1176.57908376022</v>
      </c>
      <c r="AE79" s="19" t="str">
        <f aca="false">IF(OR(V79="",NOT(ISNUMBER(V79))),"",V79*$D$3^2/(2*$H$3))</f>
        <v/>
      </c>
      <c r="AF79" s="20" t="str">
        <f aca="false">IF(OR(V79="",NOT(ISNUMBER(V79))),"",V79*$D$3^2/2*$F$3)</f>
        <v/>
      </c>
      <c r="AG79" s="19" t="str">
        <f aca="false">IF(OR(W79="",NOT(ISNUMBER(W79))),"",W79*$D$3^2/(2*$H$3))</f>
        <v/>
      </c>
      <c r="AH79" s="20" t="str">
        <f aca="false">IF(OR(W79="",NOT(ISNUMBER(W79))),"",W79*$D$3^2/2*$F$3)</f>
        <v/>
      </c>
    </row>
    <row r="80" customFormat="false" ht="15" hidden="false" customHeight="false" outlineLevel="0" collapsed="false">
      <c r="A80" s="10" t="s">
        <v>217</v>
      </c>
      <c r="B80" s="11" t="s">
        <v>41</v>
      </c>
      <c r="C80" s="6" t="s">
        <v>42</v>
      </c>
      <c r="D80" s="6" t="s">
        <v>218</v>
      </c>
      <c r="E80" s="6" t="s">
        <v>200</v>
      </c>
      <c r="F80" s="6" t="s">
        <v>181</v>
      </c>
      <c r="G80" s="6" t="n">
        <v>110</v>
      </c>
      <c r="H80" s="6"/>
      <c r="I80" s="6" t="s">
        <v>142</v>
      </c>
      <c r="J80" s="6" t="n">
        <v>16</v>
      </c>
      <c r="K80" s="6" t="s">
        <v>46</v>
      </c>
      <c r="L80" s="6" t="n">
        <v>290</v>
      </c>
      <c r="M80" s="6" t="n">
        <v>220</v>
      </c>
      <c r="N80" s="12" t="n">
        <v>90</v>
      </c>
      <c r="O80" s="12" t="n">
        <v>90</v>
      </c>
      <c r="P80" s="13" t="n">
        <v>81</v>
      </c>
      <c r="Q80" s="12"/>
      <c r="R80" s="14" t="n">
        <v>0.017</v>
      </c>
      <c r="S80" s="6" t="n">
        <v>30</v>
      </c>
      <c r="T80" s="6"/>
      <c r="U80" s="15" t="n">
        <f aca="false">(S80*R80+0.5*(1-(P80/N80)^2)+(1-(P80/O80)^2)^2)*(O80/P80)^4</f>
        <v>0.977137631458619</v>
      </c>
      <c r="V80" s="14"/>
      <c r="W80" s="14"/>
      <c r="X80" s="10" t="s">
        <v>47</v>
      </c>
      <c r="Y80" s="16"/>
      <c r="Z80" s="17" t="s">
        <v>48</v>
      </c>
      <c r="AA80" s="6"/>
      <c r="AB80" s="18" t="n">
        <f aca="false">IF(O80="","",$D$3*PI()*(O80/1000)^2/4*3600)</f>
        <v>34.3533156670044</v>
      </c>
      <c r="AC80" s="19" t="n">
        <f aca="false">IF(OR(U80="",NOT(ISNUMBER(U80))),"",U80*$D$3^2/(2*$H$3))</f>
        <v>0.112057067827823</v>
      </c>
      <c r="AD80" s="20" t="n">
        <f aca="false">IF(OR(U80="",NOT(ISNUMBER(U80))),"",U80*$D$3^2/2*$F$3)</f>
        <v>1099.27983539095</v>
      </c>
      <c r="AE80" s="19" t="str">
        <f aca="false">IF(OR(V80="",NOT(ISNUMBER(V80))),"",V80*$D$3^2/(2*$H$3))</f>
        <v/>
      </c>
      <c r="AF80" s="20" t="str">
        <f aca="false">IF(OR(V80="",NOT(ISNUMBER(V80))),"",V80*$D$3^2/2*$F$3)</f>
        <v/>
      </c>
      <c r="AG80" s="19" t="str">
        <f aca="false">IF(OR(W80="",NOT(ISNUMBER(W80))),"",W80*$D$3^2/(2*$H$3))</f>
        <v/>
      </c>
      <c r="AH80" s="20" t="str">
        <f aca="false">IF(OR(W80="",NOT(ISNUMBER(W80))),"",W80*$D$3^2/2*$F$3)</f>
        <v/>
      </c>
    </row>
    <row r="81" customFormat="false" ht="15" hidden="false" customHeight="false" outlineLevel="0" collapsed="false">
      <c r="A81" s="10" t="s">
        <v>219</v>
      </c>
      <c r="B81" s="11" t="s">
        <v>41</v>
      </c>
      <c r="C81" s="6" t="s">
        <v>42</v>
      </c>
      <c r="D81" s="6" t="s">
        <v>220</v>
      </c>
      <c r="E81" s="6" t="s">
        <v>221</v>
      </c>
      <c r="F81" s="6" t="s">
        <v>181</v>
      </c>
      <c r="G81" s="6" t="n">
        <v>20</v>
      </c>
      <c r="H81" s="6"/>
      <c r="I81" s="6" t="s">
        <v>108</v>
      </c>
      <c r="J81" s="6" t="n">
        <v>16</v>
      </c>
      <c r="K81" s="6" t="s">
        <v>46</v>
      </c>
      <c r="L81" s="6" t="n">
        <v>74</v>
      </c>
      <c r="M81" s="6" t="n">
        <v>72</v>
      </c>
      <c r="N81" s="12" t="n">
        <v>16</v>
      </c>
      <c r="O81" s="12" t="n">
        <v>16</v>
      </c>
      <c r="P81" s="13" t="n">
        <v>13</v>
      </c>
      <c r="Q81" s="12"/>
      <c r="R81" s="14" t="n">
        <v>0.027</v>
      </c>
      <c r="S81" s="6" t="n">
        <v>30</v>
      </c>
      <c r="T81" s="6"/>
      <c r="U81" s="15" t="n">
        <f aca="false">(S81*R81+0.5*(1-(P81/N81)^2)+(1-(P81/O81)^2)^2)*(O81/P81)^4</f>
        <v>2.51353804138511</v>
      </c>
      <c r="V81" s="14"/>
      <c r="W81" s="14"/>
      <c r="X81" s="10" t="s">
        <v>47</v>
      </c>
      <c r="Y81" s="16"/>
      <c r="Z81" s="17" t="s">
        <v>48</v>
      </c>
      <c r="AA81" s="6"/>
      <c r="AB81" s="18" t="n">
        <f aca="false">IF(O81="","",$D$3*PI()*(O81/1000)^2/4*3600)</f>
        <v>1.08573442108063</v>
      </c>
      <c r="AC81" s="19" t="n">
        <f aca="false">IF(OR(U81="",NOT(ISNUMBER(U81))),"",U81*$D$3^2/(2*$H$3))</f>
        <v>0.2882497753882</v>
      </c>
      <c r="AD81" s="20" t="n">
        <f aca="false">IF(OR(U81="",NOT(ISNUMBER(U81))),"",U81*$D$3^2/2*$F$3)</f>
        <v>2827.73029655824</v>
      </c>
      <c r="AE81" s="19" t="str">
        <f aca="false">IF(OR(V81="",NOT(ISNUMBER(V81))),"",V81*$D$3^2/(2*$H$3))</f>
        <v/>
      </c>
      <c r="AF81" s="20" t="str">
        <f aca="false">IF(OR(V81="",NOT(ISNUMBER(V81))),"",V81*$D$3^2/2*$F$3)</f>
        <v/>
      </c>
      <c r="AG81" s="19" t="str">
        <f aca="false">IF(OR(W81="",NOT(ISNUMBER(W81))),"",W81*$D$3^2/(2*$H$3))</f>
        <v/>
      </c>
      <c r="AH81" s="20" t="str">
        <f aca="false">IF(OR(W81="",NOT(ISNUMBER(W81))),"",W81*$D$3^2/2*$F$3)</f>
        <v/>
      </c>
    </row>
    <row r="82" customFormat="false" ht="15" hidden="false" customHeight="false" outlineLevel="0" collapsed="false">
      <c r="A82" s="10" t="s">
        <v>222</v>
      </c>
      <c r="B82" s="11" t="s">
        <v>41</v>
      </c>
      <c r="C82" s="6" t="s">
        <v>42</v>
      </c>
      <c r="D82" s="6" t="s">
        <v>223</v>
      </c>
      <c r="E82" s="6" t="s">
        <v>221</v>
      </c>
      <c r="F82" s="6" t="s">
        <v>181</v>
      </c>
      <c r="G82" s="6" t="n">
        <v>25</v>
      </c>
      <c r="H82" s="6"/>
      <c r="I82" s="6" t="s">
        <v>108</v>
      </c>
      <c r="J82" s="6" t="n">
        <v>16</v>
      </c>
      <c r="K82" s="6" t="s">
        <v>46</v>
      </c>
      <c r="L82" s="6" t="n">
        <v>82</v>
      </c>
      <c r="M82" s="6" t="n">
        <v>60</v>
      </c>
      <c r="N82" s="12" t="n">
        <v>20.4</v>
      </c>
      <c r="O82" s="12" t="n">
        <v>20.4</v>
      </c>
      <c r="P82" s="13" t="n">
        <v>17</v>
      </c>
      <c r="Q82" s="12"/>
      <c r="R82" s="14" t="n">
        <v>0.025</v>
      </c>
      <c r="S82" s="6" t="n">
        <v>30</v>
      </c>
      <c r="T82" s="6"/>
      <c r="U82" s="15" t="n">
        <f aca="false">(S82*R82+0.5*(1-(P82/N82)^2)+(1-(P82/O82)^2)^2)*(O82/P82)^4</f>
        <v>2.0656</v>
      </c>
      <c r="V82" s="14"/>
      <c r="W82" s="14"/>
      <c r="X82" s="10" t="s">
        <v>47</v>
      </c>
      <c r="Y82" s="16"/>
      <c r="Z82" s="17" t="s">
        <v>48</v>
      </c>
      <c r="AA82" s="6"/>
      <c r="AB82" s="18" t="n">
        <f aca="false">IF(O82="","",$D$3*PI()*(O82/1000)^2/4*3600)</f>
        <v>1.7649970182692</v>
      </c>
      <c r="AC82" s="19" t="n">
        <f aca="false">IF(OR(U82="",NOT(ISNUMBER(U82))),"",U82*$D$3^2/(2*$H$3))</f>
        <v>0.236880733944954</v>
      </c>
      <c r="AD82" s="20" t="n">
        <f aca="false">IF(OR(U82="",NOT(ISNUMBER(U82))),"",U82*$D$3^2/2*$F$3)</f>
        <v>2323.8</v>
      </c>
      <c r="AE82" s="19" t="str">
        <f aca="false">IF(OR(V82="",NOT(ISNUMBER(V82))),"",V82*$D$3^2/(2*$H$3))</f>
        <v/>
      </c>
      <c r="AF82" s="20" t="str">
        <f aca="false">IF(OR(V82="",NOT(ISNUMBER(V82))),"",V82*$D$3^2/2*$F$3)</f>
        <v/>
      </c>
      <c r="AG82" s="19" t="str">
        <f aca="false">IF(OR(W82="",NOT(ISNUMBER(W82))),"",W82*$D$3^2/(2*$H$3))</f>
        <v/>
      </c>
      <c r="AH82" s="20" t="str">
        <f aca="false">IF(OR(W82="",NOT(ISNUMBER(W82))),"",W82*$D$3^2/2*$F$3)</f>
        <v/>
      </c>
    </row>
    <row r="83" customFormat="false" ht="15" hidden="false" customHeight="false" outlineLevel="0" collapsed="false">
      <c r="A83" s="10" t="s">
        <v>224</v>
      </c>
      <c r="B83" s="11" t="s">
        <v>41</v>
      </c>
      <c r="C83" s="6" t="s">
        <v>42</v>
      </c>
      <c r="D83" s="6" t="s">
        <v>225</v>
      </c>
      <c r="E83" s="6" t="s">
        <v>221</v>
      </c>
      <c r="F83" s="6" t="s">
        <v>181</v>
      </c>
      <c r="G83" s="6" t="n">
        <v>25</v>
      </c>
      <c r="H83" s="6"/>
      <c r="I83" s="6" t="s">
        <v>111</v>
      </c>
      <c r="J83" s="6" t="n">
        <v>16</v>
      </c>
      <c r="K83" s="6" t="s">
        <v>46</v>
      </c>
      <c r="L83" s="6" t="n">
        <v>82</v>
      </c>
      <c r="M83" s="6" t="n">
        <v>62</v>
      </c>
      <c r="N83" s="12" t="n">
        <v>20.4</v>
      </c>
      <c r="O83" s="12" t="n">
        <v>20.4</v>
      </c>
      <c r="P83" s="13" t="n">
        <v>17</v>
      </c>
      <c r="Q83" s="12"/>
      <c r="R83" s="14" t="n">
        <v>0.025</v>
      </c>
      <c r="S83" s="6" t="n">
        <v>30</v>
      </c>
      <c r="T83" s="6"/>
      <c r="U83" s="15" t="n">
        <f aca="false">(S83*R83+0.5*(1-(P83/N83)^2)+(1-(P83/O83)^2)^2)*(O83/P83)^4</f>
        <v>2.0656</v>
      </c>
      <c r="V83" s="14"/>
      <c r="W83" s="14"/>
      <c r="X83" s="10" t="s">
        <v>47</v>
      </c>
      <c r="Y83" s="16"/>
      <c r="Z83" s="17" t="s">
        <v>48</v>
      </c>
      <c r="AA83" s="6"/>
      <c r="AB83" s="18" t="n">
        <f aca="false">IF(O83="","",$D$3*PI()*(O83/1000)^2/4*3600)</f>
        <v>1.7649970182692</v>
      </c>
      <c r="AC83" s="19" t="n">
        <f aca="false">IF(OR(U83="",NOT(ISNUMBER(U83))),"",U83*$D$3^2/(2*$H$3))</f>
        <v>0.236880733944954</v>
      </c>
      <c r="AD83" s="20" t="n">
        <f aca="false">IF(OR(U83="",NOT(ISNUMBER(U83))),"",U83*$D$3^2/2*$F$3)</f>
        <v>2323.8</v>
      </c>
      <c r="AE83" s="19" t="str">
        <f aca="false">IF(OR(V83="",NOT(ISNUMBER(V83))),"",V83*$D$3^2/(2*$H$3))</f>
        <v/>
      </c>
      <c r="AF83" s="20" t="str">
        <f aca="false">IF(OR(V83="",NOT(ISNUMBER(V83))),"",V83*$D$3^2/2*$F$3)</f>
        <v/>
      </c>
      <c r="AG83" s="19" t="str">
        <f aca="false">IF(OR(W83="",NOT(ISNUMBER(W83))),"",W83*$D$3^2/(2*$H$3))</f>
        <v/>
      </c>
      <c r="AH83" s="20" t="str">
        <f aca="false">IF(OR(W83="",NOT(ISNUMBER(W83))),"",W83*$D$3^2/2*$F$3)</f>
        <v/>
      </c>
    </row>
    <row r="84" customFormat="false" ht="15" hidden="false" customHeight="false" outlineLevel="0" collapsed="false">
      <c r="A84" s="10" t="s">
        <v>226</v>
      </c>
      <c r="B84" s="11" t="s">
        <v>41</v>
      </c>
      <c r="C84" s="6" t="s">
        <v>42</v>
      </c>
      <c r="D84" s="6" t="s">
        <v>227</v>
      </c>
      <c r="E84" s="6" t="s">
        <v>221</v>
      </c>
      <c r="F84" s="6" t="s">
        <v>181</v>
      </c>
      <c r="G84" s="6" t="n">
        <v>32</v>
      </c>
      <c r="H84" s="6"/>
      <c r="I84" s="6" t="s">
        <v>111</v>
      </c>
      <c r="J84" s="6" t="n">
        <v>16</v>
      </c>
      <c r="K84" s="6" t="s">
        <v>46</v>
      </c>
      <c r="L84" s="6" t="n">
        <v>102</v>
      </c>
      <c r="M84" s="6" t="n">
        <v>76</v>
      </c>
      <c r="N84" s="12" t="n">
        <v>26.2</v>
      </c>
      <c r="O84" s="12" t="n">
        <v>26.2</v>
      </c>
      <c r="P84" s="13" t="n">
        <v>22</v>
      </c>
      <c r="Q84" s="12"/>
      <c r="R84" s="14" t="n">
        <v>0.023</v>
      </c>
      <c r="S84" s="6" t="n">
        <v>30</v>
      </c>
      <c r="T84" s="6"/>
      <c r="U84" s="15" t="n">
        <f aca="false">(S84*R84+0.5*(1-(P84/N84)^2)+(1-(P84/O84)^2)^2)*(O84/P84)^4</f>
        <v>1.85946709234342</v>
      </c>
      <c r="V84" s="14"/>
      <c r="W84" s="14"/>
      <c r="X84" s="10" t="s">
        <v>47</v>
      </c>
      <c r="Y84" s="16"/>
      <c r="Z84" s="17" t="s">
        <v>48</v>
      </c>
      <c r="AA84" s="6"/>
      <c r="AB84" s="18" t="n">
        <f aca="false">IF(O84="","",$D$3*PI()*(O84/1000)^2/4*3600)</f>
        <v>2.91129506252574</v>
      </c>
      <c r="AC84" s="19" t="n">
        <f aca="false">IF(OR(U84="",NOT(ISNUMBER(U84))),"",U84*$D$3^2/(2*$H$3))</f>
        <v>0.213241639030209</v>
      </c>
      <c r="AD84" s="20" t="n">
        <f aca="false">IF(OR(U84="",NOT(ISNUMBER(U84))),"",U84*$D$3^2/2*$F$3)</f>
        <v>2091.90047888635</v>
      </c>
      <c r="AE84" s="19" t="str">
        <f aca="false">IF(OR(V84="",NOT(ISNUMBER(V84))),"",V84*$D$3^2/(2*$H$3))</f>
        <v/>
      </c>
      <c r="AF84" s="20" t="str">
        <f aca="false">IF(OR(V84="",NOT(ISNUMBER(V84))),"",V84*$D$3^2/2*$F$3)</f>
        <v/>
      </c>
      <c r="AG84" s="19" t="str">
        <f aca="false">IF(OR(W84="",NOT(ISNUMBER(W84))),"",W84*$D$3^2/(2*$H$3))</f>
        <v/>
      </c>
      <c r="AH84" s="20" t="str">
        <f aca="false">IF(OR(W84="",NOT(ISNUMBER(W84))),"",W84*$D$3^2/2*$F$3)</f>
        <v/>
      </c>
    </row>
    <row r="85" customFormat="false" ht="15" hidden="false" customHeight="false" outlineLevel="0" collapsed="false">
      <c r="A85" s="10" t="s">
        <v>228</v>
      </c>
      <c r="B85" s="11" t="s">
        <v>41</v>
      </c>
      <c r="C85" s="6" t="s">
        <v>42</v>
      </c>
      <c r="D85" s="6" t="s">
        <v>229</v>
      </c>
      <c r="E85" s="6" t="s">
        <v>221</v>
      </c>
      <c r="F85" s="6" t="s">
        <v>181</v>
      </c>
      <c r="G85" s="6" t="n">
        <v>32</v>
      </c>
      <c r="H85" s="6"/>
      <c r="I85" s="6" t="s">
        <v>118</v>
      </c>
      <c r="J85" s="6" t="n">
        <v>16</v>
      </c>
      <c r="K85" s="6" t="s">
        <v>46</v>
      </c>
      <c r="L85" s="6" t="n">
        <v>100</v>
      </c>
      <c r="M85" s="6" t="n">
        <v>80</v>
      </c>
      <c r="N85" s="12" t="n">
        <v>26.2</v>
      </c>
      <c r="O85" s="12" t="n">
        <v>26.2</v>
      </c>
      <c r="P85" s="13" t="n">
        <v>22</v>
      </c>
      <c r="Q85" s="12"/>
      <c r="R85" s="14" t="n">
        <v>0.023</v>
      </c>
      <c r="S85" s="6" t="n">
        <v>30</v>
      </c>
      <c r="T85" s="6"/>
      <c r="U85" s="15" t="n">
        <f aca="false">(S85*R85+0.5*(1-(P85/N85)^2)+(1-(P85/O85)^2)^2)*(O85/P85)^4</f>
        <v>1.85946709234342</v>
      </c>
      <c r="V85" s="14"/>
      <c r="W85" s="14"/>
      <c r="X85" s="10" t="s">
        <v>47</v>
      </c>
      <c r="Y85" s="16"/>
      <c r="Z85" s="17" t="s">
        <v>48</v>
      </c>
      <c r="AA85" s="6"/>
      <c r="AB85" s="18" t="n">
        <f aca="false">IF(O85="","",$D$3*PI()*(O85/1000)^2/4*3600)</f>
        <v>2.91129506252574</v>
      </c>
      <c r="AC85" s="19" t="n">
        <f aca="false">IF(OR(U85="",NOT(ISNUMBER(U85))),"",U85*$D$3^2/(2*$H$3))</f>
        <v>0.213241639030209</v>
      </c>
      <c r="AD85" s="20" t="n">
        <f aca="false">IF(OR(U85="",NOT(ISNUMBER(U85))),"",U85*$D$3^2/2*$F$3)</f>
        <v>2091.90047888635</v>
      </c>
      <c r="AE85" s="19" t="str">
        <f aca="false">IF(OR(V85="",NOT(ISNUMBER(V85))),"",V85*$D$3^2/(2*$H$3))</f>
        <v/>
      </c>
      <c r="AF85" s="20" t="str">
        <f aca="false">IF(OR(V85="",NOT(ISNUMBER(V85))),"",V85*$D$3^2/2*$F$3)</f>
        <v/>
      </c>
      <c r="AG85" s="19" t="str">
        <f aca="false">IF(OR(W85="",NOT(ISNUMBER(W85))),"",W85*$D$3^2/(2*$H$3))</f>
        <v/>
      </c>
      <c r="AH85" s="20" t="str">
        <f aca="false">IF(OR(W85="",NOT(ISNUMBER(W85))),"",W85*$D$3^2/2*$F$3)</f>
        <v/>
      </c>
    </row>
    <row r="86" customFormat="false" ht="15" hidden="false" customHeight="false" outlineLevel="0" collapsed="false">
      <c r="A86" s="10" t="s">
        <v>230</v>
      </c>
      <c r="B86" s="11" t="s">
        <v>41</v>
      </c>
      <c r="C86" s="6" t="s">
        <v>42</v>
      </c>
      <c r="D86" s="6" t="s">
        <v>231</v>
      </c>
      <c r="E86" s="6" t="s">
        <v>221</v>
      </c>
      <c r="F86" s="6" t="s">
        <v>181</v>
      </c>
      <c r="G86" s="6" t="n">
        <v>40</v>
      </c>
      <c r="H86" s="6"/>
      <c r="I86" s="6" t="s">
        <v>118</v>
      </c>
      <c r="J86" s="6" t="n">
        <v>16</v>
      </c>
      <c r="K86" s="6" t="s">
        <v>46</v>
      </c>
      <c r="L86" s="6" t="n">
        <v>117</v>
      </c>
      <c r="M86" s="6" t="n">
        <v>96</v>
      </c>
      <c r="N86" s="12" t="n">
        <v>32.6</v>
      </c>
      <c r="O86" s="12" t="n">
        <v>32.6</v>
      </c>
      <c r="P86" s="13" t="n">
        <v>28</v>
      </c>
      <c r="Q86" s="12"/>
      <c r="R86" s="14" t="n">
        <v>0.022</v>
      </c>
      <c r="S86" s="6" t="n">
        <v>30</v>
      </c>
      <c r="T86" s="6"/>
      <c r="U86" s="15" t="n">
        <f aca="false">(S86*R86+0.5*(1-(P86/N86)^2)+(1-(P86/O86)^2)^2)*(O86/P86)^4</f>
        <v>1.5801968027905</v>
      </c>
      <c r="V86" s="14"/>
      <c r="W86" s="14"/>
      <c r="X86" s="10" t="s">
        <v>47</v>
      </c>
      <c r="Y86" s="16"/>
      <c r="Z86" s="17" t="s">
        <v>48</v>
      </c>
      <c r="AA86" s="6"/>
      <c r="AB86" s="18" t="n">
        <f aca="false">IF(O86="","",$D$3*PI()*(O86/1000)^2/4*3600)</f>
        <v>4.50732466151427</v>
      </c>
      <c r="AC86" s="19" t="n">
        <f aca="false">IF(OR(U86="",NOT(ISNUMBER(U86))),"",U86*$D$3^2/(2*$H$3))</f>
        <v>0.18121522967781</v>
      </c>
      <c r="AD86" s="20" t="n">
        <f aca="false">IF(OR(U86="",NOT(ISNUMBER(U86))),"",U86*$D$3^2/2*$F$3)</f>
        <v>1777.72140313932</v>
      </c>
      <c r="AE86" s="19" t="str">
        <f aca="false">IF(OR(V86="",NOT(ISNUMBER(V86))),"",V86*$D$3^2/(2*$H$3))</f>
        <v/>
      </c>
      <c r="AF86" s="20" t="str">
        <f aca="false">IF(OR(V86="",NOT(ISNUMBER(V86))),"",V86*$D$3^2/2*$F$3)</f>
        <v/>
      </c>
      <c r="AG86" s="19" t="str">
        <f aca="false">IF(OR(W86="",NOT(ISNUMBER(W86))),"",W86*$D$3^2/(2*$H$3))</f>
        <v/>
      </c>
      <c r="AH86" s="20" t="str">
        <f aca="false">IF(OR(W86="",NOT(ISNUMBER(W86))),"",W86*$D$3^2/2*$F$3)</f>
        <v/>
      </c>
    </row>
    <row r="87" customFormat="false" ht="15" hidden="false" customHeight="false" outlineLevel="0" collapsed="false">
      <c r="A87" s="10" t="s">
        <v>232</v>
      </c>
      <c r="B87" s="11" t="s">
        <v>41</v>
      </c>
      <c r="C87" s="6" t="s">
        <v>42</v>
      </c>
      <c r="D87" s="6" t="s">
        <v>233</v>
      </c>
      <c r="E87" s="6" t="s">
        <v>221</v>
      </c>
      <c r="F87" s="6" t="s">
        <v>181</v>
      </c>
      <c r="G87" s="6" t="n">
        <v>40</v>
      </c>
      <c r="H87" s="6"/>
      <c r="I87" s="6" t="s">
        <v>127</v>
      </c>
      <c r="J87" s="6" t="n">
        <v>16</v>
      </c>
      <c r="K87" s="6" t="s">
        <v>46</v>
      </c>
      <c r="L87" s="6" t="n">
        <v>117</v>
      </c>
      <c r="M87" s="6" t="n">
        <v>95</v>
      </c>
      <c r="N87" s="12" t="n">
        <v>32.6</v>
      </c>
      <c r="O87" s="12" t="n">
        <v>32.6</v>
      </c>
      <c r="P87" s="13" t="n">
        <v>28</v>
      </c>
      <c r="Q87" s="12"/>
      <c r="R87" s="14" t="n">
        <v>0.022</v>
      </c>
      <c r="S87" s="6" t="n">
        <v>30</v>
      </c>
      <c r="T87" s="6"/>
      <c r="U87" s="15" t="n">
        <f aca="false">(S87*R87+0.5*(1-(P87/N87)^2)+(1-(P87/O87)^2)^2)*(O87/P87)^4</f>
        <v>1.5801968027905</v>
      </c>
      <c r="V87" s="14"/>
      <c r="W87" s="14"/>
      <c r="X87" s="10" t="s">
        <v>47</v>
      </c>
      <c r="Y87" s="16"/>
      <c r="Z87" s="17" t="s">
        <v>48</v>
      </c>
      <c r="AA87" s="6"/>
      <c r="AB87" s="18" t="n">
        <f aca="false">IF(O87="","",$D$3*PI()*(O87/1000)^2/4*3600)</f>
        <v>4.50732466151427</v>
      </c>
      <c r="AC87" s="19" t="n">
        <f aca="false">IF(OR(U87="",NOT(ISNUMBER(U87))),"",U87*$D$3^2/(2*$H$3))</f>
        <v>0.18121522967781</v>
      </c>
      <c r="AD87" s="20" t="n">
        <f aca="false">IF(OR(U87="",NOT(ISNUMBER(U87))),"",U87*$D$3^2/2*$F$3)</f>
        <v>1777.72140313932</v>
      </c>
      <c r="AE87" s="19" t="str">
        <f aca="false">IF(OR(V87="",NOT(ISNUMBER(V87))),"",V87*$D$3^2/(2*$H$3))</f>
        <v/>
      </c>
      <c r="AF87" s="20" t="str">
        <f aca="false">IF(OR(V87="",NOT(ISNUMBER(V87))),"",V87*$D$3^2/2*$F$3)</f>
        <v/>
      </c>
      <c r="AG87" s="19" t="str">
        <f aca="false">IF(OR(W87="",NOT(ISNUMBER(W87))),"",W87*$D$3^2/(2*$H$3))</f>
        <v/>
      </c>
      <c r="AH87" s="20" t="str">
        <f aca="false">IF(OR(W87="",NOT(ISNUMBER(W87))),"",W87*$D$3^2/2*$F$3)</f>
        <v/>
      </c>
    </row>
    <row r="88" customFormat="false" ht="15" hidden="false" customHeight="false" outlineLevel="0" collapsed="false">
      <c r="A88" s="10" t="s">
        <v>234</v>
      </c>
      <c r="B88" s="11" t="s">
        <v>41</v>
      </c>
      <c r="C88" s="6" t="s">
        <v>42</v>
      </c>
      <c r="D88" s="6" t="s">
        <v>235</v>
      </c>
      <c r="E88" s="6" t="s">
        <v>221</v>
      </c>
      <c r="F88" s="6" t="s">
        <v>181</v>
      </c>
      <c r="G88" s="6" t="n">
        <v>50</v>
      </c>
      <c r="H88" s="6"/>
      <c r="I88" s="6" t="s">
        <v>130</v>
      </c>
      <c r="J88" s="6" t="n">
        <v>16</v>
      </c>
      <c r="K88" s="6" t="s">
        <v>46</v>
      </c>
      <c r="L88" s="6" t="n">
        <v>145</v>
      </c>
      <c r="M88" s="6" t="n">
        <v>111</v>
      </c>
      <c r="N88" s="12" t="n">
        <v>40.8</v>
      </c>
      <c r="O88" s="12" t="n">
        <v>40.8</v>
      </c>
      <c r="P88" s="13" t="n">
        <v>35</v>
      </c>
      <c r="Q88" s="12"/>
      <c r="R88" s="14" t="n">
        <v>0.021</v>
      </c>
      <c r="S88" s="6" t="n">
        <v>30</v>
      </c>
      <c r="T88" s="6"/>
      <c r="U88" s="15" t="n">
        <f aca="false">(S88*R88+0.5*(1-(P88/N88)^2)+(1-(P88/O88)^2)^2)*(O88/P88)^4</f>
        <v>1.53599405717484</v>
      </c>
      <c r="V88" s="14"/>
      <c r="W88" s="14"/>
      <c r="X88" s="10" t="s">
        <v>47</v>
      </c>
      <c r="Y88" s="16"/>
      <c r="Z88" s="17" t="s">
        <v>48</v>
      </c>
      <c r="AA88" s="6"/>
      <c r="AB88" s="18" t="n">
        <f aca="false">IF(O88="","",$D$3*PI()*(O88/1000)^2/4*3600)</f>
        <v>7.05998807307681</v>
      </c>
      <c r="AC88" s="19" t="n">
        <f aca="false">IF(OR(U88="",NOT(ISNUMBER(U88))),"",U88*$D$3^2/(2*$H$3))</f>
        <v>0.176146107474179</v>
      </c>
      <c r="AD88" s="20" t="n">
        <f aca="false">IF(OR(U88="",NOT(ISNUMBER(U88))),"",U88*$D$3^2/2*$F$3)</f>
        <v>1727.9933143217</v>
      </c>
      <c r="AE88" s="19" t="str">
        <f aca="false">IF(OR(V88="",NOT(ISNUMBER(V88))),"",V88*$D$3^2/(2*$H$3))</f>
        <v/>
      </c>
      <c r="AF88" s="20" t="str">
        <f aca="false">IF(OR(V88="",NOT(ISNUMBER(V88))),"",V88*$D$3^2/2*$F$3)</f>
        <v/>
      </c>
      <c r="AG88" s="19" t="str">
        <f aca="false">IF(OR(W88="",NOT(ISNUMBER(W88))),"",W88*$D$3^2/(2*$H$3))</f>
        <v/>
      </c>
      <c r="AH88" s="20" t="str">
        <f aca="false">IF(OR(W88="",NOT(ISNUMBER(W88))),"",W88*$D$3^2/2*$F$3)</f>
        <v/>
      </c>
    </row>
    <row r="89" customFormat="false" ht="15" hidden="false" customHeight="false" outlineLevel="0" collapsed="false">
      <c r="A89" s="10" t="s">
        <v>236</v>
      </c>
      <c r="B89" s="11" t="s">
        <v>41</v>
      </c>
      <c r="C89" s="6" t="s">
        <v>42</v>
      </c>
      <c r="D89" s="6" t="s">
        <v>237</v>
      </c>
      <c r="E89" s="6" t="s">
        <v>221</v>
      </c>
      <c r="F89" s="6" t="s">
        <v>181</v>
      </c>
      <c r="G89" s="6" t="n">
        <v>63</v>
      </c>
      <c r="H89" s="6"/>
      <c r="I89" s="6" t="s">
        <v>133</v>
      </c>
      <c r="J89" s="6" t="n">
        <v>16</v>
      </c>
      <c r="K89" s="6" t="s">
        <v>46</v>
      </c>
      <c r="L89" s="6" t="n">
        <v>179</v>
      </c>
      <c r="M89" s="6" t="n">
        <v>132</v>
      </c>
      <c r="N89" s="12" t="n">
        <v>51.4</v>
      </c>
      <c r="O89" s="12" t="n">
        <v>51.4</v>
      </c>
      <c r="P89" s="13" t="n">
        <v>45</v>
      </c>
      <c r="Q89" s="12"/>
      <c r="R89" s="14" t="n">
        <v>0.019</v>
      </c>
      <c r="S89" s="6" t="n">
        <v>30</v>
      </c>
      <c r="T89" s="6"/>
      <c r="U89" s="15" t="n">
        <f aca="false">(S89*R89+0.5*(1-(P89/N89)^2)+(1-(P89/O89)^2)^2)*(O89/P89)^4</f>
        <v>1.26180874088999</v>
      </c>
      <c r="V89" s="14"/>
      <c r="W89" s="14"/>
      <c r="X89" s="10" t="s">
        <v>47</v>
      </c>
      <c r="Y89" s="16"/>
      <c r="Z89" s="17" t="s">
        <v>48</v>
      </c>
      <c r="AA89" s="6"/>
      <c r="AB89" s="18" t="n">
        <f aca="false">IF(O89="","",$D$3*PI()*(O89/1000)^2/4*3600)</f>
        <v>11.2049488715554</v>
      </c>
      <c r="AC89" s="19" t="n">
        <f aca="false">IF(OR(U89="",NOT(ISNUMBER(U89))),"",U89*$D$3^2/(2*$H$3))</f>
        <v>0.144702837258026</v>
      </c>
      <c r="AD89" s="20" t="n">
        <f aca="false">IF(OR(U89="",NOT(ISNUMBER(U89))),"",U89*$D$3^2/2*$F$3)</f>
        <v>1419.53483350123</v>
      </c>
      <c r="AE89" s="19" t="str">
        <f aca="false">IF(OR(V89="",NOT(ISNUMBER(V89))),"",V89*$D$3^2/(2*$H$3))</f>
        <v/>
      </c>
      <c r="AF89" s="20" t="str">
        <f aca="false">IF(OR(V89="",NOT(ISNUMBER(V89))),"",V89*$D$3^2/2*$F$3)</f>
        <v/>
      </c>
      <c r="AG89" s="19" t="str">
        <f aca="false">IF(OR(W89="",NOT(ISNUMBER(W89))),"",W89*$D$3^2/(2*$H$3))</f>
        <v/>
      </c>
      <c r="AH89" s="20" t="str">
        <f aca="false">IF(OR(W89="",NOT(ISNUMBER(W89))),"",W89*$D$3^2/2*$F$3)</f>
        <v/>
      </c>
    </row>
    <row r="90" customFormat="false" ht="15" hidden="false" customHeight="false" outlineLevel="0" collapsed="false">
      <c r="A90" s="10" t="s">
        <v>238</v>
      </c>
      <c r="B90" s="11" t="s">
        <v>41</v>
      </c>
      <c r="C90" s="6" t="s">
        <v>42</v>
      </c>
      <c r="D90" s="6" t="s">
        <v>239</v>
      </c>
      <c r="E90" s="6" t="s">
        <v>221</v>
      </c>
      <c r="F90" s="6" t="s">
        <v>181</v>
      </c>
      <c r="G90" s="6" t="n">
        <v>75</v>
      </c>
      <c r="H90" s="6"/>
      <c r="I90" s="6" t="s">
        <v>136</v>
      </c>
      <c r="J90" s="6" t="n">
        <v>16</v>
      </c>
      <c r="K90" s="6" t="s">
        <v>46</v>
      </c>
      <c r="L90" s="6" t="n">
        <v>215</v>
      </c>
      <c r="M90" s="6" t="n">
        <v>165</v>
      </c>
      <c r="N90" s="12" t="n">
        <v>61.4</v>
      </c>
      <c r="O90" s="12" t="n">
        <v>61.4</v>
      </c>
      <c r="P90" s="13" t="n">
        <v>54</v>
      </c>
      <c r="Q90" s="12"/>
      <c r="R90" s="14" t="n">
        <v>0.018</v>
      </c>
      <c r="S90" s="6" t="n">
        <v>30</v>
      </c>
      <c r="T90" s="6"/>
      <c r="U90" s="15" t="n">
        <f aca="false">(S90*R90+0.5*(1-(P90/N90)^2)+(1-(P90/O90)^2)^2)*(O90/P90)^4</f>
        <v>1.17766463483999</v>
      </c>
      <c r="V90" s="14"/>
      <c r="W90" s="14"/>
      <c r="X90" s="10" t="s">
        <v>47</v>
      </c>
      <c r="Y90" s="16"/>
      <c r="Z90" s="17" t="s">
        <v>48</v>
      </c>
      <c r="AA90" s="6"/>
      <c r="AB90" s="18" t="n">
        <f aca="false">IF(O90="","",$D$3*PI()*(O90/1000)^2/4*3600)</f>
        <v>15.988966164442</v>
      </c>
      <c r="AC90" s="19" t="n">
        <f aca="false">IF(OR(U90="",NOT(ISNUMBER(U90))),"",U90*$D$3^2/(2*$H$3))</f>
        <v>0.135053283811926</v>
      </c>
      <c r="AD90" s="20" t="n">
        <f aca="false">IF(OR(U90="",NOT(ISNUMBER(U90))),"",U90*$D$3^2/2*$F$3)</f>
        <v>1324.87271419499</v>
      </c>
      <c r="AE90" s="19" t="str">
        <f aca="false">IF(OR(V90="",NOT(ISNUMBER(V90))),"",V90*$D$3^2/(2*$H$3))</f>
        <v/>
      </c>
      <c r="AF90" s="20" t="str">
        <f aca="false">IF(OR(V90="",NOT(ISNUMBER(V90))),"",V90*$D$3^2/2*$F$3)</f>
        <v/>
      </c>
      <c r="AG90" s="19" t="str">
        <f aca="false">IF(OR(W90="",NOT(ISNUMBER(W90))),"",W90*$D$3^2/(2*$H$3))</f>
        <v/>
      </c>
      <c r="AH90" s="20" t="str">
        <f aca="false">IF(OR(W90="",NOT(ISNUMBER(W90))),"",W90*$D$3^2/2*$F$3)</f>
        <v/>
      </c>
    </row>
    <row r="91" customFormat="false" ht="15" hidden="false" customHeight="false" outlineLevel="0" collapsed="false">
      <c r="A91" s="10" t="s">
        <v>240</v>
      </c>
      <c r="B91" s="11" t="s">
        <v>41</v>
      </c>
      <c r="C91" s="6" t="s">
        <v>42</v>
      </c>
      <c r="D91" s="6" t="s">
        <v>241</v>
      </c>
      <c r="E91" s="6" t="s">
        <v>221</v>
      </c>
      <c r="F91" s="6" t="s">
        <v>181</v>
      </c>
      <c r="G91" s="6" t="n">
        <v>90</v>
      </c>
      <c r="H91" s="6"/>
      <c r="I91" s="6" t="s">
        <v>139</v>
      </c>
      <c r="J91" s="6" t="n">
        <v>16</v>
      </c>
      <c r="K91" s="6" t="s">
        <v>46</v>
      </c>
      <c r="L91" s="6" t="n">
        <v>251</v>
      </c>
      <c r="M91" s="6" t="n">
        <v>193</v>
      </c>
      <c r="N91" s="12" t="n">
        <v>73.6</v>
      </c>
      <c r="O91" s="12" t="n">
        <v>73.6</v>
      </c>
      <c r="P91" s="13" t="n">
        <v>66</v>
      </c>
      <c r="Q91" s="12"/>
      <c r="R91" s="14" t="n">
        <v>0.018</v>
      </c>
      <c r="S91" s="6" t="n">
        <v>30</v>
      </c>
      <c r="T91" s="6"/>
      <c r="U91" s="15" t="n">
        <f aca="false">(S91*R91+0.5*(1-(P91/N91)^2)+(1-(P91/O91)^2)^2)*(O91/P91)^4</f>
        <v>1.04584807445353</v>
      </c>
      <c r="V91" s="14"/>
      <c r="W91" s="14"/>
      <c r="X91" s="10" t="s">
        <v>47</v>
      </c>
      <c r="Y91" s="16"/>
      <c r="Z91" s="17" t="s">
        <v>48</v>
      </c>
      <c r="AA91" s="6"/>
      <c r="AB91" s="18" t="n">
        <f aca="false">IF(O91="","",$D$3*PI()*(O91/1000)^2/4*3600)</f>
        <v>22.9741403500662</v>
      </c>
      <c r="AC91" s="19" t="n">
        <f aca="false">IF(OR(U91="",NOT(ISNUMBER(U91))),"",U91*$D$3^2/(2*$H$3))</f>
        <v>0.119936705785955</v>
      </c>
      <c r="AD91" s="20" t="n">
        <f aca="false">IF(OR(U91="",NOT(ISNUMBER(U91))),"",U91*$D$3^2/2*$F$3)</f>
        <v>1176.57908376022</v>
      </c>
      <c r="AE91" s="19" t="str">
        <f aca="false">IF(OR(V91="",NOT(ISNUMBER(V91))),"",V91*$D$3^2/(2*$H$3))</f>
        <v/>
      </c>
      <c r="AF91" s="20" t="str">
        <f aca="false">IF(OR(V91="",NOT(ISNUMBER(V91))),"",V91*$D$3^2/2*$F$3)</f>
        <v/>
      </c>
      <c r="AG91" s="19" t="str">
        <f aca="false">IF(OR(W91="",NOT(ISNUMBER(W91))),"",W91*$D$3^2/(2*$H$3))</f>
        <v/>
      </c>
      <c r="AH91" s="20" t="str">
        <f aca="false">IF(OR(W91="",NOT(ISNUMBER(W91))),"",W91*$D$3^2/2*$F$3)</f>
        <v/>
      </c>
    </row>
    <row r="92" customFormat="false" ht="15" hidden="false" customHeight="false" outlineLevel="0" collapsed="false">
      <c r="A92" s="10" t="s">
        <v>242</v>
      </c>
      <c r="B92" s="11" t="s">
        <v>41</v>
      </c>
      <c r="C92" s="6" t="s">
        <v>42</v>
      </c>
      <c r="D92" s="6" t="s">
        <v>243</v>
      </c>
      <c r="E92" s="6" t="s">
        <v>221</v>
      </c>
      <c r="F92" s="6" t="s">
        <v>181</v>
      </c>
      <c r="G92" s="6" t="n">
        <v>110</v>
      </c>
      <c r="H92" s="6"/>
      <c r="I92" s="6" t="s">
        <v>142</v>
      </c>
      <c r="J92" s="6" t="n">
        <v>16</v>
      </c>
      <c r="K92" s="6" t="s">
        <v>46</v>
      </c>
      <c r="L92" s="6" t="n">
        <v>294</v>
      </c>
      <c r="M92" s="6" t="n">
        <v>219</v>
      </c>
      <c r="N92" s="12" t="n">
        <v>90</v>
      </c>
      <c r="O92" s="12" t="n">
        <v>90</v>
      </c>
      <c r="P92" s="13" t="n">
        <v>81</v>
      </c>
      <c r="Q92" s="12"/>
      <c r="R92" s="14" t="n">
        <v>0.017</v>
      </c>
      <c r="S92" s="6" t="n">
        <v>30</v>
      </c>
      <c r="T92" s="6"/>
      <c r="U92" s="15" t="n">
        <f aca="false">(S92*R92+0.5*(1-(P92/N92)^2)+(1-(P92/O92)^2)^2)*(O92/P92)^4</f>
        <v>0.977137631458619</v>
      </c>
      <c r="V92" s="14"/>
      <c r="W92" s="14"/>
      <c r="X92" s="10" t="s">
        <v>47</v>
      </c>
      <c r="Y92" s="16"/>
      <c r="Z92" s="17" t="s">
        <v>48</v>
      </c>
      <c r="AA92" s="6"/>
      <c r="AB92" s="18" t="n">
        <f aca="false">IF(O92="","",$D$3*PI()*(O92/1000)^2/4*3600)</f>
        <v>34.3533156670044</v>
      </c>
      <c r="AC92" s="19" t="n">
        <f aca="false">IF(OR(U92="",NOT(ISNUMBER(U92))),"",U92*$D$3^2/(2*$H$3))</f>
        <v>0.112057067827823</v>
      </c>
      <c r="AD92" s="20" t="n">
        <f aca="false">IF(OR(U92="",NOT(ISNUMBER(U92))),"",U92*$D$3^2/2*$F$3)</f>
        <v>1099.27983539095</v>
      </c>
      <c r="AE92" s="19" t="str">
        <f aca="false">IF(OR(V92="",NOT(ISNUMBER(V92))),"",V92*$D$3^2/(2*$H$3))</f>
        <v/>
      </c>
      <c r="AF92" s="20" t="str">
        <f aca="false">IF(OR(V92="",NOT(ISNUMBER(V92))),"",V92*$D$3^2/2*$F$3)</f>
        <v/>
      </c>
      <c r="AG92" s="19" t="str">
        <f aca="false">IF(OR(W92="",NOT(ISNUMBER(W92))),"",W92*$D$3^2/(2*$H$3))</f>
        <v/>
      </c>
      <c r="AH92" s="20" t="str">
        <f aca="false">IF(OR(W92="",NOT(ISNUMBER(W92))),"",W92*$D$3^2/2*$F$3)</f>
        <v/>
      </c>
    </row>
    <row r="93" customFormat="false" ht="15" hidden="false" customHeight="false" outlineLevel="0" collapsed="false">
      <c r="A93" s="10" t="s">
        <v>244</v>
      </c>
      <c r="B93" s="11" t="s">
        <v>41</v>
      </c>
      <c r="C93" s="6" t="s">
        <v>42</v>
      </c>
      <c r="D93" s="6" t="s">
        <v>245</v>
      </c>
      <c r="E93" s="6" t="s">
        <v>246</v>
      </c>
      <c r="F93" s="6" t="s">
        <v>247</v>
      </c>
      <c r="G93" s="6" t="n">
        <v>20</v>
      </c>
      <c r="H93" s="6" t="n">
        <v>20</v>
      </c>
      <c r="I93" s="6"/>
      <c r="J93" s="6" t="n">
        <v>16</v>
      </c>
      <c r="K93" s="6" t="s">
        <v>46</v>
      </c>
      <c r="L93" s="6" t="n">
        <v>113</v>
      </c>
      <c r="M93" s="6" t="n">
        <v>79</v>
      </c>
      <c r="N93" s="12" t="n">
        <v>16</v>
      </c>
      <c r="O93" s="12" t="n">
        <v>16</v>
      </c>
      <c r="P93" s="13" t="n">
        <v>13</v>
      </c>
      <c r="Q93" s="13" t="n">
        <v>13</v>
      </c>
      <c r="R93" s="14" t="n">
        <v>0.027</v>
      </c>
      <c r="S93" s="6" t="n">
        <v>20</v>
      </c>
      <c r="T93" s="6"/>
      <c r="U93" s="15" t="n">
        <f aca="false">(20*R93+0.5*(1-(P93/N93)^2)+(1-(P93/N93)^2)^2)*(N93/P93)^4</f>
        <v>1.89399670879871</v>
      </c>
      <c r="V93" s="15" t="n">
        <f aca="false">(60*R93+0.5*(1-(Q93/N93)^2)+(1-(Q93/O93)^2)^2)*(O93/Q93)^4</f>
        <v>4.37216203914429</v>
      </c>
      <c r="W93" s="14"/>
      <c r="X93" s="10" t="s">
        <v>248</v>
      </c>
      <c r="Y93" s="16"/>
      <c r="Z93" s="17" t="s">
        <v>48</v>
      </c>
      <c r="AA93" s="6"/>
      <c r="AB93" s="18" t="n">
        <f aca="false">IF(O93="","",$D$3*PI()*(O93/1000)^2/4*3600)</f>
        <v>1.08573442108063</v>
      </c>
      <c r="AC93" s="19" t="n">
        <f aca="false">IF(OR(U93="",NOT(ISNUMBER(U93))),"",U93*$D$3^2/(2*$H$3))</f>
        <v>0.217201457431045</v>
      </c>
      <c r="AD93" s="20" t="n">
        <f aca="false">IF(OR(U93="",NOT(ISNUMBER(U93))),"",U93*$D$3^2/2*$F$3)</f>
        <v>2130.74629739855</v>
      </c>
      <c r="AE93" s="19" t="n">
        <f aca="false">IF(OR(V93="",NOT(ISNUMBER(V93))),"",V93*$D$3^2/(2*$H$3))</f>
        <v>0.501394729259666</v>
      </c>
      <c r="AF93" s="20" t="n">
        <f aca="false">IF(OR(V93="",NOT(ISNUMBER(V93))),"",V93*$D$3^2/2*$F$3)</f>
        <v>4918.68229403732</v>
      </c>
      <c r="AG93" s="19" t="str">
        <f aca="false">IF(OR(W93="",NOT(ISNUMBER(W93))),"",W93*$D$3^2/(2*$H$3))</f>
        <v/>
      </c>
      <c r="AH93" s="20" t="str">
        <f aca="false">IF(OR(W93="",NOT(ISNUMBER(W93))),"",W93*$D$3^2/2*$F$3)</f>
        <v/>
      </c>
    </row>
    <row r="94" customFormat="false" ht="15" hidden="false" customHeight="false" outlineLevel="0" collapsed="false">
      <c r="A94" s="10" t="s">
        <v>249</v>
      </c>
      <c r="B94" s="11" t="s">
        <v>41</v>
      </c>
      <c r="C94" s="6" t="s">
        <v>42</v>
      </c>
      <c r="D94" s="6" t="s">
        <v>250</v>
      </c>
      <c r="E94" s="6" t="s">
        <v>246</v>
      </c>
      <c r="F94" s="6" t="s">
        <v>247</v>
      </c>
      <c r="G94" s="6" t="n">
        <v>25</v>
      </c>
      <c r="H94" s="6" t="n">
        <v>25</v>
      </c>
      <c r="I94" s="6"/>
      <c r="J94" s="6" t="n">
        <v>16</v>
      </c>
      <c r="K94" s="6" t="s">
        <v>46</v>
      </c>
      <c r="L94" s="6" t="n">
        <v>129</v>
      </c>
      <c r="M94" s="6" t="n">
        <v>90</v>
      </c>
      <c r="N94" s="12" t="n">
        <v>20.4</v>
      </c>
      <c r="O94" s="12" t="n">
        <v>20.4</v>
      </c>
      <c r="P94" s="13" t="n">
        <v>17</v>
      </c>
      <c r="Q94" s="13" t="n">
        <v>17</v>
      </c>
      <c r="R94" s="14" t="n">
        <v>0.025</v>
      </c>
      <c r="S94" s="6" t="n">
        <v>20</v>
      </c>
      <c r="T94" s="6"/>
      <c r="U94" s="15" t="n">
        <f aca="false">(20*R94+0.5*(1-(P94/N94)^2)+(1-(P94/N94)^2)^2)*(N94/P94)^4</f>
        <v>1.5472</v>
      </c>
      <c r="V94" s="15" t="n">
        <f aca="false">(60*R94+0.5*(1-(Q94/N94)^2)+(1-(Q94/O94)^2)^2)*(O94/Q94)^4</f>
        <v>3.6208</v>
      </c>
      <c r="W94" s="14"/>
      <c r="X94" s="10" t="s">
        <v>248</v>
      </c>
      <c r="Y94" s="16"/>
      <c r="Z94" s="17" t="s">
        <v>48</v>
      </c>
      <c r="AA94" s="6"/>
      <c r="AB94" s="18" t="n">
        <f aca="false">IF(O94="","",$D$3*PI()*(O94/1000)^2/4*3600)</f>
        <v>1.7649970182692</v>
      </c>
      <c r="AC94" s="19" t="n">
        <f aca="false">IF(OR(U94="",NOT(ISNUMBER(U94))),"",U94*$D$3^2/(2*$H$3))</f>
        <v>0.17743119266055</v>
      </c>
      <c r="AD94" s="20" t="n">
        <f aca="false">IF(OR(U94="",NOT(ISNUMBER(U94))),"",U94*$D$3^2/2*$F$3)</f>
        <v>1740.6</v>
      </c>
      <c r="AE94" s="19" t="n">
        <f aca="false">IF(OR(V94="",NOT(ISNUMBER(V94))),"",V94*$D$3^2/(2*$H$3))</f>
        <v>0.415229357798165</v>
      </c>
      <c r="AF94" s="20" t="n">
        <f aca="false">IF(OR(V94="",NOT(ISNUMBER(V94))),"",V94*$D$3^2/2*$F$3)</f>
        <v>4073.4</v>
      </c>
      <c r="AG94" s="19" t="str">
        <f aca="false">IF(OR(W94="",NOT(ISNUMBER(W94))),"",W94*$D$3^2/(2*$H$3))</f>
        <v/>
      </c>
      <c r="AH94" s="20" t="str">
        <f aca="false">IF(OR(W94="",NOT(ISNUMBER(W94))),"",W94*$D$3^2/2*$F$3)</f>
        <v/>
      </c>
    </row>
    <row r="95" customFormat="false" ht="15" hidden="false" customHeight="false" outlineLevel="0" collapsed="false">
      <c r="A95" s="10" t="s">
        <v>251</v>
      </c>
      <c r="B95" s="11" t="s">
        <v>41</v>
      </c>
      <c r="C95" s="6" t="s">
        <v>42</v>
      </c>
      <c r="D95" s="6" t="s">
        <v>252</v>
      </c>
      <c r="E95" s="6" t="s">
        <v>246</v>
      </c>
      <c r="F95" s="6" t="s">
        <v>247</v>
      </c>
      <c r="G95" s="6" t="n">
        <v>32</v>
      </c>
      <c r="H95" s="6" t="n">
        <v>32</v>
      </c>
      <c r="I95" s="6"/>
      <c r="J95" s="6" t="n">
        <v>16</v>
      </c>
      <c r="K95" s="6" t="s">
        <v>46</v>
      </c>
      <c r="L95" s="6" t="n">
        <v>154</v>
      </c>
      <c r="M95" s="6" t="n">
        <v>109</v>
      </c>
      <c r="N95" s="12" t="n">
        <v>26.2</v>
      </c>
      <c r="O95" s="12" t="n">
        <v>26.2</v>
      </c>
      <c r="P95" s="13" t="n">
        <v>22</v>
      </c>
      <c r="Q95" s="13" t="n">
        <v>22</v>
      </c>
      <c r="R95" s="14" t="n">
        <v>0.023</v>
      </c>
      <c r="S95" s="6" t="n">
        <v>20</v>
      </c>
      <c r="T95" s="6"/>
      <c r="U95" s="15" t="n">
        <f aca="false">(20*R95+0.5*(1-(P95/N95)^2)+(1-(P95/N95)^2)^2)*(N95/P95)^4</f>
        <v>1.39682805245543</v>
      </c>
      <c r="V95" s="15" t="n">
        <f aca="false">(60*R95+0.5*(1-(Q95/N95)^2)+(1-(Q95/O95)^2)^2)*(O95/Q95)^4</f>
        <v>3.24738421200738</v>
      </c>
      <c r="W95" s="14"/>
      <c r="X95" s="10" t="s">
        <v>248</v>
      </c>
      <c r="Y95" s="16"/>
      <c r="Z95" s="17" t="s">
        <v>48</v>
      </c>
      <c r="AA95" s="6"/>
      <c r="AB95" s="18" t="n">
        <f aca="false">IF(O95="","",$D$3*PI()*(O95/1000)^2/4*3600)</f>
        <v>2.91129506252574</v>
      </c>
      <c r="AC95" s="19" t="n">
        <f aca="false">IF(OR(U95="",NOT(ISNUMBER(U95))),"",U95*$D$3^2/(2*$H$3))</f>
        <v>0.160186703263238</v>
      </c>
      <c r="AD95" s="20" t="n">
        <f aca="false">IF(OR(U95="",NOT(ISNUMBER(U95))),"",U95*$D$3^2/2*$F$3)</f>
        <v>1571.43155901236</v>
      </c>
      <c r="AE95" s="19" t="n">
        <f aca="false">IF(OR(V95="",NOT(ISNUMBER(V95))),"",V95*$D$3^2/(2*$H$3))</f>
        <v>0.372406446331121</v>
      </c>
      <c r="AF95" s="20" t="n">
        <f aca="false">IF(OR(V95="",NOT(ISNUMBER(V95))),"",V95*$D$3^2/2*$F$3)</f>
        <v>3653.3072385083</v>
      </c>
      <c r="AG95" s="19" t="str">
        <f aca="false">IF(OR(W95="",NOT(ISNUMBER(W95))),"",W95*$D$3^2/(2*$H$3))</f>
        <v/>
      </c>
      <c r="AH95" s="20" t="str">
        <f aca="false">IF(OR(W95="",NOT(ISNUMBER(W95))),"",W95*$D$3^2/2*$F$3)</f>
        <v/>
      </c>
    </row>
    <row r="96" customFormat="false" ht="15" hidden="false" customHeight="false" outlineLevel="0" collapsed="false">
      <c r="A96" s="10" t="s">
        <v>253</v>
      </c>
      <c r="B96" s="11" t="s">
        <v>41</v>
      </c>
      <c r="C96" s="6" t="s">
        <v>42</v>
      </c>
      <c r="D96" s="6" t="s">
        <v>254</v>
      </c>
      <c r="E96" s="6" t="s">
        <v>246</v>
      </c>
      <c r="F96" s="6" t="s">
        <v>247</v>
      </c>
      <c r="G96" s="6" t="n">
        <v>40</v>
      </c>
      <c r="H96" s="6" t="n">
        <v>40</v>
      </c>
      <c r="I96" s="6"/>
      <c r="J96" s="6" t="n">
        <v>16</v>
      </c>
      <c r="K96" s="6" t="s">
        <v>46</v>
      </c>
      <c r="L96" s="6" t="n">
        <v>172</v>
      </c>
      <c r="M96" s="6" t="n">
        <v>122</v>
      </c>
      <c r="N96" s="12" t="n">
        <v>32.6</v>
      </c>
      <c r="O96" s="12" t="n">
        <v>32.6</v>
      </c>
      <c r="P96" s="13" t="n">
        <v>28</v>
      </c>
      <c r="Q96" s="13" t="n">
        <v>28</v>
      </c>
      <c r="R96" s="14" t="n">
        <v>0.022</v>
      </c>
      <c r="S96" s="6" t="n">
        <v>20</v>
      </c>
      <c r="T96" s="6"/>
      <c r="U96" s="15" t="n">
        <f aca="false">(20*R96+0.5*(1-(P96/N96)^2)+(1-(P96/N96)^2)^2)*(N96/P96)^4</f>
        <v>1.17593663145564</v>
      </c>
      <c r="V96" s="15" t="n">
        <f aca="false">(60*R96+0.5*(1-(Q96/N96)^2)+(1-(Q96/O96)^2)^2)*(O96/Q96)^4</f>
        <v>2.79297731679509</v>
      </c>
      <c r="W96" s="14"/>
      <c r="X96" s="10" t="s">
        <v>248</v>
      </c>
      <c r="Y96" s="16"/>
      <c r="Z96" s="17" t="s">
        <v>48</v>
      </c>
      <c r="AA96" s="6"/>
      <c r="AB96" s="18" t="n">
        <f aca="false">IF(O96="","",$D$3*PI()*(O96/1000)^2/4*3600)</f>
        <v>4.50732466151427</v>
      </c>
      <c r="AC96" s="19" t="n">
        <f aca="false">IF(OR(U96="",NOT(ISNUMBER(U96))),"",U96*$D$3^2/(2*$H$3))</f>
        <v>0.134855118286198</v>
      </c>
      <c r="AD96" s="20" t="n">
        <f aca="false">IF(OR(U96="",NOT(ISNUMBER(U96))),"",U96*$D$3^2/2*$F$3)</f>
        <v>1322.9287103876</v>
      </c>
      <c r="AE96" s="19" t="n">
        <f aca="false">IF(OR(V96="",NOT(ISNUMBER(V96))),"",V96*$D$3^2/(2*$H$3))</f>
        <v>0.320295563852647</v>
      </c>
      <c r="AF96" s="20" t="n">
        <f aca="false">IF(OR(V96="",NOT(ISNUMBER(V96))),"",V96*$D$3^2/2*$F$3)</f>
        <v>3142.09948139447</v>
      </c>
      <c r="AG96" s="19" t="str">
        <f aca="false">IF(OR(W96="",NOT(ISNUMBER(W96))),"",W96*$D$3^2/(2*$H$3))</f>
        <v/>
      </c>
      <c r="AH96" s="20" t="str">
        <f aca="false">IF(OR(W96="",NOT(ISNUMBER(W96))),"",W96*$D$3^2/2*$F$3)</f>
        <v/>
      </c>
    </row>
    <row r="97" customFormat="false" ht="15" hidden="false" customHeight="false" outlineLevel="0" collapsed="false">
      <c r="A97" s="10" t="s">
        <v>255</v>
      </c>
      <c r="B97" s="11" t="s">
        <v>41</v>
      </c>
      <c r="C97" s="6" t="s">
        <v>42</v>
      </c>
      <c r="D97" s="6" t="s">
        <v>256</v>
      </c>
      <c r="E97" s="6" t="s">
        <v>246</v>
      </c>
      <c r="F97" s="6" t="s">
        <v>247</v>
      </c>
      <c r="G97" s="6" t="n">
        <v>50</v>
      </c>
      <c r="H97" s="6" t="n">
        <v>50</v>
      </c>
      <c r="I97" s="6"/>
      <c r="J97" s="6" t="n">
        <v>16</v>
      </c>
      <c r="K97" s="6" t="s">
        <v>46</v>
      </c>
      <c r="L97" s="6" t="n">
        <v>223</v>
      </c>
      <c r="M97" s="6" t="n">
        <v>154</v>
      </c>
      <c r="N97" s="12" t="n">
        <v>40.8</v>
      </c>
      <c r="O97" s="12" t="n">
        <v>40.8</v>
      </c>
      <c r="P97" s="13" t="n">
        <v>35</v>
      </c>
      <c r="Q97" s="13" t="n">
        <v>35</v>
      </c>
      <c r="R97" s="14" t="n">
        <v>0.021</v>
      </c>
      <c r="S97" s="6" t="n">
        <v>20</v>
      </c>
      <c r="T97" s="6"/>
      <c r="U97" s="15" t="n">
        <f aca="false">(20*R97+0.5*(1-(P97/N97)^2)+(1-(P97/N97)^2)^2)*(N97/P97)^4</f>
        <v>1.14821194691012</v>
      </c>
      <c r="V97" s="15" t="n">
        <f aca="false">(60*R97+0.5*(1-(Q97/N97)^2)+(1-(Q97/O97)^2)^2)*(O97/Q97)^4</f>
        <v>2.69934038796901</v>
      </c>
      <c r="W97" s="14"/>
      <c r="X97" s="10" t="s">
        <v>248</v>
      </c>
      <c r="Y97" s="16"/>
      <c r="Z97" s="17" t="s">
        <v>48</v>
      </c>
      <c r="AA97" s="6"/>
      <c r="AB97" s="18" t="n">
        <f aca="false">IF(O97="","",$D$3*PI()*(O97/1000)^2/4*3600)</f>
        <v>7.05998807307681</v>
      </c>
      <c r="AC97" s="19" t="n">
        <f aca="false">IF(OR(U97="",NOT(ISNUMBER(U97))),"",U97*$D$3^2/(2*$H$3))</f>
        <v>0.131675681985106</v>
      </c>
      <c r="AD97" s="20" t="n">
        <f aca="false">IF(OR(U97="",NOT(ISNUMBER(U97))),"",U97*$D$3^2/2*$F$3)</f>
        <v>1291.73844027389</v>
      </c>
      <c r="AE97" s="19" t="n">
        <f aca="false">IF(OR(V97="",NOT(ISNUMBER(V97))),"",V97*$D$3^2/(2*$H$3))</f>
        <v>0.309557383941401</v>
      </c>
      <c r="AF97" s="20" t="n">
        <f aca="false">IF(OR(V97="",NOT(ISNUMBER(V97))),"",V97*$D$3^2/2*$F$3)</f>
        <v>3036.75793646514</v>
      </c>
      <c r="AG97" s="19" t="str">
        <f aca="false">IF(OR(W97="",NOT(ISNUMBER(W97))),"",W97*$D$3^2/(2*$H$3))</f>
        <v/>
      </c>
      <c r="AH97" s="20" t="str">
        <f aca="false">IF(OR(W97="",NOT(ISNUMBER(W97))),"",W97*$D$3^2/2*$F$3)</f>
        <v/>
      </c>
    </row>
    <row r="98" customFormat="false" ht="15" hidden="false" customHeight="false" outlineLevel="0" collapsed="false">
      <c r="A98" s="10" t="s">
        <v>257</v>
      </c>
      <c r="B98" s="11" t="s">
        <v>41</v>
      </c>
      <c r="C98" s="6" t="s">
        <v>42</v>
      </c>
      <c r="D98" s="6" t="s">
        <v>258</v>
      </c>
      <c r="E98" s="6" t="s">
        <v>246</v>
      </c>
      <c r="F98" s="6" t="s">
        <v>247</v>
      </c>
      <c r="G98" s="6" t="n">
        <v>63</v>
      </c>
      <c r="H98" s="6" t="n">
        <v>63</v>
      </c>
      <c r="I98" s="6"/>
      <c r="J98" s="6" t="n">
        <v>16</v>
      </c>
      <c r="K98" s="6" t="s">
        <v>46</v>
      </c>
      <c r="L98" s="6" t="n">
        <v>275</v>
      </c>
      <c r="M98" s="6" t="n">
        <v>189</v>
      </c>
      <c r="N98" s="12" t="n">
        <v>51.4</v>
      </c>
      <c r="O98" s="12" t="n">
        <v>51.4</v>
      </c>
      <c r="P98" s="13" t="n">
        <v>45</v>
      </c>
      <c r="Q98" s="13" t="n">
        <v>45</v>
      </c>
      <c r="R98" s="14" t="n">
        <v>0.019</v>
      </c>
      <c r="S98" s="6" t="n">
        <v>20</v>
      </c>
      <c r="T98" s="6"/>
      <c r="U98" s="15" t="n">
        <f aca="false">(20*R98+0.5*(1-(P98/N98)^2)+(1-(P98/N98)^2)^2)*(N98/P98)^4</f>
        <v>0.938396821510867</v>
      </c>
      <c r="V98" s="15" t="n">
        <f aca="false">(60*R98+0.5*(1-(Q98/N98)^2)+(1-(Q98/O98)^2)^2)*(O98/Q98)^4</f>
        <v>2.23204449902734</v>
      </c>
      <c r="W98" s="14"/>
      <c r="X98" s="10" t="s">
        <v>248</v>
      </c>
      <c r="Y98" s="16"/>
      <c r="Z98" s="17" t="s">
        <v>48</v>
      </c>
      <c r="AA98" s="6"/>
      <c r="AB98" s="18" t="n">
        <f aca="false">IF(O98="","",$D$3*PI()*(O98/1000)^2/4*3600)</f>
        <v>11.2049488715554</v>
      </c>
      <c r="AC98" s="19" t="n">
        <f aca="false">IF(OR(U98="",NOT(ISNUMBER(U98))),"",U98*$D$3^2/(2*$H$3))</f>
        <v>0.107614314393448</v>
      </c>
      <c r="AD98" s="20" t="n">
        <f aca="false">IF(OR(U98="",NOT(ISNUMBER(U98))),"",U98*$D$3^2/2*$F$3)</f>
        <v>1055.69642419973</v>
      </c>
      <c r="AE98" s="19" t="n">
        <f aca="false">IF(OR(V98="",NOT(ISNUMBER(V98))),"",V98*$D$3^2/(2*$H$3))</f>
        <v>0.25596840585176</v>
      </c>
      <c r="AF98" s="20" t="n">
        <f aca="false">IF(OR(V98="",NOT(ISNUMBER(V98))),"",V98*$D$3^2/2*$F$3)</f>
        <v>2511.05006140576</v>
      </c>
      <c r="AG98" s="19" t="str">
        <f aca="false">IF(OR(W98="",NOT(ISNUMBER(W98))),"",W98*$D$3^2/(2*$H$3))</f>
        <v/>
      </c>
      <c r="AH98" s="20" t="str">
        <f aca="false">IF(OR(W98="",NOT(ISNUMBER(W98))),"",W98*$D$3^2/2*$F$3)</f>
        <v/>
      </c>
    </row>
    <row r="99" customFormat="false" ht="15" hidden="false" customHeight="false" outlineLevel="0" collapsed="false">
      <c r="A99" s="10" t="s">
        <v>259</v>
      </c>
      <c r="B99" s="11" t="s">
        <v>41</v>
      </c>
      <c r="C99" s="6" t="s">
        <v>42</v>
      </c>
      <c r="D99" s="6" t="s">
        <v>260</v>
      </c>
      <c r="E99" s="6" t="s">
        <v>246</v>
      </c>
      <c r="F99" s="6" t="s">
        <v>247</v>
      </c>
      <c r="G99" s="6" t="n">
        <v>75</v>
      </c>
      <c r="H99" s="6" t="n">
        <v>75</v>
      </c>
      <c r="I99" s="6"/>
      <c r="J99" s="6" t="n">
        <v>16</v>
      </c>
      <c r="K99" s="6" t="s">
        <v>46</v>
      </c>
      <c r="L99" s="6" t="n">
        <v>323</v>
      </c>
      <c r="M99" s="6" t="n">
        <v>228</v>
      </c>
      <c r="N99" s="12" t="n">
        <v>61.4</v>
      </c>
      <c r="O99" s="12" t="n">
        <v>61.4</v>
      </c>
      <c r="P99" s="13" t="n">
        <v>54</v>
      </c>
      <c r="Q99" s="13" t="n">
        <v>54</v>
      </c>
      <c r="R99" s="14" t="n">
        <v>0.018</v>
      </c>
      <c r="S99" s="6" t="n">
        <v>20</v>
      </c>
      <c r="T99" s="6"/>
      <c r="U99" s="15" t="n">
        <f aca="false">(20*R99+0.5*(1-(P99/N99)^2)+(1-(P99/N99)^2)^2)*(N99/P99)^4</f>
        <v>0.876800132443677</v>
      </c>
      <c r="V99" s="15" t="n">
        <f aca="false">(60*R99+0.5*(1-(Q99/N99)^2)+(1-(Q99/O99)^2)^2)*(O99/Q99)^4</f>
        <v>2.08025814202894</v>
      </c>
      <c r="W99" s="14"/>
      <c r="X99" s="10" t="s">
        <v>248</v>
      </c>
      <c r="Y99" s="16"/>
      <c r="Z99" s="17" t="s">
        <v>48</v>
      </c>
      <c r="AA99" s="6"/>
      <c r="AB99" s="18" t="n">
        <f aca="false">IF(O99="","",$D$3*PI()*(O99/1000)^2/4*3600)</f>
        <v>15.988966164442</v>
      </c>
      <c r="AC99" s="19" t="n">
        <f aca="false">IF(OR(U99="",NOT(ISNUMBER(U99))),"",U99*$D$3^2/(2*$H$3))</f>
        <v>0.100550473904091</v>
      </c>
      <c r="AD99" s="20" t="n">
        <f aca="false">IF(OR(U99="",NOT(ISNUMBER(U99))),"",U99*$D$3^2/2*$F$3)</f>
        <v>986.400148999136</v>
      </c>
      <c r="AE99" s="19" t="n">
        <f aca="false">IF(OR(V99="",NOT(ISNUMBER(V99))),"",V99*$D$3^2/(2*$H$3))</f>
        <v>0.238561713535428</v>
      </c>
      <c r="AF99" s="20" t="n">
        <f aca="false">IF(OR(V99="",NOT(ISNUMBER(V99))),"",V99*$D$3^2/2*$F$3)</f>
        <v>2340.29040978255</v>
      </c>
      <c r="AG99" s="19" t="str">
        <f aca="false">IF(OR(W99="",NOT(ISNUMBER(W99))),"",W99*$D$3^2/(2*$H$3))</f>
        <v/>
      </c>
      <c r="AH99" s="20" t="str">
        <f aca="false">IF(OR(W99="",NOT(ISNUMBER(W99))),"",W99*$D$3^2/2*$F$3)</f>
        <v/>
      </c>
    </row>
    <row r="100" customFormat="false" ht="15" hidden="false" customHeight="false" outlineLevel="0" collapsed="false">
      <c r="A100" s="10" t="s">
        <v>261</v>
      </c>
      <c r="B100" s="11" t="s">
        <v>41</v>
      </c>
      <c r="C100" s="6" t="s">
        <v>42</v>
      </c>
      <c r="D100" s="6" t="s">
        <v>262</v>
      </c>
      <c r="E100" s="6" t="s">
        <v>246</v>
      </c>
      <c r="F100" s="6" t="s">
        <v>247</v>
      </c>
      <c r="G100" s="6" t="n">
        <v>90</v>
      </c>
      <c r="H100" s="6" t="n">
        <v>90</v>
      </c>
      <c r="I100" s="6"/>
      <c r="J100" s="6" t="n">
        <v>16</v>
      </c>
      <c r="K100" s="6" t="s">
        <v>46</v>
      </c>
      <c r="L100" s="6" t="n">
        <v>260</v>
      </c>
      <c r="M100" s="6" t="n">
        <v>260</v>
      </c>
      <c r="N100" s="12" t="n">
        <v>73.6</v>
      </c>
      <c r="O100" s="12" t="n">
        <v>73.6</v>
      </c>
      <c r="P100" s="13" t="n">
        <v>66</v>
      </c>
      <c r="Q100" s="13" t="n">
        <v>66</v>
      </c>
      <c r="R100" s="14" t="n">
        <v>0.018</v>
      </c>
      <c r="S100" s="6" t="n">
        <v>20</v>
      </c>
      <c r="T100" s="6"/>
      <c r="U100" s="15" t="n">
        <f aca="false">(20*R100+0.5*(1-(P100/N100)^2)+(1-(P100/N100)^2)^2)*(N100/P100)^4</f>
        <v>0.767487310146291</v>
      </c>
      <c r="V100" s="15" t="n">
        <f aca="false">(60*R100+0.5*(1-(Q100/N100)^2)+(1-(Q100/O100)^2)^2)*(O100/Q100)^4</f>
        <v>1.88093036737523</v>
      </c>
      <c r="W100" s="14"/>
      <c r="X100" s="10" t="s">
        <v>248</v>
      </c>
      <c r="Y100" s="16"/>
      <c r="Z100" s="17" t="s">
        <v>48</v>
      </c>
      <c r="AA100" s="6" t="s">
        <v>263</v>
      </c>
      <c r="AB100" s="18" t="n">
        <f aca="false">IF(O100="","",$D$3*PI()*(O100/1000)^2/4*3600)</f>
        <v>22.9741403500662</v>
      </c>
      <c r="AC100" s="19" t="n">
        <f aca="false">IF(OR(U100="",NOT(ISNUMBER(U100))),"",U100*$D$3^2/(2*$H$3))</f>
        <v>0.0880145997874187</v>
      </c>
      <c r="AD100" s="20" t="n">
        <f aca="false">IF(OR(U100="",NOT(ISNUMBER(U100))),"",U100*$D$3^2/2*$F$3)</f>
        <v>863.423223914577</v>
      </c>
      <c r="AE100" s="19" t="n">
        <f aca="false">IF(OR(V100="",NOT(ISNUMBER(V100))),"",V100*$D$3^2/(2*$H$3))</f>
        <v>0.215703023781563</v>
      </c>
      <c r="AF100" s="20" t="n">
        <f aca="false">IF(OR(V100="",NOT(ISNUMBER(V100))),"",V100*$D$3^2/2*$F$3)</f>
        <v>2116.04666329713</v>
      </c>
      <c r="AG100" s="19" t="str">
        <f aca="false">IF(OR(W100="",NOT(ISNUMBER(W100))),"",W100*$D$3^2/(2*$H$3))</f>
        <v/>
      </c>
      <c r="AH100" s="20" t="str">
        <f aca="false">IF(OR(W100="",NOT(ISNUMBER(W100))),"",W100*$D$3^2/2*$F$3)</f>
        <v/>
      </c>
    </row>
    <row r="101" customFormat="false" ht="15" hidden="false" customHeight="false" outlineLevel="0" collapsed="false">
      <c r="A101" s="10" t="s">
        <v>264</v>
      </c>
      <c r="B101" s="11" t="s">
        <v>41</v>
      </c>
      <c r="C101" s="6" t="s">
        <v>42</v>
      </c>
      <c r="D101" s="6" t="s">
        <v>265</v>
      </c>
      <c r="E101" s="6" t="s">
        <v>246</v>
      </c>
      <c r="F101" s="6" t="s">
        <v>247</v>
      </c>
      <c r="G101" s="6" t="n">
        <v>110</v>
      </c>
      <c r="H101" s="6" t="n">
        <v>110</v>
      </c>
      <c r="I101" s="6"/>
      <c r="J101" s="6" t="n">
        <v>16</v>
      </c>
      <c r="K101" s="6" t="s">
        <v>46</v>
      </c>
      <c r="L101" s="6" t="n">
        <v>450</v>
      </c>
      <c r="M101" s="6" t="n">
        <v>225</v>
      </c>
      <c r="N101" s="12" t="n">
        <v>90</v>
      </c>
      <c r="O101" s="12" t="n">
        <v>90</v>
      </c>
      <c r="P101" s="13" t="n">
        <v>81</v>
      </c>
      <c r="Q101" s="13" t="n">
        <v>81</v>
      </c>
      <c r="R101" s="14" t="n">
        <v>0.017</v>
      </c>
      <c r="S101" s="6" t="n">
        <v>20</v>
      </c>
      <c r="T101" s="6"/>
      <c r="U101" s="15" t="n">
        <f aca="false">(20*R101+0.5*(1-(P101/N101)^2)+(1-(P101/N101)^2)^2)*(N101/P101)^4</f>
        <v>0.718030787989636</v>
      </c>
      <c r="V101" s="15" t="n">
        <f aca="false">(60*R101+0.5*(1-(Q101/N101)^2)+(1-(Q101/O101)^2)^2)*(O101/Q101)^4</f>
        <v>1.75445816186557</v>
      </c>
      <c r="W101" s="14"/>
      <c r="X101" s="10" t="s">
        <v>248</v>
      </c>
      <c r="Y101" s="16"/>
      <c r="Z101" s="17" t="s">
        <v>48</v>
      </c>
      <c r="AA101" s="6"/>
      <c r="AB101" s="18" t="n">
        <f aca="false">IF(O101="","",$D$3*PI()*(O101/1000)^2/4*3600)</f>
        <v>34.3533156670044</v>
      </c>
      <c r="AC101" s="19" t="n">
        <f aca="false">IF(OR(U101="",NOT(ISNUMBER(U101))),"",U101*$D$3^2/(2*$H$3))</f>
        <v>0.0823429802740408</v>
      </c>
      <c r="AD101" s="20" t="n">
        <f aca="false">IF(OR(U101="",NOT(ISNUMBER(U101))),"",U101*$D$3^2/2*$F$3)</f>
        <v>807.78463648834</v>
      </c>
      <c r="AE101" s="19" t="n">
        <f aca="false">IF(OR(V101="",NOT(ISNUMBER(V101))),"",V101*$D$3^2/(2*$H$3))</f>
        <v>0.201199330489171</v>
      </c>
      <c r="AF101" s="20" t="n">
        <f aca="false">IF(OR(V101="",NOT(ISNUMBER(V101))),"",V101*$D$3^2/2*$F$3)</f>
        <v>1973.76543209877</v>
      </c>
      <c r="AG101" s="19" t="str">
        <f aca="false">IF(OR(W101="",NOT(ISNUMBER(W101))),"",W101*$D$3^2/(2*$H$3))</f>
        <v/>
      </c>
      <c r="AH101" s="20" t="str">
        <f aca="false">IF(OR(W101="",NOT(ISNUMBER(W101))),"",W101*$D$3^2/2*$F$3)</f>
        <v/>
      </c>
    </row>
    <row r="102" customFormat="false" ht="15" hidden="false" customHeight="false" outlineLevel="0" collapsed="false">
      <c r="A102" s="10" t="s">
        <v>266</v>
      </c>
      <c r="B102" s="11" t="s">
        <v>41</v>
      </c>
      <c r="C102" s="6" t="s">
        <v>42</v>
      </c>
      <c r="D102" s="6" t="s">
        <v>267</v>
      </c>
      <c r="E102" s="6" t="s">
        <v>268</v>
      </c>
      <c r="F102" s="6" t="s">
        <v>247</v>
      </c>
      <c r="G102" s="6" t="n">
        <v>25</v>
      </c>
      <c r="H102" s="6" t="n">
        <v>20</v>
      </c>
      <c r="I102" s="6"/>
      <c r="J102" s="6" t="n">
        <v>16</v>
      </c>
      <c r="K102" s="6" t="s">
        <v>46</v>
      </c>
      <c r="L102" s="6" t="n">
        <v>120</v>
      </c>
      <c r="M102" s="6" t="n">
        <v>80</v>
      </c>
      <c r="N102" s="12" t="n">
        <v>20.4</v>
      </c>
      <c r="O102" s="12" t="n">
        <v>16</v>
      </c>
      <c r="P102" s="13" t="n">
        <v>17</v>
      </c>
      <c r="Q102" s="13" t="n">
        <v>13</v>
      </c>
      <c r="R102" s="14" t="n">
        <v>0.025</v>
      </c>
      <c r="S102" s="6" t="n">
        <v>20</v>
      </c>
      <c r="T102" s="6"/>
      <c r="U102" s="15" t="n">
        <f aca="false">(20*R102+0.5*(1-(P102/N102)^2)+(1-(P102/N102)^2)^2)*(N102/P102)^4</f>
        <v>1.5472</v>
      </c>
      <c r="V102" s="15" t="n">
        <f aca="false">(60*R102+0.5*(1-(Q102/N102)^2)+(1-(Q102/O102)^2)^2)*(O102/Q102)^4</f>
        <v>4.38829585909199</v>
      </c>
      <c r="W102" s="14"/>
      <c r="X102" s="10" t="s">
        <v>248</v>
      </c>
      <c r="Y102" s="16"/>
      <c r="Z102" s="17" t="s">
        <v>48</v>
      </c>
      <c r="AA102" s="6"/>
      <c r="AB102" s="18" t="n">
        <f aca="false">IF(O102="","",$D$3*PI()*(O102/1000)^2/4*3600)</f>
        <v>1.08573442108063</v>
      </c>
      <c r="AC102" s="19" t="n">
        <f aca="false">IF(OR(U102="",NOT(ISNUMBER(U102))),"",U102*$D$3^2/(2*$H$3))</f>
        <v>0.17743119266055</v>
      </c>
      <c r="AD102" s="20" t="n">
        <f aca="false">IF(OR(U102="",NOT(ISNUMBER(U102))),"",U102*$D$3^2/2*$F$3)</f>
        <v>1740.6</v>
      </c>
      <c r="AE102" s="19" t="n">
        <f aca="false">IF(OR(V102="",NOT(ISNUMBER(V102))),"",V102*$D$3^2/(2*$H$3))</f>
        <v>0.503244937969265</v>
      </c>
      <c r="AF102" s="20" t="n">
        <f aca="false">IF(OR(V102="",NOT(ISNUMBER(V102))),"",V102*$D$3^2/2*$F$3)</f>
        <v>4936.83284147849</v>
      </c>
      <c r="AG102" s="19" t="str">
        <f aca="false">IF(OR(W102="",NOT(ISNUMBER(W102))),"",W102*$D$3^2/(2*$H$3))</f>
        <v/>
      </c>
      <c r="AH102" s="20" t="str">
        <f aca="false">IF(OR(W102="",NOT(ISNUMBER(W102))),"",W102*$D$3^2/2*$F$3)</f>
        <v/>
      </c>
    </row>
    <row r="103" customFormat="false" ht="15" hidden="false" customHeight="false" outlineLevel="0" collapsed="false">
      <c r="A103" s="10" t="s">
        <v>269</v>
      </c>
      <c r="B103" s="11" t="s">
        <v>41</v>
      </c>
      <c r="C103" s="6" t="s">
        <v>42</v>
      </c>
      <c r="D103" s="6" t="s">
        <v>270</v>
      </c>
      <c r="E103" s="6" t="s">
        <v>268</v>
      </c>
      <c r="F103" s="6" t="s">
        <v>247</v>
      </c>
      <c r="G103" s="6" t="n">
        <v>32</v>
      </c>
      <c r="H103" s="6" t="n">
        <v>25</v>
      </c>
      <c r="I103" s="6"/>
      <c r="J103" s="6" t="n">
        <v>16</v>
      </c>
      <c r="K103" s="6" t="s">
        <v>46</v>
      </c>
      <c r="L103" s="6" t="n">
        <v>156</v>
      </c>
      <c r="M103" s="6" t="n">
        <v>99</v>
      </c>
      <c r="N103" s="12" t="n">
        <v>26.2</v>
      </c>
      <c r="O103" s="12" t="n">
        <v>20.4</v>
      </c>
      <c r="P103" s="13" t="n">
        <v>22</v>
      </c>
      <c r="Q103" s="13" t="n">
        <v>17</v>
      </c>
      <c r="R103" s="14" t="n">
        <v>0.023</v>
      </c>
      <c r="S103" s="6" t="n">
        <v>20</v>
      </c>
      <c r="T103" s="6"/>
      <c r="U103" s="15" t="n">
        <f aca="false">(20*R103+0.5*(1-(P103/N103)^2)+(1-(P103/N103)^2)^2)*(N103/P103)^4</f>
        <v>1.39682805245543</v>
      </c>
      <c r="V103" s="15" t="n">
        <f aca="false">(60*R103+0.5*(1-(Q103/N103)^2)+(1-(Q103/O103)^2)^2)*(O103/Q103)^4</f>
        <v>3.65546196888293</v>
      </c>
      <c r="W103" s="14"/>
      <c r="X103" s="10" t="s">
        <v>248</v>
      </c>
      <c r="Y103" s="16"/>
      <c r="Z103" s="17" t="s">
        <v>48</v>
      </c>
      <c r="AA103" s="6"/>
      <c r="AB103" s="18" t="n">
        <f aca="false">IF(O103="","",$D$3*PI()*(O103/1000)^2/4*3600)</f>
        <v>1.7649970182692</v>
      </c>
      <c r="AC103" s="19" t="n">
        <f aca="false">IF(OR(U103="",NOT(ISNUMBER(U103))),"",U103*$D$3^2/(2*$H$3))</f>
        <v>0.160186703263238</v>
      </c>
      <c r="AD103" s="20" t="n">
        <f aca="false">IF(OR(U103="",NOT(ISNUMBER(U103))),"",U103*$D$3^2/2*$F$3)</f>
        <v>1571.43155901236</v>
      </c>
      <c r="AE103" s="19" t="n">
        <f aca="false">IF(OR(V103="",NOT(ISNUMBER(V103))),"",V103*$D$3^2/(2*$H$3))</f>
        <v>0.419204354229694</v>
      </c>
      <c r="AF103" s="20" t="n">
        <f aca="false">IF(OR(V103="",NOT(ISNUMBER(V103))),"",V103*$D$3^2/2*$F$3)</f>
        <v>4112.3947149933</v>
      </c>
      <c r="AG103" s="19" t="str">
        <f aca="false">IF(OR(W103="",NOT(ISNUMBER(W103))),"",W103*$D$3^2/(2*$H$3))</f>
        <v/>
      </c>
      <c r="AH103" s="20" t="str">
        <f aca="false">IF(OR(W103="",NOT(ISNUMBER(W103))),"",W103*$D$3^2/2*$F$3)</f>
        <v/>
      </c>
    </row>
    <row r="104" customFormat="false" ht="15" hidden="false" customHeight="false" outlineLevel="0" collapsed="false">
      <c r="A104" s="10" t="s">
        <v>271</v>
      </c>
      <c r="B104" s="11" t="s">
        <v>41</v>
      </c>
      <c r="C104" s="6" t="s">
        <v>42</v>
      </c>
      <c r="D104" s="6" t="s">
        <v>272</v>
      </c>
      <c r="E104" s="6" t="s">
        <v>268</v>
      </c>
      <c r="F104" s="6" t="s">
        <v>247</v>
      </c>
      <c r="G104" s="6" t="n">
        <v>40</v>
      </c>
      <c r="H104" s="6" t="n">
        <v>32</v>
      </c>
      <c r="I104" s="6"/>
      <c r="J104" s="6" t="n">
        <v>16</v>
      </c>
      <c r="K104" s="6" t="s">
        <v>46</v>
      </c>
      <c r="L104" s="6" t="n">
        <v>175</v>
      </c>
      <c r="M104" s="6" t="n">
        <v>122</v>
      </c>
      <c r="N104" s="12" t="n">
        <v>32.6</v>
      </c>
      <c r="O104" s="12" t="n">
        <v>26.2</v>
      </c>
      <c r="P104" s="13" t="n">
        <v>28</v>
      </c>
      <c r="Q104" s="13" t="n">
        <v>22</v>
      </c>
      <c r="R104" s="14" t="n">
        <v>0.022</v>
      </c>
      <c r="S104" s="6" t="n">
        <v>20</v>
      </c>
      <c r="T104" s="6"/>
      <c r="U104" s="15" t="n">
        <f aca="false">(20*R104+0.5*(1-(P104/N104)^2)+(1-(P104/N104)^2)^2)*(N104/P104)^4</f>
        <v>1.17593663145564</v>
      </c>
      <c r="V104" s="15" t="n">
        <f aca="false">(60*R104+0.5*(1-(Q104/N104)^2)+(1-(Q104/O104)^2)^2)*(O104/Q104)^4</f>
        <v>3.37779727734116</v>
      </c>
      <c r="W104" s="14"/>
      <c r="X104" s="10" t="s">
        <v>248</v>
      </c>
      <c r="Y104" s="16"/>
      <c r="Z104" s="17" t="s">
        <v>48</v>
      </c>
      <c r="AA104" s="6"/>
      <c r="AB104" s="18" t="n">
        <f aca="false">IF(O104="","",$D$3*PI()*(O104/1000)^2/4*3600)</f>
        <v>2.91129506252574</v>
      </c>
      <c r="AC104" s="19" t="n">
        <f aca="false">IF(OR(U104="",NOT(ISNUMBER(U104))),"",U104*$D$3^2/(2*$H$3))</f>
        <v>0.134855118286198</v>
      </c>
      <c r="AD104" s="20" t="n">
        <f aca="false">IF(OR(U104="",NOT(ISNUMBER(U104))),"",U104*$D$3^2/2*$F$3)</f>
        <v>1322.9287103876</v>
      </c>
      <c r="AE104" s="19" t="n">
        <f aca="false">IF(OR(V104="",NOT(ISNUMBER(V104))),"",V104*$D$3^2/(2*$H$3))</f>
        <v>0.387362073089583</v>
      </c>
      <c r="AF104" s="20" t="n">
        <f aca="false">IF(OR(V104="",NOT(ISNUMBER(V104))),"",V104*$D$3^2/2*$F$3)</f>
        <v>3800.02193700881</v>
      </c>
      <c r="AG104" s="19" t="str">
        <f aca="false">IF(OR(W104="",NOT(ISNUMBER(W104))),"",W104*$D$3^2/(2*$H$3))</f>
        <v/>
      </c>
      <c r="AH104" s="20" t="str">
        <f aca="false">IF(OR(W104="",NOT(ISNUMBER(W104))),"",W104*$D$3^2/2*$F$3)</f>
        <v/>
      </c>
    </row>
    <row r="105" customFormat="false" ht="15" hidden="false" customHeight="false" outlineLevel="0" collapsed="false">
      <c r="A105" s="10" t="s">
        <v>273</v>
      </c>
      <c r="B105" s="11" t="s">
        <v>41</v>
      </c>
      <c r="C105" s="6" t="s">
        <v>42</v>
      </c>
      <c r="D105" s="6" t="s">
        <v>274</v>
      </c>
      <c r="E105" s="6" t="s">
        <v>268</v>
      </c>
      <c r="F105" s="6" t="s">
        <v>247</v>
      </c>
      <c r="G105" s="6" t="n">
        <v>50</v>
      </c>
      <c r="H105" s="6" t="n">
        <v>40</v>
      </c>
      <c r="I105" s="6"/>
      <c r="J105" s="6" t="n">
        <v>16</v>
      </c>
      <c r="K105" s="6" t="s">
        <v>46</v>
      </c>
      <c r="L105" s="6" t="n">
        <v>223</v>
      </c>
      <c r="M105" s="6" t="n">
        <v>139</v>
      </c>
      <c r="N105" s="12" t="n">
        <v>40.8</v>
      </c>
      <c r="O105" s="12" t="n">
        <v>32.6</v>
      </c>
      <c r="P105" s="13" t="n">
        <v>35</v>
      </c>
      <c r="Q105" s="13" t="n">
        <v>28</v>
      </c>
      <c r="R105" s="14" t="n">
        <v>0.021</v>
      </c>
      <c r="S105" s="6" t="n">
        <v>20</v>
      </c>
      <c r="T105" s="6"/>
      <c r="U105" s="15" t="n">
        <f aca="false">(20*R105+0.5*(1-(P105/N105)^2)+(1-(P105/N105)^2)^2)*(N105/P105)^4</f>
        <v>1.14821194691012</v>
      </c>
      <c r="V105" s="15" t="n">
        <f aca="false">(60*R105+0.5*(1-(Q105/N105)^2)+(1-(Q105/O105)^2)^2)*(O105/Q105)^4</f>
        <v>2.92778809701538</v>
      </c>
      <c r="W105" s="14"/>
      <c r="X105" s="10" t="s">
        <v>248</v>
      </c>
      <c r="Y105" s="16"/>
      <c r="Z105" s="17" t="s">
        <v>48</v>
      </c>
      <c r="AA105" s="6"/>
      <c r="AB105" s="18" t="n">
        <f aca="false">IF(O105="","",$D$3*PI()*(O105/1000)^2/4*3600)</f>
        <v>4.50732466151427</v>
      </c>
      <c r="AC105" s="19" t="n">
        <f aca="false">IF(OR(U105="",NOT(ISNUMBER(U105))),"",U105*$D$3^2/(2*$H$3))</f>
        <v>0.131675681985106</v>
      </c>
      <c r="AD105" s="20" t="n">
        <f aca="false">IF(OR(U105="",NOT(ISNUMBER(U105))),"",U105*$D$3^2/2*$F$3)</f>
        <v>1291.73844027389</v>
      </c>
      <c r="AE105" s="19" t="n">
        <f aca="false">IF(OR(V105="",NOT(ISNUMBER(V105))),"",V105*$D$3^2/(2*$H$3))</f>
        <v>0.335755515712773</v>
      </c>
      <c r="AF105" s="20" t="n">
        <f aca="false">IF(OR(V105="",NOT(ISNUMBER(V105))),"",V105*$D$3^2/2*$F$3)</f>
        <v>3293.7616091423</v>
      </c>
      <c r="AG105" s="19" t="str">
        <f aca="false">IF(OR(W105="",NOT(ISNUMBER(W105))),"",W105*$D$3^2/(2*$H$3))</f>
        <v/>
      </c>
      <c r="AH105" s="20" t="str">
        <f aca="false">IF(OR(W105="",NOT(ISNUMBER(W105))),"",W105*$D$3^2/2*$F$3)</f>
        <v/>
      </c>
    </row>
    <row r="106" customFormat="false" ht="15" hidden="false" customHeight="false" outlineLevel="0" collapsed="false">
      <c r="A106" s="10" t="s">
        <v>275</v>
      </c>
      <c r="B106" s="11" t="s">
        <v>41</v>
      </c>
      <c r="C106" s="6" t="s">
        <v>42</v>
      </c>
      <c r="D106" s="6" t="s">
        <v>276</v>
      </c>
      <c r="E106" s="6" t="s">
        <v>268</v>
      </c>
      <c r="F106" s="6" t="s">
        <v>247</v>
      </c>
      <c r="G106" s="6" t="n">
        <v>63</v>
      </c>
      <c r="H106" s="6" t="n">
        <v>50</v>
      </c>
      <c r="I106" s="6"/>
      <c r="J106" s="6" t="n">
        <v>16</v>
      </c>
      <c r="K106" s="6" t="s">
        <v>46</v>
      </c>
      <c r="L106" s="6" t="n">
        <v>279</v>
      </c>
      <c r="M106" s="6" t="n">
        <v>171</v>
      </c>
      <c r="N106" s="12" t="n">
        <v>51.4</v>
      </c>
      <c r="O106" s="12" t="n">
        <v>40.8</v>
      </c>
      <c r="P106" s="13" t="n">
        <v>45</v>
      </c>
      <c r="Q106" s="13" t="n">
        <v>35</v>
      </c>
      <c r="R106" s="14" t="n">
        <v>0.019</v>
      </c>
      <c r="S106" s="6" t="n">
        <v>20</v>
      </c>
      <c r="T106" s="6"/>
      <c r="U106" s="15" t="n">
        <f aca="false">(20*R106+0.5*(1-(P106/N106)^2)+(1-(P106/N106)^2)^2)*(N106/P106)^4</f>
        <v>0.938396821510867</v>
      </c>
      <c r="V106" s="15" t="n">
        <f aca="false">(60*R106+0.5*(1-(Q106/N106)^2)+(1-(Q106/O106)^2)^2)*(O106/Q106)^4</f>
        <v>2.72909245070027</v>
      </c>
      <c r="W106" s="14"/>
      <c r="X106" s="10" t="s">
        <v>248</v>
      </c>
      <c r="Y106" s="16"/>
      <c r="Z106" s="17" t="s">
        <v>48</v>
      </c>
      <c r="AA106" s="6"/>
      <c r="AB106" s="18" t="n">
        <f aca="false">IF(O106="","",$D$3*PI()*(O106/1000)^2/4*3600)</f>
        <v>7.05998807307681</v>
      </c>
      <c r="AC106" s="19" t="n">
        <f aca="false">IF(OR(U106="",NOT(ISNUMBER(U106))),"",U106*$D$3^2/(2*$H$3))</f>
        <v>0.107614314393448</v>
      </c>
      <c r="AD106" s="20" t="n">
        <f aca="false">IF(OR(U106="",NOT(ISNUMBER(U106))),"",U106*$D$3^2/2*$F$3)</f>
        <v>1055.69642419973</v>
      </c>
      <c r="AE106" s="19" t="n">
        <f aca="false">IF(OR(V106="",NOT(ISNUMBER(V106))),"",V106*$D$3^2/(2*$H$3))</f>
        <v>0.312969317740857</v>
      </c>
      <c r="AF106" s="20" t="n">
        <f aca="false">IF(OR(V106="",NOT(ISNUMBER(V106))),"",V106*$D$3^2/2*$F$3)</f>
        <v>3070.22900703781</v>
      </c>
      <c r="AG106" s="19" t="str">
        <f aca="false">IF(OR(W106="",NOT(ISNUMBER(W106))),"",W106*$D$3^2/(2*$H$3))</f>
        <v/>
      </c>
      <c r="AH106" s="20" t="str">
        <f aca="false">IF(OR(W106="",NOT(ISNUMBER(W106))),"",W106*$D$3^2/2*$F$3)</f>
        <v/>
      </c>
    </row>
    <row r="107" customFormat="false" ht="15" hidden="false" customHeight="false" outlineLevel="0" collapsed="false">
      <c r="A107" s="10" t="s">
        <v>277</v>
      </c>
      <c r="B107" s="11" t="s">
        <v>41</v>
      </c>
      <c r="C107" s="6" t="s">
        <v>42</v>
      </c>
      <c r="D107" s="6" t="s">
        <v>278</v>
      </c>
      <c r="E107" s="6" t="s">
        <v>268</v>
      </c>
      <c r="F107" s="6" t="s">
        <v>247</v>
      </c>
      <c r="G107" s="6" t="n">
        <v>75</v>
      </c>
      <c r="H107" s="6" t="n">
        <v>63</v>
      </c>
      <c r="I107" s="6"/>
      <c r="J107" s="6" t="n">
        <v>16</v>
      </c>
      <c r="K107" s="6" t="s">
        <v>46</v>
      </c>
      <c r="L107" s="6" t="n">
        <v>312</v>
      </c>
      <c r="M107" s="6" t="n">
        <v>200</v>
      </c>
      <c r="N107" s="12" t="n">
        <v>61.4</v>
      </c>
      <c r="O107" s="12" t="n">
        <v>51.4</v>
      </c>
      <c r="P107" s="13" t="n">
        <v>54</v>
      </c>
      <c r="Q107" s="13" t="n">
        <v>45</v>
      </c>
      <c r="R107" s="14" t="n">
        <v>0.018</v>
      </c>
      <c r="S107" s="6" t="n">
        <v>20</v>
      </c>
      <c r="T107" s="6"/>
      <c r="U107" s="15" t="n">
        <f aca="false">(20*R107+0.5*(1-(P107/N107)^2)+(1-(P107/N107)^2)^2)*(N107/P107)^4</f>
        <v>0.876800132443677</v>
      </c>
      <c r="V107" s="15" t="n">
        <f aca="false">(60*R107+0.5*(1-(Q107/N107)^2)+(1-(Q107/O107)^2)^2)*(O107/Q107)^4</f>
        <v>2.3250981307708</v>
      </c>
      <c r="W107" s="14"/>
      <c r="X107" s="10" t="s">
        <v>248</v>
      </c>
      <c r="Y107" s="16"/>
      <c r="Z107" s="17" t="s">
        <v>48</v>
      </c>
      <c r="AA107" s="6"/>
      <c r="AB107" s="18" t="n">
        <f aca="false">IF(O107="","",$D$3*PI()*(O107/1000)^2/4*3600)</f>
        <v>11.2049488715554</v>
      </c>
      <c r="AC107" s="19" t="n">
        <f aca="false">IF(OR(U107="",NOT(ISNUMBER(U107))),"",U107*$D$3^2/(2*$H$3))</f>
        <v>0.100550473904091</v>
      </c>
      <c r="AD107" s="20" t="n">
        <f aca="false">IF(OR(U107="",NOT(ISNUMBER(U107))),"",U107*$D$3^2/2*$F$3)</f>
        <v>986.400148999136</v>
      </c>
      <c r="AE107" s="19" t="n">
        <f aca="false">IF(OR(V107="",NOT(ISNUMBER(V107))),"",V107*$D$3^2/(2*$H$3))</f>
        <v>0.266639693895734</v>
      </c>
      <c r="AF107" s="20" t="n">
        <f aca="false">IF(OR(V107="",NOT(ISNUMBER(V107))),"",V107*$D$3^2/2*$F$3)</f>
        <v>2615.73539711715</v>
      </c>
      <c r="AG107" s="19" t="str">
        <f aca="false">IF(OR(W107="",NOT(ISNUMBER(W107))),"",W107*$D$3^2/(2*$H$3))</f>
        <v/>
      </c>
      <c r="AH107" s="20" t="str">
        <f aca="false">IF(OR(W107="",NOT(ISNUMBER(W107))),"",W107*$D$3^2/2*$F$3)</f>
        <v/>
      </c>
    </row>
    <row r="108" customFormat="false" ht="15" hidden="false" customHeight="false" outlineLevel="0" collapsed="false">
      <c r="A108" s="10" t="s">
        <v>279</v>
      </c>
      <c r="B108" s="11" t="s">
        <v>41</v>
      </c>
      <c r="C108" s="6" t="s">
        <v>42</v>
      </c>
      <c r="D108" s="6" t="s">
        <v>280</v>
      </c>
      <c r="E108" s="6" t="s">
        <v>268</v>
      </c>
      <c r="F108" s="6" t="s">
        <v>247</v>
      </c>
      <c r="G108" s="6" t="n">
        <v>90</v>
      </c>
      <c r="H108" s="6" t="n">
        <v>75</v>
      </c>
      <c r="I108" s="6"/>
      <c r="J108" s="6" t="n">
        <v>16</v>
      </c>
      <c r="K108" s="6" t="s">
        <v>46</v>
      </c>
      <c r="L108" s="6" t="n">
        <v>366</v>
      </c>
      <c r="M108" s="6" t="n">
        <v>250</v>
      </c>
      <c r="N108" s="12" t="n">
        <v>73.6</v>
      </c>
      <c r="O108" s="12" t="n">
        <v>61.4</v>
      </c>
      <c r="P108" s="13" t="n">
        <v>66</v>
      </c>
      <c r="Q108" s="13" t="n">
        <v>54</v>
      </c>
      <c r="R108" s="14" t="n">
        <v>0.018</v>
      </c>
      <c r="S108" s="6" t="n">
        <v>20</v>
      </c>
      <c r="T108" s="6"/>
      <c r="U108" s="15" t="n">
        <f aca="false">(20*R108+0.5*(1-(P108/N108)^2)+(1-(P108/N108)^2)^2)*(N108/P108)^4</f>
        <v>0.767487310146291</v>
      </c>
      <c r="V108" s="15" t="n">
        <f aca="false">(60*R108+0.5*(1-(Q108/N108)^2)+(1-(Q108/O108)^2)^2)*(O108/Q108)^4</f>
        <v>2.27680096856442</v>
      </c>
      <c r="W108" s="14"/>
      <c r="X108" s="10" t="s">
        <v>248</v>
      </c>
      <c r="Y108" s="16"/>
      <c r="Z108" s="17" t="s">
        <v>48</v>
      </c>
      <c r="AA108" s="6"/>
      <c r="AB108" s="18" t="n">
        <f aca="false">IF(O108="","",$D$3*PI()*(O108/1000)^2/4*3600)</f>
        <v>15.988966164442</v>
      </c>
      <c r="AC108" s="19" t="n">
        <f aca="false">IF(OR(U108="",NOT(ISNUMBER(U108))),"",U108*$D$3^2/(2*$H$3))</f>
        <v>0.0880145997874187</v>
      </c>
      <c r="AD108" s="20" t="n">
        <f aca="false">IF(OR(U108="",NOT(ISNUMBER(U108))),"",U108*$D$3^2/2*$F$3)</f>
        <v>863.423223914577</v>
      </c>
      <c r="AE108" s="19" t="n">
        <f aca="false">IF(OR(V108="",NOT(ISNUMBER(V108))),"",V108*$D$3^2/(2*$H$3))</f>
        <v>0.261101028505094</v>
      </c>
      <c r="AF108" s="20" t="n">
        <f aca="false">IF(OR(V108="",NOT(ISNUMBER(V108))),"",V108*$D$3^2/2*$F$3)</f>
        <v>2561.40108963497</v>
      </c>
      <c r="AG108" s="19" t="str">
        <f aca="false">IF(OR(W108="",NOT(ISNUMBER(W108))),"",W108*$D$3^2/(2*$H$3))</f>
        <v/>
      </c>
      <c r="AH108" s="20" t="str">
        <f aca="false">IF(OR(W108="",NOT(ISNUMBER(W108))),"",W108*$D$3^2/2*$F$3)</f>
        <v/>
      </c>
    </row>
    <row r="109" customFormat="false" ht="15" hidden="false" customHeight="false" outlineLevel="0" collapsed="false">
      <c r="A109" s="10" t="s">
        <v>281</v>
      </c>
      <c r="B109" s="11" t="s">
        <v>41</v>
      </c>
      <c r="C109" s="6" t="s">
        <v>42</v>
      </c>
      <c r="D109" s="6" t="s">
        <v>282</v>
      </c>
      <c r="E109" s="6" t="s">
        <v>268</v>
      </c>
      <c r="F109" s="6" t="s">
        <v>247</v>
      </c>
      <c r="G109" s="6" t="n">
        <v>110</v>
      </c>
      <c r="H109" s="6" t="n">
        <v>90</v>
      </c>
      <c r="I109" s="6"/>
      <c r="J109" s="6" t="n">
        <v>16</v>
      </c>
      <c r="K109" s="6" t="s">
        <v>46</v>
      </c>
      <c r="L109" s="6" t="n">
        <v>445</v>
      </c>
      <c r="M109" s="6" t="n">
        <v>300</v>
      </c>
      <c r="N109" s="12" t="n">
        <v>90</v>
      </c>
      <c r="O109" s="12" t="n">
        <v>73.6</v>
      </c>
      <c r="P109" s="13" t="n">
        <v>81</v>
      </c>
      <c r="Q109" s="13" t="n">
        <v>66</v>
      </c>
      <c r="R109" s="14" t="n">
        <v>0.017</v>
      </c>
      <c r="S109" s="6" t="n">
        <v>20</v>
      </c>
      <c r="T109" s="6"/>
      <c r="U109" s="15" t="n">
        <f aca="false">(20*R109+0.5*(1-(P109/N109)^2)+(1-(P109/N109)^2)^2)*(N109/P109)^4</f>
        <v>0.718030787989636</v>
      </c>
      <c r="V109" s="15" t="n">
        <f aca="false">(60*R109+0.5*(1-(Q109/N109)^2)+(1-(Q109/O109)^2)^2)*(O109/Q109)^4</f>
        <v>1.99410202667388</v>
      </c>
      <c r="W109" s="14"/>
      <c r="X109" s="10" t="s">
        <v>248</v>
      </c>
      <c r="Y109" s="16"/>
      <c r="Z109" s="17" t="s">
        <v>48</v>
      </c>
      <c r="AA109" s="6"/>
      <c r="AB109" s="18" t="n">
        <f aca="false">IF(O109="","",$D$3*PI()*(O109/1000)^2/4*3600)</f>
        <v>22.9741403500662</v>
      </c>
      <c r="AC109" s="19" t="n">
        <f aca="false">IF(OR(U109="",NOT(ISNUMBER(U109))),"",U109*$D$3^2/(2*$H$3))</f>
        <v>0.0823429802740408</v>
      </c>
      <c r="AD109" s="20" t="n">
        <f aca="false">IF(OR(U109="",NOT(ISNUMBER(U109))),"",U109*$D$3^2/2*$F$3)</f>
        <v>807.78463648834</v>
      </c>
      <c r="AE109" s="19" t="n">
        <f aca="false">IF(OR(V109="",NOT(ISNUMBER(V109))),"",V109*$D$3^2/(2*$H$3))</f>
        <v>0.228681425077279</v>
      </c>
      <c r="AF109" s="20" t="n">
        <f aca="false">IF(OR(V109="",NOT(ISNUMBER(V109))),"",V109*$D$3^2/2*$F$3)</f>
        <v>2243.36478000811</v>
      </c>
      <c r="AG109" s="19" t="str">
        <f aca="false">IF(OR(W109="",NOT(ISNUMBER(W109))),"",W109*$D$3^2/(2*$H$3))</f>
        <v/>
      </c>
      <c r="AH109" s="20" t="str">
        <f aca="false">IF(OR(W109="",NOT(ISNUMBER(W109))),"",W109*$D$3^2/2*$F$3)</f>
        <v/>
      </c>
    </row>
    <row r="110" customFormat="false" ht="15" hidden="false" customHeight="false" outlineLevel="0" collapsed="false">
      <c r="A110" s="10" t="s">
        <v>283</v>
      </c>
      <c r="B110" s="11" t="s">
        <v>41</v>
      </c>
      <c r="C110" s="6" t="s">
        <v>42</v>
      </c>
      <c r="D110" s="6" t="s">
        <v>284</v>
      </c>
      <c r="E110" s="6" t="s">
        <v>285</v>
      </c>
      <c r="F110" s="6" t="s">
        <v>181</v>
      </c>
      <c r="G110" s="6" t="n">
        <v>20</v>
      </c>
      <c r="H110" s="6"/>
      <c r="I110" s="6" t="s">
        <v>108</v>
      </c>
      <c r="J110" s="6" t="n">
        <v>16</v>
      </c>
      <c r="K110" s="6" t="s">
        <v>46</v>
      </c>
      <c r="L110" s="6" t="n">
        <v>90</v>
      </c>
      <c r="M110" s="6" t="n">
        <v>65</v>
      </c>
      <c r="N110" s="12" t="n">
        <v>16</v>
      </c>
      <c r="O110" s="12" t="n">
        <v>16</v>
      </c>
      <c r="P110" s="13" t="n">
        <v>13</v>
      </c>
      <c r="Q110" s="12"/>
      <c r="R110" s="14" t="n">
        <v>0.027</v>
      </c>
      <c r="S110" s="6" t="n">
        <v>30</v>
      </c>
      <c r="T110" s="6"/>
      <c r="U110" s="15" t="n">
        <f aca="false">(S110*R110+0.5*(1-(P110/N110)^2)+(1-(P110/O110)^2)^2)*(O110/P110)^4</f>
        <v>2.51353804138511</v>
      </c>
      <c r="V110" s="14"/>
      <c r="W110" s="14"/>
      <c r="X110" s="10" t="s">
        <v>47</v>
      </c>
      <c r="Y110" s="16"/>
      <c r="Z110" s="17" t="s">
        <v>48</v>
      </c>
      <c r="AA110" s="6"/>
      <c r="AB110" s="18" t="n">
        <f aca="false">IF(O110="","",$D$3*PI()*(O110/1000)^2/4*3600)</f>
        <v>1.08573442108063</v>
      </c>
      <c r="AC110" s="19" t="n">
        <f aca="false">IF(OR(U110="",NOT(ISNUMBER(U110))),"",U110*$D$3^2/(2*$H$3))</f>
        <v>0.2882497753882</v>
      </c>
      <c r="AD110" s="20" t="n">
        <f aca="false">IF(OR(U110="",NOT(ISNUMBER(U110))),"",U110*$D$3^2/2*$F$3)</f>
        <v>2827.73029655824</v>
      </c>
      <c r="AE110" s="19" t="str">
        <f aca="false">IF(OR(V110="",NOT(ISNUMBER(V110))),"",V110*$D$3^2/(2*$H$3))</f>
        <v/>
      </c>
      <c r="AF110" s="20" t="str">
        <f aca="false">IF(OR(V110="",NOT(ISNUMBER(V110))),"",V110*$D$3^2/2*$F$3)</f>
        <v/>
      </c>
      <c r="AG110" s="19" t="str">
        <f aca="false">IF(OR(W110="",NOT(ISNUMBER(W110))),"",W110*$D$3^2/(2*$H$3))</f>
        <v/>
      </c>
      <c r="AH110" s="20" t="str">
        <f aca="false">IF(OR(W110="",NOT(ISNUMBER(W110))),"",W110*$D$3^2/2*$F$3)</f>
        <v/>
      </c>
    </row>
    <row r="111" customFormat="false" ht="15" hidden="false" customHeight="false" outlineLevel="0" collapsed="false">
      <c r="A111" s="10" t="s">
        <v>286</v>
      </c>
      <c r="B111" s="11" t="s">
        <v>41</v>
      </c>
      <c r="C111" s="6" t="s">
        <v>42</v>
      </c>
      <c r="D111" s="6" t="s">
        <v>287</v>
      </c>
      <c r="E111" s="6" t="s">
        <v>285</v>
      </c>
      <c r="F111" s="6" t="s">
        <v>181</v>
      </c>
      <c r="G111" s="6" t="n">
        <v>25</v>
      </c>
      <c r="H111" s="6"/>
      <c r="I111" s="6" t="s">
        <v>111</v>
      </c>
      <c r="J111" s="6" t="n">
        <v>16</v>
      </c>
      <c r="K111" s="6" t="s">
        <v>46</v>
      </c>
      <c r="L111" s="6" t="n">
        <v>116</v>
      </c>
      <c r="M111" s="6" t="n">
        <v>78</v>
      </c>
      <c r="N111" s="12" t="n">
        <v>20.4</v>
      </c>
      <c r="O111" s="12" t="n">
        <v>20.4</v>
      </c>
      <c r="P111" s="13" t="n">
        <v>17</v>
      </c>
      <c r="Q111" s="12"/>
      <c r="R111" s="14" t="n">
        <v>0.025</v>
      </c>
      <c r="S111" s="6" t="n">
        <v>30</v>
      </c>
      <c r="T111" s="6"/>
      <c r="U111" s="15" t="n">
        <f aca="false">(S111*R111+0.5*(1-(P111/N111)^2)+(1-(P111/O111)^2)^2)*(O111/P111)^4</f>
        <v>2.0656</v>
      </c>
      <c r="V111" s="14"/>
      <c r="W111" s="14"/>
      <c r="X111" s="10" t="s">
        <v>47</v>
      </c>
      <c r="Y111" s="16"/>
      <c r="Z111" s="17" t="s">
        <v>48</v>
      </c>
      <c r="AA111" s="6"/>
      <c r="AB111" s="18" t="n">
        <f aca="false">IF(O111="","",$D$3*PI()*(O111/1000)^2/4*3600)</f>
        <v>1.7649970182692</v>
      </c>
      <c r="AC111" s="19" t="n">
        <f aca="false">IF(OR(U111="",NOT(ISNUMBER(U111))),"",U111*$D$3^2/(2*$H$3))</f>
        <v>0.236880733944954</v>
      </c>
      <c r="AD111" s="20" t="n">
        <f aca="false">IF(OR(U111="",NOT(ISNUMBER(U111))),"",U111*$D$3^2/2*$F$3)</f>
        <v>2323.8</v>
      </c>
      <c r="AE111" s="19" t="str">
        <f aca="false">IF(OR(V111="",NOT(ISNUMBER(V111))),"",V111*$D$3^2/(2*$H$3))</f>
        <v/>
      </c>
      <c r="AF111" s="20" t="str">
        <f aca="false">IF(OR(V111="",NOT(ISNUMBER(V111))),"",V111*$D$3^2/2*$F$3)</f>
        <v/>
      </c>
      <c r="AG111" s="19" t="str">
        <f aca="false">IF(OR(W111="",NOT(ISNUMBER(W111))),"",W111*$D$3^2/(2*$H$3))</f>
        <v/>
      </c>
      <c r="AH111" s="20" t="str">
        <f aca="false">IF(OR(W111="",NOT(ISNUMBER(W111))),"",W111*$D$3^2/2*$F$3)</f>
        <v/>
      </c>
    </row>
    <row r="112" customFormat="false" ht="15" hidden="false" customHeight="false" outlineLevel="0" collapsed="false">
      <c r="A112" s="10" t="s">
        <v>288</v>
      </c>
      <c r="B112" s="11" t="s">
        <v>41</v>
      </c>
      <c r="C112" s="6" t="s">
        <v>42</v>
      </c>
      <c r="D112" s="6" t="s">
        <v>289</v>
      </c>
      <c r="E112" s="6" t="s">
        <v>290</v>
      </c>
      <c r="F112" s="6" t="s">
        <v>247</v>
      </c>
      <c r="G112" s="6" t="n">
        <v>20</v>
      </c>
      <c r="H112" s="6" t="n">
        <v>20</v>
      </c>
      <c r="I112" s="6" t="s">
        <v>108</v>
      </c>
      <c r="J112" s="6" t="n">
        <v>16</v>
      </c>
      <c r="K112" s="6" t="s">
        <v>46</v>
      </c>
      <c r="L112" s="6" t="n">
        <v>113</v>
      </c>
      <c r="M112" s="6" t="n">
        <v>60</v>
      </c>
      <c r="N112" s="12" t="n">
        <v>16</v>
      </c>
      <c r="O112" s="12" t="n">
        <v>16</v>
      </c>
      <c r="P112" s="13" t="n">
        <v>13</v>
      </c>
      <c r="Q112" s="13" t="n">
        <v>13</v>
      </c>
      <c r="R112" s="14" t="n">
        <v>0.027</v>
      </c>
      <c r="S112" s="6" t="n">
        <v>20</v>
      </c>
      <c r="T112" s="6"/>
      <c r="U112" s="15" t="n">
        <f aca="false">(20*R112+0.5*(1-(P112/N112)^2)+(1-(P112/N112)^2)^2)*(N112/P112)^4</f>
        <v>1.89399670879871</v>
      </c>
      <c r="V112" s="15" t="n">
        <f aca="false">(60*R112+0.5*(1-(Q112/N112)^2)+(1-(Q112/O112)^2)^2)*(O112/Q112)^4</f>
        <v>4.37216203914429</v>
      </c>
      <c r="W112" s="14"/>
      <c r="X112" s="10" t="s">
        <v>248</v>
      </c>
      <c r="Y112" s="16"/>
      <c r="Z112" s="17" t="s">
        <v>48</v>
      </c>
      <c r="AA112" s="6"/>
      <c r="AB112" s="18" t="n">
        <f aca="false">IF(O112="","",$D$3*PI()*(O112/1000)^2/4*3600)</f>
        <v>1.08573442108063</v>
      </c>
      <c r="AC112" s="19" t="n">
        <f aca="false">IF(OR(U112="",NOT(ISNUMBER(U112))),"",U112*$D$3^2/(2*$H$3))</f>
        <v>0.217201457431045</v>
      </c>
      <c r="AD112" s="20" t="n">
        <f aca="false">IF(OR(U112="",NOT(ISNUMBER(U112))),"",U112*$D$3^2/2*$F$3)</f>
        <v>2130.74629739855</v>
      </c>
      <c r="AE112" s="19" t="n">
        <f aca="false">IF(OR(V112="",NOT(ISNUMBER(V112))),"",V112*$D$3^2/(2*$H$3))</f>
        <v>0.501394729259666</v>
      </c>
      <c r="AF112" s="20" t="n">
        <f aca="false">IF(OR(V112="",NOT(ISNUMBER(V112))),"",V112*$D$3^2/2*$F$3)</f>
        <v>4918.68229403732</v>
      </c>
      <c r="AG112" s="19" t="str">
        <f aca="false">IF(OR(W112="",NOT(ISNUMBER(W112))),"",W112*$D$3^2/(2*$H$3))</f>
        <v/>
      </c>
      <c r="AH112" s="20" t="str">
        <f aca="false">IF(OR(W112="",NOT(ISNUMBER(W112))),"",W112*$D$3^2/2*$F$3)</f>
        <v/>
      </c>
    </row>
    <row r="113" customFormat="false" ht="15" hidden="false" customHeight="false" outlineLevel="0" collapsed="false">
      <c r="A113" s="10" t="s">
        <v>291</v>
      </c>
      <c r="B113" s="11" t="s">
        <v>41</v>
      </c>
      <c r="C113" s="6" t="s">
        <v>42</v>
      </c>
      <c r="D113" s="6" t="s">
        <v>292</v>
      </c>
      <c r="E113" s="6" t="s">
        <v>290</v>
      </c>
      <c r="F113" s="6" t="s">
        <v>247</v>
      </c>
      <c r="G113" s="6" t="n">
        <v>25</v>
      </c>
      <c r="H113" s="6" t="n">
        <v>25</v>
      </c>
      <c r="I113" s="6" t="s">
        <v>111</v>
      </c>
      <c r="J113" s="6" t="n">
        <v>16</v>
      </c>
      <c r="K113" s="6" t="s">
        <v>46</v>
      </c>
      <c r="L113" s="6" t="n">
        <v>127</v>
      </c>
      <c r="M113" s="6" t="n">
        <v>70</v>
      </c>
      <c r="N113" s="12" t="n">
        <v>20.4</v>
      </c>
      <c r="O113" s="12" t="n">
        <v>20.4</v>
      </c>
      <c r="P113" s="13" t="n">
        <v>17</v>
      </c>
      <c r="Q113" s="13" t="n">
        <v>17</v>
      </c>
      <c r="R113" s="14" t="n">
        <v>0.025</v>
      </c>
      <c r="S113" s="6" t="n">
        <v>20</v>
      </c>
      <c r="T113" s="6"/>
      <c r="U113" s="15" t="n">
        <f aca="false">(20*R113+0.5*(1-(P113/N113)^2)+(1-(P113/N113)^2)^2)*(N113/P113)^4</f>
        <v>1.5472</v>
      </c>
      <c r="V113" s="15" t="n">
        <f aca="false">(60*R113+0.5*(1-(Q113/N113)^2)+(1-(Q113/O113)^2)^2)*(O113/Q113)^4</f>
        <v>3.6208</v>
      </c>
      <c r="W113" s="14"/>
      <c r="X113" s="10" t="s">
        <v>248</v>
      </c>
      <c r="Y113" s="16"/>
      <c r="Z113" s="17" t="s">
        <v>48</v>
      </c>
      <c r="AA113" s="6"/>
      <c r="AB113" s="18" t="n">
        <f aca="false">IF(O113="","",$D$3*PI()*(O113/1000)^2/4*3600)</f>
        <v>1.7649970182692</v>
      </c>
      <c r="AC113" s="19" t="n">
        <f aca="false">IF(OR(U113="",NOT(ISNUMBER(U113))),"",U113*$D$3^2/(2*$H$3))</f>
        <v>0.17743119266055</v>
      </c>
      <c r="AD113" s="20" t="n">
        <f aca="false">IF(OR(U113="",NOT(ISNUMBER(U113))),"",U113*$D$3^2/2*$F$3)</f>
        <v>1740.6</v>
      </c>
      <c r="AE113" s="19" t="n">
        <f aca="false">IF(OR(V113="",NOT(ISNUMBER(V113))),"",V113*$D$3^2/(2*$H$3))</f>
        <v>0.415229357798165</v>
      </c>
      <c r="AF113" s="20" t="n">
        <f aca="false">IF(OR(V113="",NOT(ISNUMBER(V113))),"",V113*$D$3^2/2*$F$3)</f>
        <v>4073.4</v>
      </c>
      <c r="AG113" s="19" t="str">
        <f aca="false">IF(OR(W113="",NOT(ISNUMBER(W113))),"",W113*$D$3^2/(2*$H$3))</f>
        <v/>
      </c>
      <c r="AH113" s="20" t="str">
        <f aca="false">IF(OR(W113="",NOT(ISNUMBER(W113))),"",W113*$D$3^2/2*$F$3)</f>
        <v/>
      </c>
    </row>
    <row r="114" customFormat="false" ht="15" hidden="false" customHeight="false" outlineLevel="0" collapsed="false">
      <c r="A114" s="10" t="s">
        <v>293</v>
      </c>
      <c r="B114" s="11" t="s">
        <v>41</v>
      </c>
      <c r="C114" s="6" t="s">
        <v>42</v>
      </c>
      <c r="D114" s="6" t="s">
        <v>294</v>
      </c>
      <c r="E114" s="6" t="s">
        <v>290</v>
      </c>
      <c r="F114" s="6" t="s">
        <v>247</v>
      </c>
      <c r="G114" s="6" t="n">
        <v>32</v>
      </c>
      <c r="H114" s="6" t="n">
        <v>32</v>
      </c>
      <c r="I114" s="6" t="s">
        <v>118</v>
      </c>
      <c r="J114" s="6" t="n">
        <v>16</v>
      </c>
      <c r="K114" s="6" t="s">
        <v>46</v>
      </c>
      <c r="L114" s="6" t="n">
        <v>153</v>
      </c>
      <c r="M114" s="6" t="n">
        <v>83</v>
      </c>
      <c r="N114" s="12" t="n">
        <v>26.2</v>
      </c>
      <c r="O114" s="12" t="n">
        <v>26.2</v>
      </c>
      <c r="P114" s="13" t="n">
        <v>22</v>
      </c>
      <c r="Q114" s="13" t="n">
        <v>22</v>
      </c>
      <c r="R114" s="14" t="n">
        <v>0.023</v>
      </c>
      <c r="S114" s="6" t="n">
        <v>20</v>
      </c>
      <c r="T114" s="6"/>
      <c r="U114" s="15" t="n">
        <f aca="false">(20*R114+0.5*(1-(P114/N114)^2)+(1-(P114/N114)^2)^2)*(N114/P114)^4</f>
        <v>1.39682805245543</v>
      </c>
      <c r="V114" s="15" t="n">
        <f aca="false">(60*R114+0.5*(1-(Q114/N114)^2)+(1-(Q114/O114)^2)^2)*(O114/Q114)^4</f>
        <v>3.24738421200738</v>
      </c>
      <c r="W114" s="14"/>
      <c r="X114" s="10" t="s">
        <v>248</v>
      </c>
      <c r="Y114" s="16"/>
      <c r="Z114" s="17" t="s">
        <v>48</v>
      </c>
      <c r="AA114" s="6"/>
      <c r="AB114" s="18" t="n">
        <f aca="false">IF(O114="","",$D$3*PI()*(O114/1000)^2/4*3600)</f>
        <v>2.91129506252574</v>
      </c>
      <c r="AC114" s="19" t="n">
        <f aca="false">IF(OR(U114="",NOT(ISNUMBER(U114))),"",U114*$D$3^2/(2*$H$3))</f>
        <v>0.160186703263238</v>
      </c>
      <c r="AD114" s="20" t="n">
        <f aca="false">IF(OR(U114="",NOT(ISNUMBER(U114))),"",U114*$D$3^2/2*$F$3)</f>
        <v>1571.43155901236</v>
      </c>
      <c r="AE114" s="19" t="n">
        <f aca="false">IF(OR(V114="",NOT(ISNUMBER(V114))),"",V114*$D$3^2/(2*$H$3))</f>
        <v>0.372406446331121</v>
      </c>
      <c r="AF114" s="20" t="n">
        <f aca="false">IF(OR(V114="",NOT(ISNUMBER(V114))),"",V114*$D$3^2/2*$F$3)</f>
        <v>3653.3072385083</v>
      </c>
      <c r="AG114" s="19" t="str">
        <f aca="false">IF(OR(W114="",NOT(ISNUMBER(W114))),"",W114*$D$3^2/(2*$H$3))</f>
        <v/>
      </c>
      <c r="AH114" s="20" t="str">
        <f aca="false">IF(OR(W114="",NOT(ISNUMBER(W114))),"",W114*$D$3^2/2*$F$3)</f>
        <v/>
      </c>
    </row>
    <row r="115" customFormat="false" ht="15" hidden="false" customHeight="false" outlineLevel="0" collapsed="false">
      <c r="A115" s="10" t="s">
        <v>295</v>
      </c>
      <c r="B115" s="11" t="s">
        <v>41</v>
      </c>
      <c r="C115" s="6" t="s">
        <v>42</v>
      </c>
      <c r="D115" s="6" t="s">
        <v>296</v>
      </c>
      <c r="E115" s="6" t="s">
        <v>297</v>
      </c>
      <c r="F115" s="6" t="s">
        <v>247</v>
      </c>
      <c r="G115" s="6" t="n">
        <v>20</v>
      </c>
      <c r="H115" s="6" t="n">
        <v>20</v>
      </c>
      <c r="I115" s="6" t="s">
        <v>108</v>
      </c>
      <c r="J115" s="6" t="n">
        <v>16</v>
      </c>
      <c r="K115" s="6" t="s">
        <v>46</v>
      </c>
      <c r="L115" s="6" t="n">
        <v>113</v>
      </c>
      <c r="M115" s="6" t="n">
        <v>54</v>
      </c>
      <c r="N115" s="12" t="n">
        <v>16</v>
      </c>
      <c r="O115" s="12" t="n">
        <v>16</v>
      </c>
      <c r="P115" s="13" t="n">
        <v>13</v>
      </c>
      <c r="Q115" s="13" t="n">
        <v>13</v>
      </c>
      <c r="R115" s="14" t="n">
        <v>0.027</v>
      </c>
      <c r="S115" s="6" t="n">
        <v>20</v>
      </c>
      <c r="T115" s="6"/>
      <c r="U115" s="15" t="n">
        <f aca="false">(20*R115+0.5*(1-(P115/N115)^2)+(1-(P115/N115)^2)^2)*(N115/P115)^4</f>
        <v>1.89399670879871</v>
      </c>
      <c r="V115" s="15" t="n">
        <f aca="false">(60*R115+0.5*(1-(Q115/N115)^2)+(1-(Q115/O115)^2)^2)*(O115/Q115)^4</f>
        <v>4.37216203914429</v>
      </c>
      <c r="W115" s="14"/>
      <c r="X115" s="10" t="s">
        <v>248</v>
      </c>
      <c r="Y115" s="16"/>
      <c r="Z115" s="17" t="s">
        <v>48</v>
      </c>
      <c r="AA115" s="6"/>
      <c r="AB115" s="18" t="n">
        <f aca="false">IF(O115="","",$D$3*PI()*(O115/1000)^2/4*3600)</f>
        <v>1.08573442108063</v>
      </c>
      <c r="AC115" s="19" t="n">
        <f aca="false">IF(OR(U115="",NOT(ISNUMBER(U115))),"",U115*$D$3^2/(2*$H$3))</f>
        <v>0.217201457431045</v>
      </c>
      <c r="AD115" s="20" t="n">
        <f aca="false">IF(OR(U115="",NOT(ISNUMBER(U115))),"",U115*$D$3^2/2*$F$3)</f>
        <v>2130.74629739855</v>
      </c>
      <c r="AE115" s="19" t="n">
        <f aca="false">IF(OR(V115="",NOT(ISNUMBER(V115))),"",V115*$D$3^2/(2*$H$3))</f>
        <v>0.501394729259666</v>
      </c>
      <c r="AF115" s="20" t="n">
        <f aca="false">IF(OR(V115="",NOT(ISNUMBER(V115))),"",V115*$D$3^2/2*$F$3)</f>
        <v>4918.68229403732</v>
      </c>
      <c r="AG115" s="19" t="str">
        <f aca="false">IF(OR(W115="",NOT(ISNUMBER(W115))),"",W115*$D$3^2/(2*$H$3))</f>
        <v/>
      </c>
      <c r="AH115" s="20" t="str">
        <f aca="false">IF(OR(W115="",NOT(ISNUMBER(W115))),"",W115*$D$3^2/2*$F$3)</f>
        <v/>
      </c>
    </row>
    <row r="116" customFormat="false" ht="15" hidden="false" customHeight="false" outlineLevel="0" collapsed="false">
      <c r="A116" s="10" t="s">
        <v>298</v>
      </c>
      <c r="B116" s="11" t="s">
        <v>41</v>
      </c>
      <c r="C116" s="6" t="s">
        <v>42</v>
      </c>
      <c r="D116" s="6" t="s">
        <v>299</v>
      </c>
      <c r="E116" s="6" t="s">
        <v>297</v>
      </c>
      <c r="F116" s="6" t="s">
        <v>247</v>
      </c>
      <c r="G116" s="6" t="n">
        <v>25</v>
      </c>
      <c r="H116" s="6" t="n">
        <v>25</v>
      </c>
      <c r="I116" s="6" t="s">
        <v>108</v>
      </c>
      <c r="J116" s="6" t="n">
        <v>16</v>
      </c>
      <c r="K116" s="6" t="s">
        <v>46</v>
      </c>
      <c r="L116" s="6" t="n">
        <v>113</v>
      </c>
      <c r="M116" s="6" t="n">
        <v>65</v>
      </c>
      <c r="N116" s="12" t="n">
        <v>20.4</v>
      </c>
      <c r="O116" s="12" t="n">
        <v>20.4</v>
      </c>
      <c r="P116" s="13" t="n">
        <v>17</v>
      </c>
      <c r="Q116" s="13" t="n">
        <v>15.8</v>
      </c>
      <c r="R116" s="14" t="n">
        <v>0.025</v>
      </c>
      <c r="S116" s="6" t="n">
        <v>20</v>
      </c>
      <c r="T116" s="6"/>
      <c r="U116" s="15" t="n">
        <f aca="false">(20*R116+0.5*(1-(P116/N116)^2)+(1-(P116/N116)^2)^2)*(N116/P116)^4</f>
        <v>1.5472</v>
      </c>
      <c r="V116" s="15" t="n">
        <f aca="false">(60*R116+0.5*(1-(Q116/N116)^2)+(1-(Q116/O116)^2)^2)*(O116/Q116)^4</f>
        <v>5.16947112382128</v>
      </c>
      <c r="W116" s="14"/>
      <c r="X116" s="10" t="s">
        <v>248</v>
      </c>
      <c r="Y116" s="16"/>
      <c r="Z116" s="17" t="s">
        <v>48</v>
      </c>
      <c r="AA116" s="6"/>
      <c r="AB116" s="18" t="n">
        <f aca="false">IF(O116="","",$D$3*PI()*(O116/1000)^2/4*3600)</f>
        <v>1.7649970182692</v>
      </c>
      <c r="AC116" s="19" t="n">
        <f aca="false">IF(OR(U116="",NOT(ISNUMBER(U116))),"",U116*$D$3^2/(2*$H$3))</f>
        <v>0.17743119266055</v>
      </c>
      <c r="AD116" s="20" t="n">
        <f aca="false">IF(OR(U116="",NOT(ISNUMBER(U116))),"",U116*$D$3^2/2*$F$3)</f>
        <v>1740.6</v>
      </c>
      <c r="AE116" s="19" t="n">
        <f aca="false">IF(OR(V116="",NOT(ISNUMBER(V116))),"",V116*$D$3^2/(2*$H$3))</f>
        <v>0.592829257318954</v>
      </c>
      <c r="AF116" s="20" t="n">
        <f aca="false">IF(OR(V116="",NOT(ISNUMBER(V116))),"",V116*$D$3^2/2*$F$3)</f>
        <v>5815.65501429894</v>
      </c>
      <c r="AG116" s="19" t="str">
        <f aca="false">IF(OR(W116="",NOT(ISNUMBER(W116))),"",W116*$D$3^2/(2*$H$3))</f>
        <v/>
      </c>
      <c r="AH116" s="20" t="str">
        <f aca="false">IF(OR(W116="",NOT(ISNUMBER(W116))),"",W116*$D$3^2/2*$F$3)</f>
        <v/>
      </c>
    </row>
    <row r="117" customFormat="false" ht="15" hidden="false" customHeight="false" outlineLevel="0" collapsed="false">
      <c r="A117" s="10" t="s">
        <v>300</v>
      </c>
      <c r="B117" s="11" t="s">
        <v>41</v>
      </c>
      <c r="C117" s="6" t="s">
        <v>42</v>
      </c>
      <c r="D117" s="6" t="s">
        <v>301</v>
      </c>
      <c r="E117" s="6" t="s">
        <v>297</v>
      </c>
      <c r="F117" s="6" t="s">
        <v>247</v>
      </c>
      <c r="G117" s="6" t="n">
        <v>25</v>
      </c>
      <c r="H117" s="6" t="n">
        <v>25</v>
      </c>
      <c r="I117" s="6" t="s">
        <v>111</v>
      </c>
      <c r="J117" s="6" t="n">
        <v>16</v>
      </c>
      <c r="K117" s="6" t="s">
        <v>46</v>
      </c>
      <c r="L117" s="6" t="n">
        <v>126</v>
      </c>
      <c r="M117" s="6" t="n">
        <v>65</v>
      </c>
      <c r="N117" s="12" t="n">
        <v>20.4</v>
      </c>
      <c r="O117" s="12" t="n">
        <v>20.4</v>
      </c>
      <c r="P117" s="13" t="n">
        <v>17</v>
      </c>
      <c r="Q117" s="13" t="n">
        <v>17</v>
      </c>
      <c r="R117" s="14" t="n">
        <v>0.025</v>
      </c>
      <c r="S117" s="6" t="n">
        <v>20</v>
      </c>
      <c r="T117" s="6"/>
      <c r="U117" s="15" t="n">
        <f aca="false">(20*R117+0.5*(1-(P117/N117)^2)+(1-(P117/N117)^2)^2)*(N117/P117)^4</f>
        <v>1.5472</v>
      </c>
      <c r="V117" s="15" t="n">
        <f aca="false">(60*R117+0.5*(1-(Q117/N117)^2)+(1-(Q117/O117)^2)^2)*(O117/Q117)^4</f>
        <v>3.6208</v>
      </c>
      <c r="W117" s="14"/>
      <c r="X117" s="10" t="s">
        <v>248</v>
      </c>
      <c r="Y117" s="16"/>
      <c r="Z117" s="17" t="s">
        <v>48</v>
      </c>
      <c r="AA117" s="6"/>
      <c r="AB117" s="18" t="n">
        <f aca="false">IF(O117="","",$D$3*PI()*(O117/1000)^2/4*3600)</f>
        <v>1.7649970182692</v>
      </c>
      <c r="AC117" s="19" t="n">
        <f aca="false">IF(OR(U117="",NOT(ISNUMBER(U117))),"",U117*$D$3^2/(2*$H$3))</f>
        <v>0.17743119266055</v>
      </c>
      <c r="AD117" s="20" t="n">
        <f aca="false">IF(OR(U117="",NOT(ISNUMBER(U117))),"",U117*$D$3^2/2*$F$3)</f>
        <v>1740.6</v>
      </c>
      <c r="AE117" s="19" t="n">
        <f aca="false">IF(OR(V117="",NOT(ISNUMBER(V117))),"",V117*$D$3^2/(2*$H$3))</f>
        <v>0.415229357798165</v>
      </c>
      <c r="AF117" s="20" t="n">
        <f aca="false">IF(OR(V117="",NOT(ISNUMBER(V117))),"",V117*$D$3^2/2*$F$3)</f>
        <v>4073.4</v>
      </c>
      <c r="AG117" s="19" t="str">
        <f aca="false">IF(OR(W117="",NOT(ISNUMBER(W117))),"",W117*$D$3^2/(2*$H$3))</f>
        <v/>
      </c>
      <c r="AH117" s="20" t="str">
        <f aca="false">IF(OR(W117="",NOT(ISNUMBER(W117))),"",W117*$D$3^2/2*$F$3)</f>
        <v/>
      </c>
    </row>
    <row r="118" customFormat="false" ht="15" hidden="false" customHeight="false" outlineLevel="0" collapsed="false">
      <c r="A118" s="10" t="s">
        <v>302</v>
      </c>
      <c r="B118" s="11" t="s">
        <v>41</v>
      </c>
      <c r="C118" s="6" t="s">
        <v>42</v>
      </c>
      <c r="D118" s="6" t="s">
        <v>303</v>
      </c>
      <c r="E118" s="6" t="s">
        <v>297</v>
      </c>
      <c r="F118" s="6" t="s">
        <v>247</v>
      </c>
      <c r="G118" s="6" t="n">
        <v>32</v>
      </c>
      <c r="H118" s="6" t="n">
        <v>32</v>
      </c>
      <c r="I118" s="6" t="s">
        <v>111</v>
      </c>
      <c r="J118" s="6" t="n">
        <v>16</v>
      </c>
      <c r="K118" s="6" t="s">
        <v>46</v>
      </c>
      <c r="L118" s="6" t="n">
        <v>156</v>
      </c>
      <c r="M118" s="6" t="n">
        <v>76</v>
      </c>
      <c r="N118" s="12" t="n">
        <v>26.2</v>
      </c>
      <c r="O118" s="12" t="n">
        <v>26.2</v>
      </c>
      <c r="P118" s="13" t="n">
        <v>22</v>
      </c>
      <c r="Q118" s="13" t="n">
        <v>20.9</v>
      </c>
      <c r="R118" s="14" t="n">
        <v>0.023</v>
      </c>
      <c r="S118" s="6" t="n">
        <v>20</v>
      </c>
      <c r="T118" s="6"/>
      <c r="U118" s="15" t="n">
        <f aca="false">(20*R118+0.5*(1-(P118/N118)^2)+(1-(P118/N118)^2)^2)*(N118/P118)^4</f>
        <v>1.39682805245543</v>
      </c>
      <c r="V118" s="15" t="n">
        <f aca="false">(60*R118+0.5*(1-(Q118/N118)^2)+(1-(Q118/O118)^2)^2)*(O118/Q118)^4</f>
        <v>4.18362956062927</v>
      </c>
      <c r="W118" s="14"/>
      <c r="X118" s="10" t="s">
        <v>248</v>
      </c>
      <c r="Y118" s="16"/>
      <c r="Z118" s="17" t="s">
        <v>48</v>
      </c>
      <c r="AA118" s="6"/>
      <c r="AB118" s="18" t="n">
        <f aca="false">IF(O118="","",$D$3*PI()*(O118/1000)^2/4*3600)</f>
        <v>2.91129506252574</v>
      </c>
      <c r="AC118" s="19" t="n">
        <f aca="false">IF(OR(U118="",NOT(ISNUMBER(U118))),"",U118*$D$3^2/(2*$H$3))</f>
        <v>0.160186703263238</v>
      </c>
      <c r="AD118" s="20" t="n">
        <f aca="false">IF(OR(U118="",NOT(ISNUMBER(U118))),"",U118*$D$3^2/2*$F$3)</f>
        <v>1571.43155901236</v>
      </c>
      <c r="AE118" s="19" t="n">
        <f aca="false">IF(OR(V118="",NOT(ISNUMBER(V118))),"",V118*$D$3^2/(2*$H$3))</f>
        <v>0.479774032182256</v>
      </c>
      <c r="AF118" s="20" t="n">
        <f aca="false">IF(OR(V118="",NOT(ISNUMBER(V118))),"",V118*$D$3^2/2*$F$3)</f>
        <v>4706.58325570793</v>
      </c>
      <c r="AG118" s="19" t="str">
        <f aca="false">IF(OR(W118="",NOT(ISNUMBER(W118))),"",W118*$D$3^2/(2*$H$3))</f>
        <v/>
      </c>
      <c r="AH118" s="20" t="str">
        <f aca="false">IF(OR(W118="",NOT(ISNUMBER(W118))),"",W118*$D$3^2/2*$F$3)</f>
        <v/>
      </c>
    </row>
    <row r="119" customFormat="false" ht="15" hidden="false" customHeight="false" outlineLevel="0" collapsed="false">
      <c r="A119" s="10" t="s">
        <v>304</v>
      </c>
      <c r="B119" s="11" t="s">
        <v>41</v>
      </c>
      <c r="C119" s="6" t="s">
        <v>42</v>
      </c>
      <c r="D119" s="6" t="s">
        <v>305</v>
      </c>
      <c r="E119" s="6" t="s">
        <v>297</v>
      </c>
      <c r="F119" s="6" t="s">
        <v>247</v>
      </c>
      <c r="G119" s="6" t="n">
        <v>32</v>
      </c>
      <c r="H119" s="6" t="n">
        <v>32</v>
      </c>
      <c r="I119" s="6" t="s">
        <v>118</v>
      </c>
      <c r="J119" s="6" t="n">
        <v>16</v>
      </c>
      <c r="K119" s="6" t="s">
        <v>46</v>
      </c>
      <c r="L119" s="6" t="n">
        <v>154</v>
      </c>
      <c r="M119" s="6" t="n">
        <v>83</v>
      </c>
      <c r="N119" s="12" t="n">
        <v>26.2</v>
      </c>
      <c r="O119" s="12" t="n">
        <v>26.2</v>
      </c>
      <c r="P119" s="13" t="n">
        <v>22</v>
      </c>
      <c r="Q119" s="13" t="n">
        <v>22</v>
      </c>
      <c r="R119" s="14" t="n">
        <v>0.023</v>
      </c>
      <c r="S119" s="6" t="n">
        <v>20</v>
      </c>
      <c r="T119" s="6"/>
      <c r="U119" s="15" t="n">
        <f aca="false">(20*R119+0.5*(1-(P119/N119)^2)+(1-(P119/N119)^2)^2)*(N119/P119)^4</f>
        <v>1.39682805245543</v>
      </c>
      <c r="V119" s="15" t="n">
        <f aca="false">(60*R119+0.5*(1-(Q119/N119)^2)+(1-(Q119/O119)^2)^2)*(O119/Q119)^4</f>
        <v>3.24738421200738</v>
      </c>
      <c r="W119" s="14"/>
      <c r="X119" s="10" t="s">
        <v>248</v>
      </c>
      <c r="Y119" s="16"/>
      <c r="Z119" s="17" t="s">
        <v>48</v>
      </c>
      <c r="AA119" s="6"/>
      <c r="AB119" s="18" t="n">
        <f aca="false">IF(O119="","",$D$3*PI()*(O119/1000)^2/4*3600)</f>
        <v>2.91129506252574</v>
      </c>
      <c r="AC119" s="19" t="n">
        <f aca="false">IF(OR(U119="",NOT(ISNUMBER(U119))),"",U119*$D$3^2/(2*$H$3))</f>
        <v>0.160186703263238</v>
      </c>
      <c r="AD119" s="20" t="n">
        <f aca="false">IF(OR(U119="",NOT(ISNUMBER(U119))),"",U119*$D$3^2/2*$F$3)</f>
        <v>1571.43155901236</v>
      </c>
      <c r="AE119" s="19" t="n">
        <f aca="false">IF(OR(V119="",NOT(ISNUMBER(V119))),"",V119*$D$3^2/(2*$H$3))</f>
        <v>0.372406446331121</v>
      </c>
      <c r="AF119" s="20" t="n">
        <f aca="false">IF(OR(V119="",NOT(ISNUMBER(V119))),"",V119*$D$3^2/2*$F$3)</f>
        <v>3653.3072385083</v>
      </c>
      <c r="AG119" s="19" t="str">
        <f aca="false">IF(OR(W119="",NOT(ISNUMBER(W119))),"",W119*$D$3^2/(2*$H$3))</f>
        <v/>
      </c>
      <c r="AH119" s="20" t="str">
        <f aca="false">IF(OR(W119="",NOT(ISNUMBER(W119))),"",W119*$D$3^2/2*$F$3)</f>
        <v/>
      </c>
    </row>
    <row r="120" customFormat="false" ht="15" hidden="false" customHeight="false" outlineLevel="0" collapsed="false">
      <c r="A120" s="10" t="s">
        <v>306</v>
      </c>
      <c r="B120" s="11" t="s">
        <v>41</v>
      </c>
      <c r="C120" s="6" t="s">
        <v>42</v>
      </c>
      <c r="D120" s="6" t="s">
        <v>307</v>
      </c>
      <c r="E120" s="6" t="s">
        <v>297</v>
      </c>
      <c r="F120" s="6" t="s">
        <v>247</v>
      </c>
      <c r="G120" s="6" t="n">
        <v>40</v>
      </c>
      <c r="H120" s="6" t="n">
        <v>40</v>
      </c>
      <c r="I120" s="6" t="s">
        <v>127</v>
      </c>
      <c r="J120" s="6" t="n">
        <v>16</v>
      </c>
      <c r="K120" s="6" t="s">
        <v>46</v>
      </c>
      <c r="L120" s="6" t="n">
        <v>175</v>
      </c>
      <c r="M120" s="6" t="n">
        <v>95</v>
      </c>
      <c r="N120" s="12" t="n">
        <v>32.6</v>
      </c>
      <c r="O120" s="12" t="n">
        <v>32.6</v>
      </c>
      <c r="P120" s="13" t="n">
        <v>28</v>
      </c>
      <c r="Q120" s="13" t="n">
        <v>28</v>
      </c>
      <c r="R120" s="14" t="n">
        <v>0.022</v>
      </c>
      <c r="S120" s="6" t="n">
        <v>20</v>
      </c>
      <c r="T120" s="6"/>
      <c r="U120" s="15" t="n">
        <f aca="false">(20*R120+0.5*(1-(P120/N120)^2)+(1-(P120/N120)^2)^2)*(N120/P120)^4</f>
        <v>1.17593663145564</v>
      </c>
      <c r="V120" s="15" t="n">
        <f aca="false">(60*R120+0.5*(1-(Q120/N120)^2)+(1-(Q120/O120)^2)^2)*(O120/Q120)^4</f>
        <v>2.79297731679509</v>
      </c>
      <c r="W120" s="14"/>
      <c r="X120" s="10" t="s">
        <v>248</v>
      </c>
      <c r="Y120" s="16"/>
      <c r="Z120" s="17" t="s">
        <v>48</v>
      </c>
      <c r="AA120" s="6"/>
      <c r="AB120" s="18" t="n">
        <f aca="false">IF(O120="","",$D$3*PI()*(O120/1000)^2/4*3600)</f>
        <v>4.50732466151427</v>
      </c>
      <c r="AC120" s="19" t="n">
        <f aca="false">IF(OR(U120="",NOT(ISNUMBER(U120))),"",U120*$D$3^2/(2*$H$3))</f>
        <v>0.134855118286198</v>
      </c>
      <c r="AD120" s="20" t="n">
        <f aca="false">IF(OR(U120="",NOT(ISNUMBER(U120))),"",U120*$D$3^2/2*$F$3)</f>
        <v>1322.9287103876</v>
      </c>
      <c r="AE120" s="19" t="n">
        <f aca="false">IF(OR(V120="",NOT(ISNUMBER(V120))),"",V120*$D$3^2/(2*$H$3))</f>
        <v>0.320295563852647</v>
      </c>
      <c r="AF120" s="20" t="n">
        <f aca="false">IF(OR(V120="",NOT(ISNUMBER(V120))),"",V120*$D$3^2/2*$F$3)</f>
        <v>3142.09948139447</v>
      </c>
      <c r="AG120" s="19" t="str">
        <f aca="false">IF(OR(W120="",NOT(ISNUMBER(W120))),"",W120*$D$3^2/(2*$H$3))</f>
        <v/>
      </c>
      <c r="AH120" s="20" t="str">
        <f aca="false">IF(OR(W120="",NOT(ISNUMBER(W120))),"",W120*$D$3^2/2*$F$3)</f>
        <v/>
      </c>
    </row>
    <row r="121" customFormat="false" ht="15" hidden="false" customHeight="false" outlineLevel="0" collapsed="false">
      <c r="A121" s="10" t="s">
        <v>308</v>
      </c>
      <c r="B121" s="11" t="s">
        <v>41</v>
      </c>
      <c r="C121" s="6" t="s">
        <v>42</v>
      </c>
      <c r="D121" s="6" t="s">
        <v>309</v>
      </c>
      <c r="E121" s="6" t="s">
        <v>297</v>
      </c>
      <c r="F121" s="6" t="s">
        <v>247</v>
      </c>
      <c r="G121" s="6" t="n">
        <v>50</v>
      </c>
      <c r="H121" s="6" t="n">
        <v>50</v>
      </c>
      <c r="I121" s="6" t="s">
        <v>130</v>
      </c>
      <c r="J121" s="6" t="n">
        <v>16</v>
      </c>
      <c r="K121" s="6" t="s">
        <v>46</v>
      </c>
      <c r="L121" s="6" t="n">
        <v>219</v>
      </c>
      <c r="M121" s="6" t="n">
        <v>110</v>
      </c>
      <c r="N121" s="12" t="n">
        <v>40.8</v>
      </c>
      <c r="O121" s="12" t="n">
        <v>40.8</v>
      </c>
      <c r="P121" s="13" t="n">
        <v>35</v>
      </c>
      <c r="Q121" s="13" t="n">
        <v>35</v>
      </c>
      <c r="R121" s="14" t="n">
        <v>0.021</v>
      </c>
      <c r="S121" s="6" t="n">
        <v>20</v>
      </c>
      <c r="T121" s="6"/>
      <c r="U121" s="15" t="n">
        <f aca="false">(20*R121+0.5*(1-(P121/N121)^2)+(1-(P121/N121)^2)^2)*(N121/P121)^4</f>
        <v>1.14821194691012</v>
      </c>
      <c r="V121" s="15" t="n">
        <f aca="false">(60*R121+0.5*(1-(Q121/N121)^2)+(1-(Q121/O121)^2)^2)*(O121/Q121)^4</f>
        <v>2.69934038796901</v>
      </c>
      <c r="W121" s="14"/>
      <c r="X121" s="10" t="s">
        <v>248</v>
      </c>
      <c r="Y121" s="16"/>
      <c r="Z121" s="17" t="s">
        <v>48</v>
      </c>
      <c r="AA121" s="6"/>
      <c r="AB121" s="18" t="n">
        <f aca="false">IF(O121="","",$D$3*PI()*(O121/1000)^2/4*3600)</f>
        <v>7.05998807307681</v>
      </c>
      <c r="AC121" s="19" t="n">
        <f aca="false">IF(OR(U121="",NOT(ISNUMBER(U121))),"",U121*$D$3^2/(2*$H$3))</f>
        <v>0.131675681985106</v>
      </c>
      <c r="AD121" s="20" t="n">
        <f aca="false">IF(OR(U121="",NOT(ISNUMBER(U121))),"",U121*$D$3^2/2*$F$3)</f>
        <v>1291.73844027389</v>
      </c>
      <c r="AE121" s="19" t="n">
        <f aca="false">IF(OR(V121="",NOT(ISNUMBER(V121))),"",V121*$D$3^2/(2*$H$3))</f>
        <v>0.309557383941401</v>
      </c>
      <c r="AF121" s="20" t="n">
        <f aca="false">IF(OR(V121="",NOT(ISNUMBER(V121))),"",V121*$D$3^2/2*$F$3)</f>
        <v>3036.75793646514</v>
      </c>
      <c r="AG121" s="19" t="str">
        <f aca="false">IF(OR(W121="",NOT(ISNUMBER(W121))),"",W121*$D$3^2/(2*$H$3))</f>
        <v/>
      </c>
      <c r="AH121" s="20" t="str">
        <f aca="false">IF(OR(W121="",NOT(ISNUMBER(W121))),"",W121*$D$3^2/2*$F$3)</f>
        <v/>
      </c>
    </row>
    <row r="122" customFormat="false" ht="15" hidden="false" customHeight="false" outlineLevel="0" collapsed="false">
      <c r="A122" s="10" t="s">
        <v>310</v>
      </c>
      <c r="B122" s="11" t="s">
        <v>41</v>
      </c>
      <c r="C122" s="6" t="s">
        <v>42</v>
      </c>
      <c r="D122" s="6" t="s">
        <v>311</v>
      </c>
      <c r="E122" s="6" t="s">
        <v>297</v>
      </c>
      <c r="F122" s="6" t="s">
        <v>247</v>
      </c>
      <c r="G122" s="6" t="n">
        <v>63</v>
      </c>
      <c r="H122" s="6" t="n">
        <v>63</v>
      </c>
      <c r="I122" s="6" t="s">
        <v>133</v>
      </c>
      <c r="J122" s="6" t="n">
        <v>16</v>
      </c>
      <c r="K122" s="6" t="s">
        <v>46</v>
      </c>
      <c r="L122" s="6" t="n">
        <v>276</v>
      </c>
      <c r="M122" s="6" t="n">
        <v>130</v>
      </c>
      <c r="N122" s="12" t="n">
        <v>51.4</v>
      </c>
      <c r="O122" s="12" t="n">
        <v>51.4</v>
      </c>
      <c r="P122" s="13" t="n">
        <v>45</v>
      </c>
      <c r="Q122" s="13" t="n">
        <v>45</v>
      </c>
      <c r="R122" s="14" t="n">
        <v>0.019</v>
      </c>
      <c r="S122" s="6" t="n">
        <v>20</v>
      </c>
      <c r="T122" s="6"/>
      <c r="U122" s="15" t="n">
        <f aca="false">(20*R122+0.5*(1-(P122/N122)^2)+(1-(P122/N122)^2)^2)*(N122/P122)^4</f>
        <v>0.938396821510867</v>
      </c>
      <c r="V122" s="15" t="n">
        <f aca="false">(60*R122+0.5*(1-(Q122/N122)^2)+(1-(Q122/O122)^2)^2)*(O122/Q122)^4</f>
        <v>2.23204449902734</v>
      </c>
      <c r="W122" s="14"/>
      <c r="X122" s="10" t="s">
        <v>248</v>
      </c>
      <c r="Y122" s="16"/>
      <c r="Z122" s="17" t="s">
        <v>48</v>
      </c>
      <c r="AA122" s="6"/>
      <c r="AB122" s="18" t="n">
        <f aca="false">IF(O122="","",$D$3*PI()*(O122/1000)^2/4*3600)</f>
        <v>11.2049488715554</v>
      </c>
      <c r="AC122" s="19" t="n">
        <f aca="false">IF(OR(U122="",NOT(ISNUMBER(U122))),"",U122*$D$3^2/(2*$H$3))</f>
        <v>0.107614314393448</v>
      </c>
      <c r="AD122" s="20" t="n">
        <f aca="false">IF(OR(U122="",NOT(ISNUMBER(U122))),"",U122*$D$3^2/2*$F$3)</f>
        <v>1055.69642419973</v>
      </c>
      <c r="AE122" s="19" t="n">
        <f aca="false">IF(OR(V122="",NOT(ISNUMBER(V122))),"",V122*$D$3^2/(2*$H$3))</f>
        <v>0.25596840585176</v>
      </c>
      <c r="AF122" s="20" t="n">
        <f aca="false">IF(OR(V122="",NOT(ISNUMBER(V122))),"",V122*$D$3^2/2*$F$3)</f>
        <v>2511.05006140576</v>
      </c>
      <c r="AG122" s="19" t="str">
        <f aca="false">IF(OR(W122="",NOT(ISNUMBER(W122))),"",W122*$D$3^2/(2*$H$3))</f>
        <v/>
      </c>
      <c r="AH122" s="20" t="str">
        <f aca="false">IF(OR(W122="",NOT(ISNUMBER(W122))),"",W122*$D$3^2/2*$F$3)</f>
        <v/>
      </c>
    </row>
    <row r="123" customFormat="false" ht="15" hidden="false" customHeight="false" outlineLevel="0" collapsed="false">
      <c r="A123" s="10" t="s">
        <v>312</v>
      </c>
      <c r="B123" s="11" t="s">
        <v>41</v>
      </c>
      <c r="C123" s="6" t="s">
        <v>42</v>
      </c>
      <c r="D123" s="6" t="s">
        <v>313</v>
      </c>
      <c r="E123" s="6" t="s">
        <v>297</v>
      </c>
      <c r="F123" s="6" t="s">
        <v>247</v>
      </c>
      <c r="G123" s="6" t="n">
        <v>75</v>
      </c>
      <c r="H123" s="6" t="n">
        <v>75</v>
      </c>
      <c r="I123" s="6" t="s">
        <v>136</v>
      </c>
      <c r="J123" s="6" t="n">
        <v>16</v>
      </c>
      <c r="K123" s="6" t="s">
        <v>46</v>
      </c>
      <c r="L123" s="6" t="n">
        <v>312</v>
      </c>
      <c r="M123" s="6" t="n">
        <v>158</v>
      </c>
      <c r="N123" s="12" t="n">
        <v>61.4</v>
      </c>
      <c r="O123" s="12" t="n">
        <v>61.4</v>
      </c>
      <c r="P123" s="13" t="n">
        <v>54</v>
      </c>
      <c r="Q123" s="13" t="n">
        <v>54</v>
      </c>
      <c r="R123" s="14" t="n">
        <v>0.018</v>
      </c>
      <c r="S123" s="6" t="n">
        <v>20</v>
      </c>
      <c r="T123" s="6"/>
      <c r="U123" s="15" t="n">
        <f aca="false">(20*R123+0.5*(1-(P123/N123)^2)+(1-(P123/N123)^2)^2)*(N123/P123)^4</f>
        <v>0.876800132443677</v>
      </c>
      <c r="V123" s="15" t="n">
        <f aca="false">(60*R123+0.5*(1-(Q123/N123)^2)+(1-(Q123/O123)^2)^2)*(O123/Q123)^4</f>
        <v>2.08025814202894</v>
      </c>
      <c r="W123" s="14"/>
      <c r="X123" s="10" t="s">
        <v>248</v>
      </c>
      <c r="Y123" s="16"/>
      <c r="Z123" s="17" t="s">
        <v>48</v>
      </c>
      <c r="AA123" s="6"/>
      <c r="AB123" s="18" t="n">
        <f aca="false">IF(O123="","",$D$3*PI()*(O123/1000)^2/4*3600)</f>
        <v>15.988966164442</v>
      </c>
      <c r="AC123" s="19" t="n">
        <f aca="false">IF(OR(U123="",NOT(ISNUMBER(U123))),"",U123*$D$3^2/(2*$H$3))</f>
        <v>0.100550473904091</v>
      </c>
      <c r="AD123" s="20" t="n">
        <f aca="false">IF(OR(U123="",NOT(ISNUMBER(U123))),"",U123*$D$3^2/2*$F$3)</f>
        <v>986.400148999136</v>
      </c>
      <c r="AE123" s="19" t="n">
        <f aca="false">IF(OR(V123="",NOT(ISNUMBER(V123))),"",V123*$D$3^2/(2*$H$3))</f>
        <v>0.238561713535428</v>
      </c>
      <c r="AF123" s="20" t="n">
        <f aca="false">IF(OR(V123="",NOT(ISNUMBER(V123))),"",V123*$D$3^2/2*$F$3)</f>
        <v>2340.29040978255</v>
      </c>
      <c r="AG123" s="19" t="str">
        <f aca="false">IF(OR(W123="",NOT(ISNUMBER(W123))),"",W123*$D$3^2/(2*$H$3))</f>
        <v/>
      </c>
      <c r="AH123" s="20" t="str">
        <f aca="false">IF(OR(W123="",NOT(ISNUMBER(W123))),"",W123*$D$3^2/2*$F$3)</f>
        <v/>
      </c>
    </row>
    <row r="124" customFormat="false" ht="15" hidden="false" customHeight="false" outlineLevel="0" collapsed="false">
      <c r="A124" s="10" t="s">
        <v>314</v>
      </c>
      <c r="B124" s="11" t="s">
        <v>41</v>
      </c>
      <c r="C124" s="6" t="s">
        <v>42</v>
      </c>
      <c r="D124" s="6" t="s">
        <v>315</v>
      </c>
      <c r="E124" s="6" t="s">
        <v>297</v>
      </c>
      <c r="F124" s="6" t="s">
        <v>247</v>
      </c>
      <c r="G124" s="6" t="n">
        <v>90</v>
      </c>
      <c r="H124" s="6" t="n">
        <v>90</v>
      </c>
      <c r="I124" s="6" t="s">
        <v>139</v>
      </c>
      <c r="J124" s="6" t="n">
        <v>16</v>
      </c>
      <c r="K124" s="6" t="s">
        <v>46</v>
      </c>
      <c r="L124" s="6" t="n">
        <v>365</v>
      </c>
      <c r="M124" s="6" t="n">
        <v>195</v>
      </c>
      <c r="N124" s="12" t="n">
        <v>73.6</v>
      </c>
      <c r="O124" s="12" t="n">
        <v>73.6</v>
      </c>
      <c r="P124" s="13" t="n">
        <v>66</v>
      </c>
      <c r="Q124" s="13" t="n">
        <v>66</v>
      </c>
      <c r="R124" s="14" t="n">
        <v>0.018</v>
      </c>
      <c r="S124" s="6" t="n">
        <v>20</v>
      </c>
      <c r="T124" s="6"/>
      <c r="U124" s="15" t="n">
        <f aca="false">(20*R124+0.5*(1-(P124/N124)^2)+(1-(P124/N124)^2)^2)*(N124/P124)^4</f>
        <v>0.767487310146291</v>
      </c>
      <c r="V124" s="15" t="n">
        <f aca="false">(60*R124+0.5*(1-(Q124/N124)^2)+(1-(Q124/O124)^2)^2)*(O124/Q124)^4</f>
        <v>1.88093036737523</v>
      </c>
      <c r="W124" s="14"/>
      <c r="X124" s="10" t="s">
        <v>248</v>
      </c>
      <c r="Y124" s="16"/>
      <c r="Z124" s="17" t="s">
        <v>48</v>
      </c>
      <c r="AA124" s="6"/>
      <c r="AB124" s="18" t="n">
        <f aca="false">IF(O124="","",$D$3*PI()*(O124/1000)^2/4*3600)</f>
        <v>22.9741403500662</v>
      </c>
      <c r="AC124" s="19" t="n">
        <f aca="false">IF(OR(U124="",NOT(ISNUMBER(U124))),"",U124*$D$3^2/(2*$H$3))</f>
        <v>0.0880145997874187</v>
      </c>
      <c r="AD124" s="20" t="n">
        <f aca="false">IF(OR(U124="",NOT(ISNUMBER(U124))),"",U124*$D$3^2/2*$F$3)</f>
        <v>863.423223914577</v>
      </c>
      <c r="AE124" s="19" t="n">
        <f aca="false">IF(OR(V124="",NOT(ISNUMBER(V124))),"",V124*$D$3^2/(2*$H$3))</f>
        <v>0.215703023781563</v>
      </c>
      <c r="AF124" s="20" t="n">
        <f aca="false">IF(OR(V124="",NOT(ISNUMBER(V124))),"",V124*$D$3^2/2*$F$3)</f>
        <v>2116.04666329713</v>
      </c>
      <c r="AG124" s="19" t="str">
        <f aca="false">IF(OR(W124="",NOT(ISNUMBER(W124))),"",W124*$D$3^2/(2*$H$3))</f>
        <v/>
      </c>
      <c r="AH124" s="20" t="str">
        <f aca="false">IF(OR(W124="",NOT(ISNUMBER(W124))),"",W124*$D$3^2/2*$F$3)</f>
        <v/>
      </c>
    </row>
    <row r="125" customFormat="false" ht="15" hidden="false" customHeight="false" outlineLevel="0" collapsed="false">
      <c r="A125" s="10" t="s">
        <v>316</v>
      </c>
      <c r="B125" s="11" t="s">
        <v>41</v>
      </c>
      <c r="C125" s="6" t="s">
        <v>42</v>
      </c>
      <c r="D125" s="6" t="s">
        <v>317</v>
      </c>
      <c r="E125" s="6" t="s">
        <v>297</v>
      </c>
      <c r="F125" s="6" t="s">
        <v>247</v>
      </c>
      <c r="G125" s="6" t="n">
        <v>110</v>
      </c>
      <c r="H125" s="6" t="n">
        <v>110</v>
      </c>
      <c r="I125" s="6" t="s">
        <v>142</v>
      </c>
      <c r="J125" s="6" t="n">
        <v>16</v>
      </c>
      <c r="K125" s="6" t="s">
        <v>46</v>
      </c>
      <c r="L125" s="6" t="n">
        <v>450</v>
      </c>
      <c r="M125" s="6" t="n">
        <v>215</v>
      </c>
      <c r="N125" s="12" t="n">
        <v>90</v>
      </c>
      <c r="O125" s="12" t="n">
        <v>90</v>
      </c>
      <c r="P125" s="13" t="n">
        <v>81</v>
      </c>
      <c r="Q125" s="13" t="n">
        <v>81</v>
      </c>
      <c r="R125" s="14" t="n">
        <v>0.017</v>
      </c>
      <c r="S125" s="6" t="n">
        <v>20</v>
      </c>
      <c r="T125" s="6"/>
      <c r="U125" s="15" t="n">
        <f aca="false">(20*R125+0.5*(1-(P125/N125)^2)+(1-(P125/N125)^2)^2)*(N125/P125)^4</f>
        <v>0.718030787989636</v>
      </c>
      <c r="V125" s="15" t="n">
        <f aca="false">(60*R125+0.5*(1-(Q125/N125)^2)+(1-(Q125/O125)^2)^2)*(O125/Q125)^4</f>
        <v>1.75445816186557</v>
      </c>
      <c r="W125" s="14"/>
      <c r="X125" s="10" t="s">
        <v>248</v>
      </c>
      <c r="Y125" s="16"/>
      <c r="Z125" s="17" t="s">
        <v>48</v>
      </c>
      <c r="AA125" s="6"/>
      <c r="AB125" s="18" t="n">
        <f aca="false">IF(O125="","",$D$3*PI()*(O125/1000)^2/4*3600)</f>
        <v>34.3533156670044</v>
      </c>
      <c r="AC125" s="19" t="n">
        <f aca="false">IF(OR(U125="",NOT(ISNUMBER(U125))),"",U125*$D$3^2/(2*$H$3))</f>
        <v>0.0823429802740408</v>
      </c>
      <c r="AD125" s="20" t="n">
        <f aca="false">IF(OR(U125="",NOT(ISNUMBER(U125))),"",U125*$D$3^2/2*$F$3)</f>
        <v>807.78463648834</v>
      </c>
      <c r="AE125" s="19" t="n">
        <f aca="false">IF(OR(V125="",NOT(ISNUMBER(V125))),"",V125*$D$3^2/(2*$H$3))</f>
        <v>0.201199330489171</v>
      </c>
      <c r="AF125" s="20" t="n">
        <f aca="false">IF(OR(V125="",NOT(ISNUMBER(V125))),"",V125*$D$3^2/2*$F$3)</f>
        <v>1973.76543209877</v>
      </c>
      <c r="AG125" s="19" t="str">
        <f aca="false">IF(OR(W125="",NOT(ISNUMBER(W125))),"",W125*$D$3^2/(2*$H$3))</f>
        <v/>
      </c>
      <c r="AH125" s="20" t="str">
        <f aca="false">IF(OR(W125="",NOT(ISNUMBER(W125))),"",W125*$D$3^2/2*$F$3)</f>
        <v/>
      </c>
    </row>
    <row r="126" customFormat="false" ht="15" hidden="false" customHeight="false" outlineLevel="0" collapsed="false">
      <c r="A126" s="10" t="s">
        <v>318</v>
      </c>
      <c r="B126" s="11" t="s">
        <v>41</v>
      </c>
      <c r="C126" s="6" t="s">
        <v>42</v>
      </c>
      <c r="D126" s="6" t="s">
        <v>319</v>
      </c>
      <c r="E126" s="6" t="s">
        <v>320</v>
      </c>
      <c r="F126" s="6" t="s">
        <v>321</v>
      </c>
      <c r="G126" s="6" t="n">
        <v>20</v>
      </c>
      <c r="H126" s="6"/>
      <c r="I126" s="6"/>
      <c r="J126" s="6" t="n">
        <v>16</v>
      </c>
      <c r="K126" s="6" t="s">
        <v>322</v>
      </c>
      <c r="L126" s="6" t="n">
        <v>133</v>
      </c>
      <c r="M126" s="6" t="n">
        <v>90</v>
      </c>
      <c r="N126" s="12" t="n">
        <v>16</v>
      </c>
      <c r="O126" s="12" t="n">
        <v>16</v>
      </c>
      <c r="P126" s="12" t="n">
        <v>13.5</v>
      </c>
      <c r="Q126" s="12"/>
      <c r="R126" s="14" t="n">
        <v>0.027</v>
      </c>
      <c r="S126" s="6" t="n">
        <v>3</v>
      </c>
      <c r="T126" s="6"/>
      <c r="U126" s="15" t="n">
        <f aca="false">(S126*R126+0.5*(1-(P126/N126)^2)+(1-(P126/O126)^2)^2)*(O126/P126)^4</f>
        <v>0.607780837383642</v>
      </c>
      <c r="V126" s="14"/>
      <c r="W126" s="14"/>
      <c r="X126" s="10" t="s">
        <v>323</v>
      </c>
      <c r="Y126" s="16"/>
      <c r="Z126" s="17" t="s">
        <v>48</v>
      </c>
      <c r="AA126" s="6" t="s">
        <v>324</v>
      </c>
      <c r="AB126" s="18" t="n">
        <f aca="false">IF(O126="","",$D$3*PI()*(O126/1000)^2/4*3600)</f>
        <v>1.08573442108063</v>
      </c>
      <c r="AC126" s="19" t="n">
        <f aca="false">IF(OR(U126="",NOT(ISNUMBER(U126))),"",U126*$D$3^2/(2*$H$3))</f>
        <v>0.0696996373146378</v>
      </c>
      <c r="AD126" s="20" t="n">
        <f aca="false">IF(OR(U126="",NOT(ISNUMBER(U126))),"",U126*$D$3^2/2*$F$3)</f>
        <v>683.753442056597</v>
      </c>
      <c r="AE126" s="19" t="str">
        <f aca="false">IF(OR(V126="",NOT(ISNUMBER(V126))),"",V126*$D$3^2/(2*$H$3))</f>
        <v/>
      </c>
      <c r="AF126" s="20" t="str">
        <f aca="false">IF(OR(V126="",NOT(ISNUMBER(V126))),"",V126*$D$3^2/2*$F$3)</f>
        <v/>
      </c>
      <c r="AG126" s="19" t="str">
        <f aca="false">IF(OR(W126="",NOT(ISNUMBER(W126))),"",W126*$D$3^2/(2*$H$3))</f>
        <v/>
      </c>
      <c r="AH126" s="20" t="str">
        <f aca="false">IF(OR(W126="",NOT(ISNUMBER(W126))),"",W126*$D$3^2/2*$F$3)</f>
        <v/>
      </c>
    </row>
    <row r="127" customFormat="false" ht="15" hidden="false" customHeight="false" outlineLevel="0" collapsed="false">
      <c r="A127" s="10" t="s">
        <v>325</v>
      </c>
      <c r="B127" s="11" t="s">
        <v>41</v>
      </c>
      <c r="C127" s="6" t="s">
        <v>42</v>
      </c>
      <c r="D127" s="6" t="s">
        <v>326</v>
      </c>
      <c r="E127" s="6" t="s">
        <v>320</v>
      </c>
      <c r="F127" s="6" t="s">
        <v>321</v>
      </c>
      <c r="G127" s="6" t="n">
        <v>25</v>
      </c>
      <c r="H127" s="6"/>
      <c r="I127" s="6"/>
      <c r="J127" s="6" t="n">
        <v>16</v>
      </c>
      <c r="K127" s="6" t="s">
        <v>322</v>
      </c>
      <c r="L127" s="6" t="n">
        <v>150</v>
      </c>
      <c r="M127" s="6" t="n">
        <v>104</v>
      </c>
      <c r="N127" s="12" t="n">
        <v>20.4</v>
      </c>
      <c r="O127" s="12" t="n">
        <v>20.4</v>
      </c>
      <c r="P127" s="12" t="n">
        <v>19.5</v>
      </c>
      <c r="Q127" s="12"/>
      <c r="R127" s="14" t="n">
        <v>0.025</v>
      </c>
      <c r="S127" s="6" t="n">
        <v>3</v>
      </c>
      <c r="T127" s="6"/>
      <c r="U127" s="15" t="n">
        <f aca="false">(S127*R127+0.5*(1-(P127/N127)^2)+(1-(P127/O127)^2)^2)*(O127/P127)^4</f>
        <v>0.150431270613774</v>
      </c>
      <c r="V127" s="14"/>
      <c r="W127" s="14"/>
      <c r="X127" s="10" t="s">
        <v>323</v>
      </c>
      <c r="Y127" s="16"/>
      <c r="Z127" s="17" t="s">
        <v>48</v>
      </c>
      <c r="AA127" s="6" t="s">
        <v>327</v>
      </c>
      <c r="AB127" s="18" t="n">
        <f aca="false">IF(O127="","",$D$3*PI()*(O127/1000)^2/4*3600)</f>
        <v>1.7649970182692</v>
      </c>
      <c r="AC127" s="19" t="n">
        <f aca="false">IF(OR(U127="",NOT(ISNUMBER(U127))),"",U127*$D$3^2/(2*$H$3))</f>
        <v>0.0172512925015796</v>
      </c>
      <c r="AD127" s="20" t="n">
        <f aca="false">IF(OR(U127="",NOT(ISNUMBER(U127))),"",U127*$D$3^2/2*$F$3)</f>
        <v>169.235179440496</v>
      </c>
      <c r="AE127" s="19" t="str">
        <f aca="false">IF(OR(V127="",NOT(ISNUMBER(V127))),"",V127*$D$3^2/(2*$H$3))</f>
        <v/>
      </c>
      <c r="AF127" s="20" t="str">
        <f aca="false">IF(OR(V127="",NOT(ISNUMBER(V127))),"",V127*$D$3^2/2*$F$3)</f>
        <v/>
      </c>
      <c r="AG127" s="19" t="str">
        <f aca="false">IF(OR(W127="",NOT(ISNUMBER(W127))),"",W127*$D$3^2/(2*$H$3))</f>
        <v/>
      </c>
      <c r="AH127" s="20" t="str">
        <f aca="false">IF(OR(W127="",NOT(ISNUMBER(W127))),"",W127*$D$3^2/2*$F$3)</f>
        <v/>
      </c>
    </row>
    <row r="128" customFormat="false" ht="15" hidden="false" customHeight="false" outlineLevel="0" collapsed="false">
      <c r="A128" s="10" t="s">
        <v>328</v>
      </c>
      <c r="B128" s="11" t="s">
        <v>41</v>
      </c>
      <c r="C128" s="6" t="s">
        <v>42</v>
      </c>
      <c r="D128" s="6" t="s">
        <v>329</v>
      </c>
      <c r="E128" s="6" t="s">
        <v>320</v>
      </c>
      <c r="F128" s="6" t="s">
        <v>321</v>
      </c>
      <c r="G128" s="6" t="n">
        <v>32</v>
      </c>
      <c r="H128" s="6"/>
      <c r="I128" s="6"/>
      <c r="J128" s="6" t="n">
        <v>16</v>
      </c>
      <c r="K128" s="6" t="s">
        <v>322</v>
      </c>
      <c r="L128" s="6" t="n">
        <v>175</v>
      </c>
      <c r="M128" s="6" t="n">
        <v>115</v>
      </c>
      <c r="N128" s="12" t="n">
        <v>26.2</v>
      </c>
      <c r="O128" s="12" t="n">
        <v>26.2</v>
      </c>
      <c r="P128" s="12" t="n">
        <v>25</v>
      </c>
      <c r="Q128" s="12"/>
      <c r="R128" s="14" t="n">
        <v>0.023</v>
      </c>
      <c r="S128" s="6" t="n">
        <v>3</v>
      </c>
      <c r="T128" s="6"/>
      <c r="U128" s="15" t="n">
        <f aca="false">(S128*R128+0.5*(1-(P128/N128)^2)+(1-(P128/O128)^2)^2)*(O128/P128)^4</f>
        <v>0.146880260296704</v>
      </c>
      <c r="V128" s="14"/>
      <c r="W128" s="14"/>
      <c r="X128" s="10" t="s">
        <v>323</v>
      </c>
      <c r="Y128" s="16"/>
      <c r="Z128" s="17" t="s">
        <v>48</v>
      </c>
      <c r="AA128" s="6" t="s">
        <v>330</v>
      </c>
      <c r="AB128" s="18" t="n">
        <f aca="false">IF(O128="","",$D$3*PI()*(O128/1000)^2/4*3600)</f>
        <v>2.91129506252574</v>
      </c>
      <c r="AC128" s="19" t="n">
        <f aca="false">IF(OR(U128="",NOT(ISNUMBER(U128))),"",U128*$D$3^2/(2*$H$3))</f>
        <v>0.0168440665477872</v>
      </c>
      <c r="AD128" s="20" t="n">
        <f aca="false">IF(OR(U128="",NOT(ISNUMBER(U128))),"",U128*$D$3^2/2*$F$3)</f>
        <v>165.240292833792</v>
      </c>
      <c r="AE128" s="19" t="str">
        <f aca="false">IF(OR(V128="",NOT(ISNUMBER(V128))),"",V128*$D$3^2/(2*$H$3))</f>
        <v/>
      </c>
      <c r="AF128" s="20" t="str">
        <f aca="false">IF(OR(V128="",NOT(ISNUMBER(V128))),"",V128*$D$3^2/2*$F$3)</f>
        <v/>
      </c>
      <c r="AG128" s="19" t="str">
        <f aca="false">IF(OR(W128="",NOT(ISNUMBER(W128))),"",W128*$D$3^2/(2*$H$3))</f>
        <v/>
      </c>
      <c r="AH128" s="20" t="str">
        <f aca="false">IF(OR(W128="",NOT(ISNUMBER(W128))),"",W128*$D$3^2/2*$F$3)</f>
        <v/>
      </c>
    </row>
    <row r="129" customFormat="false" ht="15" hidden="false" customHeight="false" outlineLevel="0" collapsed="false">
      <c r="A129" s="10" t="s">
        <v>331</v>
      </c>
      <c r="B129" s="11" t="s">
        <v>41</v>
      </c>
      <c r="C129" s="6" t="s">
        <v>42</v>
      </c>
      <c r="D129" s="6" t="s">
        <v>332</v>
      </c>
      <c r="E129" s="6" t="s">
        <v>333</v>
      </c>
      <c r="F129" s="6" t="s">
        <v>334</v>
      </c>
      <c r="G129" s="6" t="n">
        <v>25</v>
      </c>
      <c r="H129" s="6"/>
      <c r="I129" s="6" t="s">
        <v>108</v>
      </c>
      <c r="J129" s="6" t="n">
        <v>16</v>
      </c>
      <c r="K129" s="6" t="s">
        <v>46</v>
      </c>
      <c r="L129" s="6" t="n">
        <v>66</v>
      </c>
      <c r="M129" s="6" t="n">
        <v>49</v>
      </c>
      <c r="N129" s="12" t="n">
        <v>20.4</v>
      </c>
      <c r="O129" s="12" t="n">
        <v>20.4</v>
      </c>
      <c r="P129" s="12"/>
      <c r="Q129" s="12" t="n">
        <v>15.8</v>
      </c>
      <c r="R129" s="14" t="n">
        <v>0.025</v>
      </c>
      <c r="S129" s="6" t="n">
        <v>0</v>
      </c>
      <c r="T129" s="6"/>
      <c r="U129" s="14" t="n">
        <v>0</v>
      </c>
      <c r="V129" s="15" t="n">
        <f aca="false">60*R129+0.5*(1-(Q129/N129)^2)</f>
        <v>1.70006728181469</v>
      </c>
      <c r="W129" s="14"/>
      <c r="X129" s="10" t="s">
        <v>335</v>
      </c>
      <c r="Y129" s="16"/>
      <c r="Z129" s="17" t="s">
        <v>48</v>
      </c>
      <c r="AA129" s="6"/>
      <c r="AB129" s="18" t="n">
        <f aca="false">IF(O129="","",$D$3*PI()*(O129/1000)^2/4*3600)</f>
        <v>1.7649970182692</v>
      </c>
      <c r="AC129" s="19" t="n">
        <f aca="false">IF(OR(U129="",NOT(ISNUMBER(U129))),"",U129*$D$3^2/(2*$H$3))</f>
        <v>0</v>
      </c>
      <c r="AD129" s="20" t="n">
        <f aca="false">IF(OR(U129="",NOT(ISNUMBER(U129))),"",U129*$D$3^2/2*$F$3)</f>
        <v>0</v>
      </c>
      <c r="AE129" s="19" t="n">
        <f aca="false">IF(OR(V129="",NOT(ISNUMBER(V129))),"",V129*$D$3^2/(2*$H$3))</f>
        <v>0.194961844244803</v>
      </c>
      <c r="AF129" s="20" t="n">
        <f aca="false">IF(OR(V129="",NOT(ISNUMBER(V129))),"",V129*$D$3^2/2*$F$3)</f>
        <v>1912.57569204152</v>
      </c>
      <c r="AG129" s="19" t="str">
        <f aca="false">IF(OR(W129="",NOT(ISNUMBER(W129))),"",W129*$D$3^2/(2*$H$3))</f>
        <v/>
      </c>
      <c r="AH129" s="20" t="str">
        <f aca="false">IF(OR(W129="",NOT(ISNUMBER(W129))),"",W129*$D$3^2/2*$F$3)</f>
        <v/>
      </c>
    </row>
    <row r="130" customFormat="false" ht="15" hidden="false" customHeight="false" outlineLevel="0" collapsed="false">
      <c r="A130" s="10" t="s">
        <v>336</v>
      </c>
      <c r="B130" s="11" t="s">
        <v>41</v>
      </c>
      <c r="C130" s="6" t="s">
        <v>42</v>
      </c>
      <c r="D130" s="6" t="s">
        <v>337</v>
      </c>
      <c r="E130" s="6" t="s">
        <v>333</v>
      </c>
      <c r="F130" s="6" t="s">
        <v>334</v>
      </c>
      <c r="G130" s="6" t="n">
        <v>25</v>
      </c>
      <c r="H130" s="6"/>
      <c r="I130" s="6" t="s">
        <v>111</v>
      </c>
      <c r="J130" s="6" t="n">
        <v>16</v>
      </c>
      <c r="K130" s="6" t="s">
        <v>46</v>
      </c>
      <c r="L130" s="6" t="n">
        <v>66</v>
      </c>
      <c r="M130" s="6" t="n">
        <v>52</v>
      </c>
      <c r="N130" s="12" t="n">
        <v>20.4</v>
      </c>
      <c r="O130" s="12" t="n">
        <v>20.4</v>
      </c>
      <c r="P130" s="12"/>
      <c r="Q130" s="12" t="n">
        <v>20.9</v>
      </c>
      <c r="R130" s="14" t="n">
        <v>0.025</v>
      </c>
      <c r="S130" s="6" t="n">
        <v>0</v>
      </c>
      <c r="T130" s="6"/>
      <c r="U130" s="14" t="n">
        <v>0</v>
      </c>
      <c r="V130" s="15" t="n">
        <f aca="false">60*R130+0.5*(1-(Q130/N130)^2)</f>
        <v>1.47518983083429</v>
      </c>
      <c r="W130" s="14"/>
      <c r="X130" s="10" t="s">
        <v>335</v>
      </c>
      <c r="Y130" s="16"/>
      <c r="Z130" s="17" t="s">
        <v>48</v>
      </c>
      <c r="AA130" s="6"/>
      <c r="AB130" s="18" t="n">
        <f aca="false">IF(O130="","",$D$3*PI()*(O130/1000)^2/4*3600)</f>
        <v>1.7649970182692</v>
      </c>
      <c r="AC130" s="19" t="n">
        <f aca="false">IF(OR(U130="",NOT(ISNUMBER(U130))),"",U130*$D$3^2/(2*$H$3))</f>
        <v>0</v>
      </c>
      <c r="AD130" s="20" t="n">
        <f aca="false">IF(OR(U130="",NOT(ISNUMBER(U130))),"",U130*$D$3^2/2*$F$3)</f>
        <v>0</v>
      </c>
      <c r="AE130" s="19" t="n">
        <f aca="false">IF(OR(V130="",NOT(ISNUMBER(V130))),"",V130*$D$3^2/(2*$H$3))</f>
        <v>0.169173145737878</v>
      </c>
      <c r="AF130" s="20" t="n">
        <f aca="false">IF(OR(V130="",NOT(ISNUMBER(V130))),"",V130*$D$3^2/2*$F$3)</f>
        <v>1659.58855968858</v>
      </c>
      <c r="AG130" s="19" t="str">
        <f aca="false">IF(OR(W130="",NOT(ISNUMBER(W130))),"",W130*$D$3^2/(2*$H$3))</f>
        <v/>
      </c>
      <c r="AH130" s="20" t="str">
        <f aca="false">IF(OR(W130="",NOT(ISNUMBER(W130))),"",W130*$D$3^2/2*$F$3)</f>
        <v/>
      </c>
    </row>
    <row r="131" customFormat="false" ht="15" hidden="false" customHeight="false" outlineLevel="0" collapsed="false">
      <c r="A131" s="10" t="s">
        <v>338</v>
      </c>
      <c r="B131" s="11" t="s">
        <v>41</v>
      </c>
      <c r="C131" s="6" t="s">
        <v>42</v>
      </c>
      <c r="D131" s="6" t="s">
        <v>339</v>
      </c>
      <c r="E131" s="6" t="s">
        <v>333</v>
      </c>
      <c r="F131" s="6" t="s">
        <v>334</v>
      </c>
      <c r="G131" s="6" t="n">
        <v>32</v>
      </c>
      <c r="H131" s="6"/>
      <c r="I131" s="6" t="s">
        <v>108</v>
      </c>
      <c r="J131" s="6" t="n">
        <v>16</v>
      </c>
      <c r="K131" s="6" t="s">
        <v>46</v>
      </c>
      <c r="L131" s="6" t="n">
        <v>69</v>
      </c>
      <c r="M131" s="6" t="n">
        <v>61</v>
      </c>
      <c r="N131" s="12" t="n">
        <v>26.2</v>
      </c>
      <c r="O131" s="12" t="n">
        <v>26.2</v>
      </c>
      <c r="P131" s="12"/>
      <c r="Q131" s="12" t="n">
        <v>15.8</v>
      </c>
      <c r="R131" s="14" t="n">
        <v>0.023</v>
      </c>
      <c r="S131" s="6" t="n">
        <v>0</v>
      </c>
      <c r="T131" s="6"/>
      <c r="U131" s="14" t="n">
        <v>0</v>
      </c>
      <c r="V131" s="15" t="n">
        <f aca="false">60*R131+0.5*(1-(Q131/N131)^2)</f>
        <v>1.6981632771983</v>
      </c>
      <c r="W131" s="14"/>
      <c r="X131" s="10" t="s">
        <v>335</v>
      </c>
      <c r="Y131" s="16"/>
      <c r="Z131" s="17" t="s">
        <v>48</v>
      </c>
      <c r="AA131" s="6"/>
      <c r="AB131" s="18" t="n">
        <f aca="false">IF(O131="","",$D$3*PI()*(O131/1000)^2/4*3600)</f>
        <v>2.91129506252574</v>
      </c>
      <c r="AC131" s="19" t="n">
        <f aca="false">IF(OR(U131="",NOT(ISNUMBER(U131))),"",U131*$D$3^2/(2*$H$3))</f>
        <v>0</v>
      </c>
      <c r="AD131" s="20" t="n">
        <f aca="false">IF(OR(U131="",NOT(ISNUMBER(U131))),"",U131*$D$3^2/2*$F$3)</f>
        <v>0</v>
      </c>
      <c r="AE131" s="19" t="n">
        <f aca="false">IF(OR(V131="",NOT(ISNUMBER(V131))),"",V131*$D$3^2/(2*$H$3))</f>
        <v>0.194743495091548</v>
      </c>
      <c r="AF131" s="20" t="n">
        <f aca="false">IF(OR(V131="",NOT(ISNUMBER(V131))),"",V131*$D$3^2/2*$F$3)</f>
        <v>1910.43368684809</v>
      </c>
      <c r="AG131" s="19" t="str">
        <f aca="false">IF(OR(W131="",NOT(ISNUMBER(W131))),"",W131*$D$3^2/(2*$H$3))</f>
        <v/>
      </c>
      <c r="AH131" s="20" t="str">
        <f aca="false">IF(OR(W131="",NOT(ISNUMBER(W131))),"",W131*$D$3^2/2*$F$3)</f>
        <v/>
      </c>
    </row>
    <row r="132" customFormat="false" ht="15" hidden="false" customHeight="false" outlineLevel="0" collapsed="false">
      <c r="A132" s="10" t="s">
        <v>340</v>
      </c>
      <c r="B132" s="11" t="s">
        <v>41</v>
      </c>
      <c r="C132" s="6" t="s">
        <v>42</v>
      </c>
      <c r="D132" s="6" t="s">
        <v>341</v>
      </c>
      <c r="E132" s="6" t="s">
        <v>333</v>
      </c>
      <c r="F132" s="6" t="s">
        <v>334</v>
      </c>
      <c r="G132" s="6" t="n">
        <v>32</v>
      </c>
      <c r="H132" s="6"/>
      <c r="I132" s="6" t="s">
        <v>111</v>
      </c>
      <c r="J132" s="6" t="n">
        <v>16</v>
      </c>
      <c r="K132" s="6" t="s">
        <v>46</v>
      </c>
      <c r="L132" s="6" t="n">
        <v>69</v>
      </c>
      <c r="M132" s="6" t="n">
        <v>63</v>
      </c>
      <c r="N132" s="12" t="n">
        <v>26.2</v>
      </c>
      <c r="O132" s="12" t="n">
        <v>26.2</v>
      </c>
      <c r="P132" s="12"/>
      <c r="Q132" s="12" t="n">
        <v>20.9</v>
      </c>
      <c r="R132" s="14" t="n">
        <v>0.023</v>
      </c>
      <c r="S132" s="6" t="n">
        <v>0</v>
      </c>
      <c r="T132" s="6"/>
      <c r="U132" s="14" t="n">
        <v>0</v>
      </c>
      <c r="V132" s="15" t="n">
        <f aca="false">60*R132+0.5*(1-(Q132/N132)^2)</f>
        <v>1.56182943884389</v>
      </c>
      <c r="W132" s="14"/>
      <c r="X132" s="10" t="s">
        <v>335</v>
      </c>
      <c r="Y132" s="16"/>
      <c r="Z132" s="17" t="s">
        <v>48</v>
      </c>
      <c r="AA132" s="6"/>
      <c r="AB132" s="18" t="n">
        <f aca="false">IF(O132="","",$D$3*PI()*(O132/1000)^2/4*3600)</f>
        <v>2.91129506252574</v>
      </c>
      <c r="AC132" s="19" t="n">
        <f aca="false">IF(OR(U132="",NOT(ISNUMBER(U132))),"",U132*$D$3^2/(2*$H$3))</f>
        <v>0</v>
      </c>
      <c r="AD132" s="20" t="n">
        <f aca="false">IF(OR(U132="",NOT(ISNUMBER(U132))),"",U132*$D$3^2/2*$F$3)</f>
        <v>0</v>
      </c>
      <c r="AE132" s="19" t="n">
        <f aca="false">IF(OR(V132="",NOT(ISNUMBER(V132))),"",V132*$D$3^2/(2*$H$3))</f>
        <v>0.179108880601364</v>
      </c>
      <c r="AF132" s="20" t="n">
        <f aca="false">IF(OR(V132="",NOT(ISNUMBER(V132))),"",V132*$D$3^2/2*$F$3)</f>
        <v>1757.05811869938</v>
      </c>
      <c r="AG132" s="19" t="str">
        <f aca="false">IF(OR(W132="",NOT(ISNUMBER(W132))),"",W132*$D$3^2/(2*$H$3))</f>
        <v/>
      </c>
      <c r="AH132" s="20" t="str">
        <f aca="false">IF(OR(W132="",NOT(ISNUMBER(W132))),"",W132*$D$3^2/2*$F$3)</f>
        <v/>
      </c>
    </row>
    <row r="133" customFormat="false" ht="15" hidden="false" customHeight="false" outlineLevel="0" collapsed="false">
      <c r="A133" s="10" t="s">
        <v>342</v>
      </c>
      <c r="B133" s="11" t="s">
        <v>41</v>
      </c>
      <c r="C133" s="6" t="s">
        <v>42</v>
      </c>
      <c r="D133" s="6" t="s">
        <v>343</v>
      </c>
      <c r="E133" s="6" t="s">
        <v>333</v>
      </c>
      <c r="F133" s="6" t="s">
        <v>334</v>
      </c>
      <c r="G133" s="6" t="n">
        <v>32</v>
      </c>
      <c r="H133" s="6"/>
      <c r="I133" s="6" t="s">
        <v>118</v>
      </c>
      <c r="J133" s="6" t="n">
        <v>16</v>
      </c>
      <c r="K133" s="6" t="s">
        <v>46</v>
      </c>
      <c r="L133" s="6" t="n">
        <v>78</v>
      </c>
      <c r="M133" s="6" t="n">
        <v>67</v>
      </c>
      <c r="N133" s="12" t="n">
        <v>26.2</v>
      </c>
      <c r="O133" s="12" t="n">
        <v>26.2</v>
      </c>
      <c r="P133" s="12"/>
      <c r="Q133" s="12" t="n">
        <v>26.6</v>
      </c>
      <c r="R133" s="14" t="n">
        <v>0.023</v>
      </c>
      <c r="S133" s="6" t="n">
        <v>0</v>
      </c>
      <c r="T133" s="6"/>
      <c r="U133" s="14" t="n">
        <v>0</v>
      </c>
      <c r="V133" s="15" t="n">
        <f aca="false">60*R133+0.5*(1-(Q133/N133)^2)</f>
        <v>1.3646162811025</v>
      </c>
      <c r="W133" s="14"/>
      <c r="X133" s="10" t="s">
        <v>335</v>
      </c>
      <c r="Y133" s="16"/>
      <c r="Z133" s="17" t="s">
        <v>48</v>
      </c>
      <c r="AA133" s="6"/>
      <c r="AB133" s="18" t="n">
        <f aca="false">IF(O133="","",$D$3*PI()*(O133/1000)^2/4*3600)</f>
        <v>2.91129506252574</v>
      </c>
      <c r="AC133" s="19" t="n">
        <f aca="false">IF(OR(U133="",NOT(ISNUMBER(U133))),"",U133*$D$3^2/(2*$H$3))</f>
        <v>0</v>
      </c>
      <c r="AD133" s="20" t="n">
        <f aca="false">IF(OR(U133="",NOT(ISNUMBER(U133))),"",U133*$D$3^2/2*$F$3)</f>
        <v>0</v>
      </c>
      <c r="AE133" s="19" t="n">
        <f aca="false">IF(OR(V133="",NOT(ISNUMBER(V133))),"",V133*$D$3^2/(2*$H$3))</f>
        <v>0.156492692786984</v>
      </c>
      <c r="AF133" s="20" t="n">
        <f aca="false">IF(OR(V133="",NOT(ISNUMBER(V133))),"",V133*$D$3^2/2*$F$3)</f>
        <v>1535.19331624031</v>
      </c>
      <c r="AG133" s="19" t="str">
        <f aca="false">IF(OR(W133="",NOT(ISNUMBER(W133))),"",W133*$D$3^2/(2*$H$3))</f>
        <v/>
      </c>
      <c r="AH133" s="20" t="str">
        <f aca="false">IF(OR(W133="",NOT(ISNUMBER(W133))),"",W133*$D$3^2/2*$F$3)</f>
        <v/>
      </c>
    </row>
    <row r="134" customFormat="false" ht="15" hidden="false" customHeight="false" outlineLevel="0" collapsed="false">
      <c r="A134" s="10" t="s">
        <v>344</v>
      </c>
      <c r="B134" s="11" t="s">
        <v>41</v>
      </c>
      <c r="C134" s="6" t="s">
        <v>42</v>
      </c>
      <c r="D134" s="6" t="s">
        <v>345</v>
      </c>
      <c r="E134" s="6" t="s">
        <v>333</v>
      </c>
      <c r="F134" s="6" t="s">
        <v>334</v>
      </c>
      <c r="G134" s="6" t="n">
        <v>40</v>
      </c>
      <c r="H134" s="6"/>
      <c r="I134" s="6" t="s">
        <v>108</v>
      </c>
      <c r="J134" s="6" t="n">
        <v>16</v>
      </c>
      <c r="K134" s="6" t="s">
        <v>46</v>
      </c>
      <c r="L134" s="6" t="n">
        <v>84</v>
      </c>
      <c r="M134" s="6" t="n">
        <v>72.5</v>
      </c>
      <c r="N134" s="12" t="n">
        <v>32.6</v>
      </c>
      <c r="O134" s="12" t="n">
        <v>32.6</v>
      </c>
      <c r="P134" s="12"/>
      <c r="Q134" s="12" t="n">
        <v>15.8</v>
      </c>
      <c r="R134" s="14" t="n">
        <v>0.022</v>
      </c>
      <c r="S134" s="6" t="n">
        <v>0</v>
      </c>
      <c r="T134" s="6"/>
      <c r="U134" s="14" t="n">
        <v>0</v>
      </c>
      <c r="V134" s="15" t="n">
        <f aca="false">60*R134+0.5*(1-(Q134/N134)^2)</f>
        <v>1.7025510933795</v>
      </c>
      <c r="W134" s="14"/>
      <c r="X134" s="10" t="s">
        <v>335</v>
      </c>
      <c r="Y134" s="16"/>
      <c r="Z134" s="17" t="s">
        <v>48</v>
      </c>
      <c r="AA134" s="6"/>
      <c r="AB134" s="18" t="n">
        <f aca="false">IF(O134="","",$D$3*PI()*(O134/1000)^2/4*3600)</f>
        <v>4.50732466151427</v>
      </c>
      <c r="AC134" s="19" t="n">
        <f aca="false">IF(OR(U134="",NOT(ISNUMBER(U134))),"",U134*$D$3^2/(2*$H$3))</f>
        <v>0</v>
      </c>
      <c r="AD134" s="20" t="n">
        <f aca="false">IF(OR(U134="",NOT(ISNUMBER(U134))),"",U134*$D$3^2/2*$F$3)</f>
        <v>0</v>
      </c>
      <c r="AE134" s="19" t="n">
        <f aca="false">IF(OR(V134="",NOT(ISNUMBER(V134))),"",V134*$D$3^2/(2*$H$3))</f>
        <v>0.195246685020585</v>
      </c>
      <c r="AF134" s="20" t="n">
        <f aca="false">IF(OR(V134="",NOT(ISNUMBER(V134))),"",V134*$D$3^2/2*$F$3)</f>
        <v>1915.36998005194</v>
      </c>
      <c r="AG134" s="19" t="str">
        <f aca="false">IF(OR(W134="",NOT(ISNUMBER(W134))),"",W134*$D$3^2/(2*$H$3))</f>
        <v/>
      </c>
      <c r="AH134" s="20" t="str">
        <f aca="false">IF(OR(W134="",NOT(ISNUMBER(W134))),"",W134*$D$3^2/2*$F$3)</f>
        <v/>
      </c>
    </row>
    <row r="135" customFormat="false" ht="15" hidden="false" customHeight="false" outlineLevel="0" collapsed="false">
      <c r="A135" s="10" t="s">
        <v>346</v>
      </c>
      <c r="B135" s="11" t="s">
        <v>41</v>
      </c>
      <c r="C135" s="6" t="s">
        <v>42</v>
      </c>
      <c r="D135" s="6" t="s">
        <v>347</v>
      </c>
      <c r="E135" s="6" t="s">
        <v>333</v>
      </c>
      <c r="F135" s="6" t="s">
        <v>334</v>
      </c>
      <c r="G135" s="6" t="n">
        <v>40</v>
      </c>
      <c r="H135" s="6"/>
      <c r="I135" s="6" t="s">
        <v>111</v>
      </c>
      <c r="J135" s="6" t="n">
        <v>16</v>
      </c>
      <c r="K135" s="6" t="s">
        <v>46</v>
      </c>
      <c r="L135" s="6" t="n">
        <v>84</v>
      </c>
      <c r="M135" s="6" t="n">
        <v>72.5</v>
      </c>
      <c r="N135" s="12" t="n">
        <v>32.6</v>
      </c>
      <c r="O135" s="12" t="n">
        <v>32.6</v>
      </c>
      <c r="P135" s="12"/>
      <c r="Q135" s="12" t="n">
        <v>20.9</v>
      </c>
      <c r="R135" s="14" t="n">
        <v>0.022</v>
      </c>
      <c r="S135" s="6" t="n">
        <v>0</v>
      </c>
      <c r="T135" s="6"/>
      <c r="U135" s="14" t="n">
        <v>0</v>
      </c>
      <c r="V135" s="15" t="n">
        <f aca="false">60*R135+0.5*(1-(Q135/N135)^2)</f>
        <v>1.61449264180059</v>
      </c>
      <c r="W135" s="14"/>
      <c r="X135" s="10" t="s">
        <v>335</v>
      </c>
      <c r="Y135" s="16"/>
      <c r="Z135" s="17" t="s">
        <v>48</v>
      </c>
      <c r="AA135" s="6"/>
      <c r="AB135" s="18" t="n">
        <f aca="false">IF(O135="","",$D$3*PI()*(O135/1000)^2/4*3600)</f>
        <v>4.50732466151427</v>
      </c>
      <c r="AC135" s="19" t="n">
        <f aca="false">IF(OR(U135="",NOT(ISNUMBER(U135))),"",U135*$D$3^2/(2*$H$3))</f>
        <v>0</v>
      </c>
      <c r="AD135" s="20" t="n">
        <f aca="false">IF(OR(U135="",NOT(ISNUMBER(U135))),"",U135*$D$3^2/2*$F$3)</f>
        <v>0</v>
      </c>
      <c r="AE135" s="19" t="n">
        <f aca="false">IF(OR(V135="",NOT(ISNUMBER(V135))),"",V135*$D$3^2/(2*$H$3))</f>
        <v>0.1851482387386</v>
      </c>
      <c r="AF135" s="20" t="n">
        <f aca="false">IF(OR(V135="",NOT(ISNUMBER(V135))),"",V135*$D$3^2/2*$F$3)</f>
        <v>1816.30422202567</v>
      </c>
      <c r="AG135" s="19" t="str">
        <f aca="false">IF(OR(W135="",NOT(ISNUMBER(W135))),"",W135*$D$3^2/(2*$H$3))</f>
        <v/>
      </c>
      <c r="AH135" s="20" t="str">
        <f aca="false">IF(OR(W135="",NOT(ISNUMBER(W135))),"",W135*$D$3^2/2*$F$3)</f>
        <v/>
      </c>
    </row>
    <row r="136" customFormat="false" ht="15" hidden="false" customHeight="false" outlineLevel="0" collapsed="false">
      <c r="A136" s="10" t="s">
        <v>348</v>
      </c>
      <c r="B136" s="11" t="s">
        <v>41</v>
      </c>
      <c r="C136" s="6" t="s">
        <v>42</v>
      </c>
      <c r="D136" s="6" t="s">
        <v>349</v>
      </c>
      <c r="E136" s="6" t="s">
        <v>333</v>
      </c>
      <c r="F136" s="6" t="s">
        <v>334</v>
      </c>
      <c r="G136" s="6" t="n">
        <v>40</v>
      </c>
      <c r="H136" s="6"/>
      <c r="I136" s="6" t="s">
        <v>118</v>
      </c>
      <c r="J136" s="6" t="n">
        <v>16</v>
      </c>
      <c r="K136" s="6" t="s">
        <v>46</v>
      </c>
      <c r="L136" s="6" t="n">
        <v>84</v>
      </c>
      <c r="M136" s="6" t="n">
        <v>76</v>
      </c>
      <c r="N136" s="12" t="n">
        <v>32.6</v>
      </c>
      <c r="O136" s="12" t="n">
        <v>32.6</v>
      </c>
      <c r="P136" s="12"/>
      <c r="Q136" s="12" t="n">
        <v>26.6</v>
      </c>
      <c r="R136" s="14" t="n">
        <v>0.022</v>
      </c>
      <c r="S136" s="6" t="n">
        <v>0</v>
      </c>
      <c r="T136" s="6"/>
      <c r="U136" s="14" t="n">
        <v>0</v>
      </c>
      <c r="V136" s="15" t="n">
        <f aca="false">60*R136+0.5*(1-(Q136/N136)^2)</f>
        <v>1.48711204787534</v>
      </c>
      <c r="W136" s="14"/>
      <c r="X136" s="10" t="s">
        <v>335</v>
      </c>
      <c r="Y136" s="16"/>
      <c r="Z136" s="17" t="s">
        <v>48</v>
      </c>
      <c r="AA136" s="6"/>
      <c r="AB136" s="18" t="n">
        <f aca="false">IF(O136="","",$D$3*PI()*(O136/1000)^2/4*3600)</f>
        <v>4.50732466151427</v>
      </c>
      <c r="AC136" s="19" t="n">
        <f aca="false">IF(OR(U136="",NOT(ISNUMBER(U136))),"",U136*$D$3^2/(2*$H$3))</f>
        <v>0</v>
      </c>
      <c r="AD136" s="20" t="n">
        <f aca="false">IF(OR(U136="",NOT(ISNUMBER(U136))),"",U136*$D$3^2/2*$F$3)</f>
        <v>0</v>
      </c>
      <c r="AE136" s="19" t="n">
        <f aca="false">IF(OR(V136="",NOT(ISNUMBER(V136))),"",V136*$D$3^2/(2*$H$3))</f>
        <v>0.170540372462769</v>
      </c>
      <c r="AF136" s="20" t="n">
        <f aca="false">IF(OR(V136="",NOT(ISNUMBER(V136))),"",V136*$D$3^2/2*$F$3)</f>
        <v>1673.00105385976</v>
      </c>
      <c r="AG136" s="19" t="str">
        <f aca="false">IF(OR(W136="",NOT(ISNUMBER(W136))),"",W136*$D$3^2/(2*$H$3))</f>
        <v/>
      </c>
      <c r="AH136" s="20" t="str">
        <f aca="false">IF(OR(W136="",NOT(ISNUMBER(W136))),"",W136*$D$3^2/2*$F$3)</f>
        <v/>
      </c>
    </row>
    <row r="137" customFormat="false" ht="15" hidden="false" customHeight="false" outlineLevel="0" collapsed="false">
      <c r="A137" s="10" t="s">
        <v>350</v>
      </c>
      <c r="B137" s="11" t="s">
        <v>41</v>
      </c>
      <c r="C137" s="6" t="s">
        <v>42</v>
      </c>
      <c r="D137" s="6" t="s">
        <v>351</v>
      </c>
      <c r="E137" s="6" t="s">
        <v>333</v>
      </c>
      <c r="F137" s="6" t="s">
        <v>334</v>
      </c>
      <c r="G137" s="6" t="n">
        <v>50</v>
      </c>
      <c r="H137" s="6"/>
      <c r="I137" s="6" t="s">
        <v>108</v>
      </c>
      <c r="J137" s="6" t="n">
        <v>16</v>
      </c>
      <c r="K137" s="6" t="s">
        <v>46</v>
      </c>
      <c r="L137" s="6" t="n">
        <v>94</v>
      </c>
      <c r="M137" s="6" t="n">
        <v>83</v>
      </c>
      <c r="N137" s="12" t="n">
        <v>40.8</v>
      </c>
      <c r="O137" s="12" t="n">
        <v>40.8</v>
      </c>
      <c r="P137" s="12"/>
      <c r="Q137" s="12" t="n">
        <v>15.8</v>
      </c>
      <c r="R137" s="14" t="n">
        <v>0.021</v>
      </c>
      <c r="S137" s="6" t="n">
        <v>0</v>
      </c>
      <c r="T137" s="6"/>
      <c r="U137" s="14" t="n">
        <v>0</v>
      </c>
      <c r="V137" s="15" t="n">
        <f aca="false">60*R137+0.5*(1-(Q137/N137)^2)</f>
        <v>1.68501682045367</v>
      </c>
      <c r="W137" s="14"/>
      <c r="X137" s="10" t="s">
        <v>335</v>
      </c>
      <c r="Y137" s="16"/>
      <c r="Z137" s="17" t="s">
        <v>48</v>
      </c>
      <c r="AA137" s="6"/>
      <c r="AB137" s="18" t="n">
        <f aca="false">IF(O137="","",$D$3*PI()*(O137/1000)^2/4*3600)</f>
        <v>7.05998807307681</v>
      </c>
      <c r="AC137" s="19" t="n">
        <f aca="false">IF(OR(U137="",NOT(ISNUMBER(U137))),"",U137*$D$3^2/(2*$H$3))</f>
        <v>0</v>
      </c>
      <c r="AD137" s="20" t="n">
        <f aca="false">IF(OR(U137="",NOT(ISNUMBER(U137))),"",U137*$D$3^2/2*$F$3)</f>
        <v>0</v>
      </c>
      <c r="AE137" s="19" t="n">
        <f aca="false">IF(OR(V137="",NOT(ISNUMBER(V137))),"",V137*$D$3^2/(2*$H$3))</f>
        <v>0.193235873905238</v>
      </c>
      <c r="AF137" s="20" t="n">
        <f aca="false">IF(OR(V137="",NOT(ISNUMBER(V137))),"",V137*$D$3^2/2*$F$3)</f>
        <v>1895.64392301038</v>
      </c>
      <c r="AG137" s="19" t="str">
        <f aca="false">IF(OR(W137="",NOT(ISNUMBER(W137))),"",W137*$D$3^2/(2*$H$3))</f>
        <v/>
      </c>
      <c r="AH137" s="20" t="str">
        <f aca="false">IF(OR(W137="",NOT(ISNUMBER(W137))),"",W137*$D$3^2/2*$F$3)</f>
        <v/>
      </c>
    </row>
    <row r="138" customFormat="false" ht="15" hidden="false" customHeight="false" outlineLevel="0" collapsed="false">
      <c r="A138" s="10" t="s">
        <v>352</v>
      </c>
      <c r="B138" s="11" t="s">
        <v>41</v>
      </c>
      <c r="C138" s="6" t="s">
        <v>42</v>
      </c>
      <c r="D138" s="6" t="s">
        <v>353</v>
      </c>
      <c r="E138" s="6" t="s">
        <v>333</v>
      </c>
      <c r="F138" s="6" t="s">
        <v>334</v>
      </c>
      <c r="G138" s="6" t="n">
        <v>50</v>
      </c>
      <c r="H138" s="6"/>
      <c r="I138" s="6" t="s">
        <v>111</v>
      </c>
      <c r="J138" s="6" t="n">
        <v>16</v>
      </c>
      <c r="K138" s="6" t="s">
        <v>46</v>
      </c>
      <c r="L138" s="6" t="n">
        <v>94</v>
      </c>
      <c r="M138" s="6" t="n">
        <v>83</v>
      </c>
      <c r="N138" s="12" t="n">
        <v>40.8</v>
      </c>
      <c r="O138" s="12" t="n">
        <v>40.8</v>
      </c>
      <c r="P138" s="12"/>
      <c r="Q138" s="12" t="n">
        <v>20.9</v>
      </c>
      <c r="R138" s="14" t="n">
        <v>0.021</v>
      </c>
      <c r="S138" s="6" t="n">
        <v>0</v>
      </c>
      <c r="T138" s="6"/>
      <c r="U138" s="14" t="n">
        <v>0</v>
      </c>
      <c r="V138" s="15" t="n">
        <f aca="false">60*R138+0.5*(1-(Q138/N138)^2)</f>
        <v>1.62879745770857</v>
      </c>
      <c r="W138" s="14"/>
      <c r="X138" s="10" t="s">
        <v>335</v>
      </c>
      <c r="Y138" s="16"/>
      <c r="Z138" s="17" t="s">
        <v>48</v>
      </c>
      <c r="AA138" s="6"/>
      <c r="AB138" s="18" t="n">
        <f aca="false">IF(O138="","",$D$3*PI()*(O138/1000)^2/4*3600)</f>
        <v>7.05998807307681</v>
      </c>
      <c r="AC138" s="19" t="n">
        <f aca="false">IF(OR(U138="",NOT(ISNUMBER(U138))),"",U138*$D$3^2/(2*$H$3))</f>
        <v>0</v>
      </c>
      <c r="AD138" s="20" t="n">
        <f aca="false">IF(OR(U138="",NOT(ISNUMBER(U138))),"",U138*$D$3^2/2*$F$3)</f>
        <v>0</v>
      </c>
      <c r="AE138" s="19" t="n">
        <f aca="false">IF(OR(V138="",NOT(ISNUMBER(V138))),"",V138*$D$3^2/(2*$H$3))</f>
        <v>0.186788699278506</v>
      </c>
      <c r="AF138" s="20" t="n">
        <f aca="false">IF(OR(V138="",NOT(ISNUMBER(V138))),"",V138*$D$3^2/2*$F$3)</f>
        <v>1832.39713992215</v>
      </c>
      <c r="AG138" s="19" t="str">
        <f aca="false">IF(OR(W138="",NOT(ISNUMBER(W138))),"",W138*$D$3^2/(2*$H$3))</f>
        <v/>
      </c>
      <c r="AH138" s="20" t="str">
        <f aca="false">IF(OR(W138="",NOT(ISNUMBER(W138))),"",W138*$D$3^2/2*$F$3)</f>
        <v/>
      </c>
    </row>
    <row r="139" customFormat="false" ht="15" hidden="false" customHeight="false" outlineLevel="0" collapsed="false">
      <c r="A139" s="10" t="s">
        <v>354</v>
      </c>
      <c r="B139" s="11" t="s">
        <v>41</v>
      </c>
      <c r="C139" s="6" t="s">
        <v>42</v>
      </c>
      <c r="D139" s="6" t="s">
        <v>355</v>
      </c>
      <c r="E139" s="6" t="s">
        <v>333</v>
      </c>
      <c r="F139" s="6" t="s">
        <v>334</v>
      </c>
      <c r="G139" s="6" t="n">
        <v>50</v>
      </c>
      <c r="H139" s="6"/>
      <c r="I139" s="6" t="s">
        <v>118</v>
      </c>
      <c r="J139" s="6" t="n">
        <v>16</v>
      </c>
      <c r="K139" s="6" t="s">
        <v>46</v>
      </c>
      <c r="L139" s="6" t="n">
        <v>94</v>
      </c>
      <c r="M139" s="6" t="n">
        <v>87</v>
      </c>
      <c r="N139" s="12" t="n">
        <v>40.8</v>
      </c>
      <c r="O139" s="12" t="n">
        <v>40.8</v>
      </c>
      <c r="P139" s="12"/>
      <c r="Q139" s="12" t="n">
        <v>26.6</v>
      </c>
      <c r="R139" s="14" t="n">
        <v>0.021</v>
      </c>
      <c r="S139" s="6" t="n">
        <v>0</v>
      </c>
      <c r="T139" s="6"/>
      <c r="U139" s="14" t="n">
        <v>0</v>
      </c>
      <c r="V139" s="15" t="n">
        <f aca="false">60*R139+0.5*(1-(Q139/N139)^2)</f>
        <v>1.54747356785852</v>
      </c>
      <c r="W139" s="14"/>
      <c r="X139" s="10" t="s">
        <v>335</v>
      </c>
      <c r="Y139" s="16"/>
      <c r="Z139" s="17" t="s">
        <v>48</v>
      </c>
      <c r="AA139" s="6"/>
      <c r="AB139" s="18" t="n">
        <f aca="false">IF(O139="","",$D$3*PI()*(O139/1000)^2/4*3600)</f>
        <v>7.05998807307681</v>
      </c>
      <c r="AC139" s="19" t="n">
        <f aca="false">IF(OR(U139="",NOT(ISNUMBER(U139))),"",U139*$D$3^2/(2*$H$3))</f>
        <v>0</v>
      </c>
      <c r="AD139" s="20" t="n">
        <f aca="false">IF(OR(U139="",NOT(ISNUMBER(U139))),"",U139*$D$3^2/2*$F$3)</f>
        <v>0</v>
      </c>
      <c r="AE139" s="19" t="n">
        <f aca="false">IF(OR(V139="",NOT(ISNUMBER(V139))),"",V139*$D$3^2/(2*$H$3))</f>
        <v>0.177462565121389</v>
      </c>
      <c r="AF139" s="20" t="n">
        <f aca="false">IF(OR(V139="",NOT(ISNUMBER(V139))),"",V139*$D$3^2/2*$F$3)</f>
        <v>1740.90776384083</v>
      </c>
      <c r="AG139" s="19" t="str">
        <f aca="false">IF(OR(W139="",NOT(ISNUMBER(W139))),"",W139*$D$3^2/(2*$H$3))</f>
        <v/>
      </c>
      <c r="AH139" s="20" t="str">
        <f aca="false">IF(OR(W139="",NOT(ISNUMBER(W139))),"",W139*$D$3^2/2*$F$3)</f>
        <v/>
      </c>
    </row>
    <row r="140" customFormat="false" ht="15" hidden="false" customHeight="false" outlineLevel="0" collapsed="false">
      <c r="A140" s="10" t="s">
        <v>356</v>
      </c>
      <c r="B140" s="11" t="s">
        <v>41</v>
      </c>
      <c r="C140" s="6" t="s">
        <v>42</v>
      </c>
      <c r="D140" s="6" t="s">
        <v>357</v>
      </c>
      <c r="E140" s="6" t="s">
        <v>333</v>
      </c>
      <c r="F140" s="6" t="s">
        <v>334</v>
      </c>
      <c r="G140" s="6" t="n">
        <v>63</v>
      </c>
      <c r="H140" s="6"/>
      <c r="I140" s="6" t="s">
        <v>108</v>
      </c>
      <c r="J140" s="6" t="n">
        <v>16</v>
      </c>
      <c r="K140" s="6" t="s">
        <v>46</v>
      </c>
      <c r="L140" s="6" t="n">
        <v>108</v>
      </c>
      <c r="M140" s="6" t="n">
        <v>98.5</v>
      </c>
      <c r="N140" s="12" t="n">
        <v>51.4</v>
      </c>
      <c r="O140" s="12" t="n">
        <v>51.4</v>
      </c>
      <c r="P140" s="12"/>
      <c r="Q140" s="12" t="n">
        <v>15.8</v>
      </c>
      <c r="R140" s="14" t="n">
        <v>0.019</v>
      </c>
      <c r="S140" s="6" t="n">
        <v>0</v>
      </c>
      <c r="T140" s="6"/>
      <c r="U140" s="14" t="n">
        <v>0</v>
      </c>
      <c r="V140" s="15" t="n">
        <f aca="false">60*R140+0.5*(1-(Q140/N140)^2)</f>
        <v>1.59275477297158</v>
      </c>
      <c r="W140" s="14"/>
      <c r="X140" s="10" t="s">
        <v>335</v>
      </c>
      <c r="Y140" s="16"/>
      <c r="Z140" s="17" t="s">
        <v>48</v>
      </c>
      <c r="AA140" s="6"/>
      <c r="AB140" s="18" t="n">
        <f aca="false">IF(O140="","",$D$3*PI()*(O140/1000)^2/4*3600)</f>
        <v>11.2049488715554</v>
      </c>
      <c r="AC140" s="19" t="n">
        <f aca="false">IF(OR(U140="",NOT(ISNUMBER(U140))),"",U140*$D$3^2/(2*$H$3))</f>
        <v>0</v>
      </c>
      <c r="AD140" s="20" t="n">
        <f aca="false">IF(OR(U140="",NOT(ISNUMBER(U140))),"",U140*$D$3^2/2*$F$3)</f>
        <v>0</v>
      </c>
      <c r="AE140" s="19" t="n">
        <f aca="false">IF(OR(V140="",NOT(ISNUMBER(V140))),"",V140*$D$3^2/(2*$H$3))</f>
        <v>0.182655363872888</v>
      </c>
      <c r="AF140" s="20" t="n">
        <f aca="false">IF(OR(V140="",NOT(ISNUMBER(V140))),"",V140*$D$3^2/2*$F$3)</f>
        <v>1791.84911959303</v>
      </c>
      <c r="AG140" s="19" t="str">
        <f aca="false">IF(OR(W140="",NOT(ISNUMBER(W140))),"",W140*$D$3^2/(2*$H$3))</f>
        <v/>
      </c>
      <c r="AH140" s="20" t="str">
        <f aca="false">IF(OR(W140="",NOT(ISNUMBER(W140))),"",W140*$D$3^2/2*$F$3)</f>
        <v/>
      </c>
    </row>
    <row r="141" customFormat="false" ht="15" hidden="false" customHeight="false" outlineLevel="0" collapsed="false">
      <c r="A141" s="10" t="s">
        <v>358</v>
      </c>
      <c r="B141" s="11" t="s">
        <v>41</v>
      </c>
      <c r="C141" s="6" t="s">
        <v>42</v>
      </c>
      <c r="D141" s="6" t="s">
        <v>359</v>
      </c>
      <c r="E141" s="6" t="s">
        <v>333</v>
      </c>
      <c r="F141" s="6" t="s">
        <v>334</v>
      </c>
      <c r="G141" s="6" t="n">
        <v>63</v>
      </c>
      <c r="H141" s="6"/>
      <c r="I141" s="6" t="s">
        <v>111</v>
      </c>
      <c r="J141" s="6" t="n">
        <v>16</v>
      </c>
      <c r="K141" s="6" t="s">
        <v>46</v>
      </c>
      <c r="L141" s="6" t="n">
        <v>108</v>
      </c>
      <c r="M141" s="6" t="n">
        <v>99.5</v>
      </c>
      <c r="N141" s="12" t="n">
        <v>51.4</v>
      </c>
      <c r="O141" s="12" t="n">
        <v>51.4</v>
      </c>
      <c r="P141" s="12"/>
      <c r="Q141" s="12" t="n">
        <v>20.9</v>
      </c>
      <c r="R141" s="14" t="n">
        <v>0.019</v>
      </c>
      <c r="S141" s="6" t="n">
        <v>0</v>
      </c>
      <c r="T141" s="6"/>
      <c r="U141" s="14" t="n">
        <v>0</v>
      </c>
      <c r="V141" s="15" t="n">
        <f aca="false">60*R141+0.5*(1-(Q141/N141)^2)</f>
        <v>1.55733220790625</v>
      </c>
      <c r="W141" s="14"/>
      <c r="X141" s="10" t="s">
        <v>335</v>
      </c>
      <c r="Y141" s="16"/>
      <c r="Z141" s="17" t="s">
        <v>48</v>
      </c>
      <c r="AA141" s="6"/>
      <c r="AB141" s="18" t="n">
        <f aca="false">IF(O141="","",$D$3*PI()*(O141/1000)^2/4*3600)</f>
        <v>11.2049488715554</v>
      </c>
      <c r="AC141" s="19" t="n">
        <f aca="false">IF(OR(U141="",NOT(ISNUMBER(U141))),"",U141*$D$3^2/(2*$H$3))</f>
        <v>0</v>
      </c>
      <c r="AD141" s="20" t="n">
        <f aca="false">IF(OR(U141="",NOT(ISNUMBER(U141))),"",U141*$D$3^2/2*$F$3)</f>
        <v>0</v>
      </c>
      <c r="AE141" s="19" t="n">
        <f aca="false">IF(OR(V141="",NOT(ISNUMBER(V141))),"",V141*$D$3^2/(2*$H$3))</f>
        <v>0.178593143108515</v>
      </c>
      <c r="AF141" s="20" t="n">
        <f aca="false">IF(OR(V141="",NOT(ISNUMBER(V141))),"",V141*$D$3^2/2*$F$3)</f>
        <v>1751.99873389453</v>
      </c>
      <c r="AG141" s="19" t="str">
        <f aca="false">IF(OR(W141="",NOT(ISNUMBER(W141))),"",W141*$D$3^2/(2*$H$3))</f>
        <v/>
      </c>
      <c r="AH141" s="20" t="str">
        <f aca="false">IF(OR(W141="",NOT(ISNUMBER(W141))),"",W141*$D$3^2/2*$F$3)</f>
        <v/>
      </c>
    </row>
    <row r="142" customFormat="false" ht="15" hidden="false" customHeight="false" outlineLevel="0" collapsed="false">
      <c r="A142" s="10" t="s">
        <v>360</v>
      </c>
      <c r="B142" s="11" t="s">
        <v>41</v>
      </c>
      <c r="C142" s="6" t="s">
        <v>42</v>
      </c>
      <c r="D142" s="6" t="s">
        <v>361</v>
      </c>
      <c r="E142" s="6" t="s">
        <v>333</v>
      </c>
      <c r="F142" s="6" t="s">
        <v>334</v>
      </c>
      <c r="G142" s="6" t="n">
        <v>63</v>
      </c>
      <c r="H142" s="6"/>
      <c r="I142" s="6" t="s">
        <v>118</v>
      </c>
      <c r="J142" s="6" t="n">
        <v>16</v>
      </c>
      <c r="K142" s="6" t="s">
        <v>46</v>
      </c>
      <c r="L142" s="6" t="n">
        <v>108</v>
      </c>
      <c r="M142" s="6" t="n">
        <v>102.5</v>
      </c>
      <c r="N142" s="12" t="n">
        <v>51.4</v>
      </c>
      <c r="O142" s="12" t="n">
        <v>51.4</v>
      </c>
      <c r="P142" s="12"/>
      <c r="Q142" s="12" t="n">
        <v>26.6</v>
      </c>
      <c r="R142" s="14" t="n">
        <v>0.019</v>
      </c>
      <c r="S142" s="6" t="n">
        <v>0</v>
      </c>
      <c r="T142" s="6"/>
      <c r="U142" s="14" t="n">
        <v>0</v>
      </c>
      <c r="V142" s="15" t="n">
        <f aca="false">60*R142+0.5*(1-(Q142/N142)^2)</f>
        <v>1.50609184090599</v>
      </c>
      <c r="W142" s="14"/>
      <c r="X142" s="10" t="s">
        <v>335</v>
      </c>
      <c r="Y142" s="16"/>
      <c r="Z142" s="17" t="s">
        <v>48</v>
      </c>
      <c r="AA142" s="6"/>
      <c r="AB142" s="18" t="n">
        <f aca="false">IF(O142="","",$D$3*PI()*(O142/1000)^2/4*3600)</f>
        <v>11.2049488715554</v>
      </c>
      <c r="AC142" s="19" t="n">
        <f aca="false">IF(OR(U142="",NOT(ISNUMBER(U142))),"",U142*$D$3^2/(2*$H$3))</f>
        <v>0</v>
      </c>
      <c r="AD142" s="20" t="n">
        <f aca="false">IF(OR(U142="",NOT(ISNUMBER(U142))),"",U142*$D$3^2/2*$F$3)</f>
        <v>0</v>
      </c>
      <c r="AE142" s="19" t="n">
        <f aca="false">IF(OR(V142="",NOT(ISNUMBER(V142))),"",V142*$D$3^2/(2*$H$3))</f>
        <v>0.172716954232339</v>
      </c>
      <c r="AF142" s="20" t="n">
        <f aca="false">IF(OR(V142="",NOT(ISNUMBER(V142))),"",V142*$D$3^2/2*$F$3)</f>
        <v>1694.35332101924</v>
      </c>
      <c r="AG142" s="19" t="str">
        <f aca="false">IF(OR(W142="",NOT(ISNUMBER(W142))),"",W142*$D$3^2/(2*$H$3))</f>
        <v/>
      </c>
      <c r="AH142" s="20" t="str">
        <f aca="false">IF(OR(W142="",NOT(ISNUMBER(W142))),"",W142*$D$3^2/2*$F$3)</f>
        <v/>
      </c>
    </row>
    <row r="143" customFormat="false" ht="15" hidden="false" customHeight="false" outlineLevel="0" collapsed="false">
      <c r="A143" s="10" t="s">
        <v>362</v>
      </c>
      <c r="B143" s="11" t="s">
        <v>41</v>
      </c>
      <c r="C143" s="6" t="s">
        <v>42</v>
      </c>
      <c r="D143" s="6" t="s">
        <v>363</v>
      </c>
      <c r="E143" s="6" t="s">
        <v>333</v>
      </c>
      <c r="F143" s="6" t="s">
        <v>334</v>
      </c>
      <c r="G143" s="6" t="n">
        <v>63</v>
      </c>
      <c r="H143" s="6"/>
      <c r="I143" s="6" t="s">
        <v>127</v>
      </c>
      <c r="J143" s="6" t="n">
        <v>16</v>
      </c>
      <c r="K143" s="6" t="s">
        <v>46</v>
      </c>
      <c r="L143" s="6" t="n">
        <v>108</v>
      </c>
      <c r="M143" s="6" t="n">
        <v>107</v>
      </c>
      <c r="N143" s="12" t="n">
        <v>51.4</v>
      </c>
      <c r="O143" s="12" t="n">
        <v>51.4</v>
      </c>
      <c r="P143" s="12"/>
      <c r="Q143" s="12" t="n">
        <v>35.1</v>
      </c>
      <c r="R143" s="14" t="n">
        <v>0.019</v>
      </c>
      <c r="S143" s="6" t="n">
        <v>0</v>
      </c>
      <c r="T143" s="6"/>
      <c r="U143" s="14" t="n">
        <v>0</v>
      </c>
      <c r="V143" s="15" t="n">
        <f aca="false">60*R143+0.5*(1-(Q143/N143)^2)</f>
        <v>1.40683787793911</v>
      </c>
      <c r="W143" s="14"/>
      <c r="X143" s="10" t="s">
        <v>335</v>
      </c>
      <c r="Y143" s="16"/>
      <c r="Z143" s="17" t="s">
        <v>48</v>
      </c>
      <c r="AA143" s="6"/>
      <c r="AB143" s="18" t="n">
        <f aca="false">IF(O143="","",$D$3*PI()*(O143/1000)^2/4*3600)</f>
        <v>11.2049488715554</v>
      </c>
      <c r="AC143" s="19" t="n">
        <f aca="false">IF(OR(U143="",NOT(ISNUMBER(U143))),"",U143*$D$3^2/(2*$H$3))</f>
        <v>0</v>
      </c>
      <c r="AD143" s="20" t="n">
        <f aca="false">IF(OR(U143="",NOT(ISNUMBER(U143))),"",U143*$D$3^2/2*$F$3)</f>
        <v>0</v>
      </c>
      <c r="AE143" s="19" t="n">
        <f aca="false">IF(OR(V143="",NOT(ISNUMBER(V143))),"",V143*$D$3^2/(2*$H$3))</f>
        <v>0.161334619029714</v>
      </c>
      <c r="AF143" s="20" t="n">
        <f aca="false">IF(OR(V143="",NOT(ISNUMBER(V143))),"",V143*$D$3^2/2*$F$3)</f>
        <v>1582.69261268149</v>
      </c>
      <c r="AG143" s="19" t="str">
        <f aca="false">IF(OR(W143="",NOT(ISNUMBER(W143))),"",W143*$D$3^2/(2*$H$3))</f>
        <v/>
      </c>
      <c r="AH143" s="20" t="str">
        <f aca="false">IF(OR(W143="",NOT(ISNUMBER(W143))),"",W143*$D$3^2/2*$F$3)</f>
        <v/>
      </c>
    </row>
    <row r="144" customFormat="false" ht="15" hidden="false" customHeight="false" outlineLevel="0" collapsed="false">
      <c r="A144" s="10" t="s">
        <v>364</v>
      </c>
      <c r="B144" s="11" t="s">
        <v>41</v>
      </c>
      <c r="C144" s="6" t="s">
        <v>42</v>
      </c>
      <c r="D144" s="6" t="s">
        <v>365</v>
      </c>
      <c r="E144" s="6" t="s">
        <v>333</v>
      </c>
      <c r="F144" s="6" t="s">
        <v>334</v>
      </c>
      <c r="G144" s="6" t="n">
        <v>75</v>
      </c>
      <c r="H144" s="6"/>
      <c r="I144" s="6" t="s">
        <v>118</v>
      </c>
      <c r="J144" s="6" t="n">
        <v>16</v>
      </c>
      <c r="K144" s="6" t="s">
        <v>46</v>
      </c>
      <c r="L144" s="6" t="n">
        <v>121</v>
      </c>
      <c r="M144" s="6" t="n">
        <v>115</v>
      </c>
      <c r="N144" s="12" t="n">
        <v>61.4</v>
      </c>
      <c r="O144" s="12" t="n">
        <v>61.4</v>
      </c>
      <c r="P144" s="12"/>
      <c r="Q144" s="12" t="n">
        <v>26.6</v>
      </c>
      <c r="R144" s="14" t="n">
        <v>0.018</v>
      </c>
      <c r="S144" s="6" t="n">
        <v>0</v>
      </c>
      <c r="T144" s="6"/>
      <c r="U144" s="14" t="n">
        <v>0</v>
      </c>
      <c r="V144" s="15" t="n">
        <f aca="false">60*R144+0.5*(1-(Q144/N144)^2)</f>
        <v>1.4861581555242</v>
      </c>
      <c r="W144" s="14"/>
      <c r="X144" s="10" t="s">
        <v>335</v>
      </c>
      <c r="Y144" s="16"/>
      <c r="Z144" s="17" t="s">
        <v>48</v>
      </c>
      <c r="AA144" s="6"/>
      <c r="AB144" s="18" t="n">
        <f aca="false">IF(O144="","",$D$3*PI()*(O144/1000)^2/4*3600)</f>
        <v>15.988966164442</v>
      </c>
      <c r="AC144" s="19" t="n">
        <f aca="false">IF(OR(U144="",NOT(ISNUMBER(U144))),"",U144*$D$3^2/(2*$H$3))</f>
        <v>0</v>
      </c>
      <c r="AD144" s="20" t="n">
        <f aca="false">IF(OR(U144="",NOT(ISNUMBER(U144))),"",U144*$D$3^2/2*$F$3)</f>
        <v>0</v>
      </c>
      <c r="AE144" s="19" t="n">
        <f aca="false">IF(OR(V144="",NOT(ISNUMBER(V144))),"",V144*$D$3^2/(2*$H$3))</f>
        <v>0.170430981138096</v>
      </c>
      <c r="AF144" s="20" t="n">
        <f aca="false">IF(OR(V144="",NOT(ISNUMBER(V144))),"",V144*$D$3^2/2*$F$3)</f>
        <v>1671.92792496472</v>
      </c>
      <c r="AG144" s="19" t="str">
        <f aca="false">IF(OR(W144="",NOT(ISNUMBER(W144))),"",W144*$D$3^2/(2*$H$3))</f>
        <v/>
      </c>
      <c r="AH144" s="20" t="str">
        <f aca="false">IF(OR(W144="",NOT(ISNUMBER(W144))),"",W144*$D$3^2/2*$F$3)</f>
        <v/>
      </c>
    </row>
    <row r="145" customFormat="false" ht="15" hidden="false" customHeight="false" outlineLevel="0" collapsed="false">
      <c r="A145" s="10" t="s">
        <v>366</v>
      </c>
      <c r="B145" s="11" t="s">
        <v>41</v>
      </c>
      <c r="C145" s="6" t="s">
        <v>42</v>
      </c>
      <c r="D145" s="6" t="s">
        <v>367</v>
      </c>
      <c r="E145" s="6" t="s">
        <v>333</v>
      </c>
      <c r="F145" s="6" t="s">
        <v>334</v>
      </c>
      <c r="G145" s="6" t="n">
        <v>75</v>
      </c>
      <c r="H145" s="6"/>
      <c r="I145" s="6" t="s">
        <v>130</v>
      </c>
      <c r="J145" s="6" t="n">
        <v>16</v>
      </c>
      <c r="K145" s="6" t="s">
        <v>46</v>
      </c>
      <c r="L145" s="6" t="n">
        <v>121</v>
      </c>
      <c r="M145" s="6" t="n">
        <v>123</v>
      </c>
      <c r="N145" s="12" t="n">
        <v>61.4</v>
      </c>
      <c r="O145" s="12" t="n">
        <v>61.4</v>
      </c>
      <c r="P145" s="12"/>
      <c r="Q145" s="12" t="n">
        <v>40.9</v>
      </c>
      <c r="R145" s="14" t="n">
        <v>0.018</v>
      </c>
      <c r="S145" s="6" t="n">
        <v>0</v>
      </c>
      <c r="T145" s="6"/>
      <c r="U145" s="14" t="n">
        <v>0</v>
      </c>
      <c r="V145" s="15" t="n">
        <f aca="false">60*R145+0.5*(1-(Q145/N145)^2)</f>
        <v>1.35813955585736</v>
      </c>
      <c r="W145" s="14"/>
      <c r="X145" s="10" t="s">
        <v>335</v>
      </c>
      <c r="Y145" s="16"/>
      <c r="Z145" s="17" t="s">
        <v>48</v>
      </c>
      <c r="AA145" s="6"/>
      <c r="AB145" s="18" t="n">
        <f aca="false">IF(O145="","",$D$3*PI()*(O145/1000)^2/4*3600)</f>
        <v>15.988966164442</v>
      </c>
      <c r="AC145" s="19" t="n">
        <f aca="false">IF(OR(U145="",NOT(ISNUMBER(U145))),"",U145*$D$3^2/(2*$H$3))</f>
        <v>0</v>
      </c>
      <c r="AD145" s="20" t="n">
        <f aca="false">IF(OR(U145="",NOT(ISNUMBER(U145))),"",U145*$D$3^2/2*$F$3)</f>
        <v>0</v>
      </c>
      <c r="AE145" s="19" t="n">
        <f aca="false">IF(OR(V145="",NOT(ISNUMBER(V145))),"",V145*$D$3^2/(2*$H$3))</f>
        <v>0.155749949066211</v>
      </c>
      <c r="AF145" s="20" t="n">
        <f aca="false">IF(OR(V145="",NOT(ISNUMBER(V145))),"",V145*$D$3^2/2*$F$3)</f>
        <v>1527.90700033953</v>
      </c>
      <c r="AG145" s="19" t="str">
        <f aca="false">IF(OR(W145="",NOT(ISNUMBER(W145))),"",W145*$D$3^2/(2*$H$3))</f>
        <v/>
      </c>
      <c r="AH145" s="20" t="str">
        <f aca="false">IF(OR(W145="",NOT(ISNUMBER(W145))),"",W145*$D$3^2/2*$F$3)</f>
        <v/>
      </c>
    </row>
    <row r="146" customFormat="false" ht="15" hidden="false" customHeight="false" outlineLevel="0" collapsed="false">
      <c r="A146" s="10" t="s">
        <v>368</v>
      </c>
      <c r="B146" s="11" t="s">
        <v>41</v>
      </c>
      <c r="C146" s="6" t="s">
        <v>42</v>
      </c>
      <c r="D146" s="6" t="s">
        <v>369</v>
      </c>
      <c r="E146" s="6" t="s">
        <v>333</v>
      </c>
      <c r="F146" s="6" t="s">
        <v>334</v>
      </c>
      <c r="G146" s="6" t="n">
        <v>90</v>
      </c>
      <c r="H146" s="6"/>
      <c r="I146" s="6" t="s">
        <v>111</v>
      </c>
      <c r="J146" s="6" t="n">
        <v>16</v>
      </c>
      <c r="K146" s="6" t="s">
        <v>46</v>
      </c>
      <c r="L146" s="6" t="n">
        <v>139</v>
      </c>
      <c r="M146" s="6" t="n">
        <v>126.5</v>
      </c>
      <c r="N146" s="12" t="n">
        <v>73.6</v>
      </c>
      <c r="O146" s="12" t="n">
        <v>73.6</v>
      </c>
      <c r="P146" s="12"/>
      <c r="Q146" s="12" t="n">
        <v>20.9</v>
      </c>
      <c r="R146" s="14" t="n">
        <v>0.018</v>
      </c>
      <c r="S146" s="6" t="n">
        <v>0</v>
      </c>
      <c r="T146" s="6"/>
      <c r="U146" s="14" t="n">
        <v>0</v>
      </c>
      <c r="V146" s="15" t="n">
        <f aca="false">60*R146+0.5*(1-(Q146/N146)^2)</f>
        <v>1.5396812603379</v>
      </c>
      <c r="W146" s="14"/>
      <c r="X146" s="10" t="s">
        <v>335</v>
      </c>
      <c r="Y146" s="16"/>
      <c r="Z146" s="17" t="s">
        <v>48</v>
      </c>
      <c r="AA146" s="6"/>
      <c r="AB146" s="18" t="n">
        <f aca="false">IF(O146="","",$D$3*PI()*(O146/1000)^2/4*3600)</f>
        <v>22.9741403500662</v>
      </c>
      <c r="AC146" s="19" t="n">
        <f aca="false">IF(OR(U146="",NOT(ISNUMBER(U146))),"",U146*$D$3^2/(2*$H$3))</f>
        <v>0</v>
      </c>
      <c r="AD146" s="20" t="n">
        <f aca="false">IF(OR(U146="",NOT(ISNUMBER(U146))),"",U146*$D$3^2/2*$F$3)</f>
        <v>0</v>
      </c>
      <c r="AE146" s="19" t="n">
        <f aca="false">IF(OR(V146="",NOT(ISNUMBER(V146))),"",V146*$D$3^2/(2*$H$3))</f>
        <v>0.176568951873613</v>
      </c>
      <c r="AF146" s="20" t="n">
        <f aca="false">IF(OR(V146="",NOT(ISNUMBER(V146))),"",V146*$D$3^2/2*$F$3)</f>
        <v>1732.14141788014</v>
      </c>
      <c r="AG146" s="19" t="str">
        <f aca="false">IF(OR(W146="",NOT(ISNUMBER(W146))),"",W146*$D$3^2/(2*$H$3))</f>
        <v/>
      </c>
      <c r="AH146" s="20" t="str">
        <f aca="false">IF(OR(W146="",NOT(ISNUMBER(W146))),"",W146*$D$3^2/2*$F$3)</f>
        <v/>
      </c>
    </row>
    <row r="147" customFormat="false" ht="15" hidden="false" customHeight="false" outlineLevel="0" collapsed="false">
      <c r="A147" s="10" t="s">
        <v>370</v>
      </c>
      <c r="B147" s="11" t="s">
        <v>41</v>
      </c>
      <c r="C147" s="6" t="s">
        <v>42</v>
      </c>
      <c r="D147" s="6" t="s">
        <v>371</v>
      </c>
      <c r="E147" s="6" t="s">
        <v>333</v>
      </c>
      <c r="F147" s="6" t="s">
        <v>334</v>
      </c>
      <c r="G147" s="6" t="n">
        <v>90</v>
      </c>
      <c r="H147" s="6"/>
      <c r="I147" s="6" t="s">
        <v>118</v>
      </c>
      <c r="J147" s="6" t="n">
        <v>16</v>
      </c>
      <c r="K147" s="6" t="s">
        <v>46</v>
      </c>
      <c r="L147" s="6" t="n">
        <v>139</v>
      </c>
      <c r="M147" s="6" t="n">
        <v>130</v>
      </c>
      <c r="N147" s="12" t="n">
        <v>73.6</v>
      </c>
      <c r="O147" s="12" t="n">
        <v>73.6</v>
      </c>
      <c r="P147" s="12"/>
      <c r="Q147" s="12" t="n">
        <v>26.6</v>
      </c>
      <c r="R147" s="14" t="n">
        <v>0.018</v>
      </c>
      <c r="S147" s="6" t="n">
        <v>0</v>
      </c>
      <c r="T147" s="6"/>
      <c r="U147" s="14" t="n">
        <v>0</v>
      </c>
      <c r="V147" s="15" t="n">
        <f aca="false">60*R147+0.5*(1-(Q147/N147)^2)</f>
        <v>1.51469030600189</v>
      </c>
      <c r="W147" s="14"/>
      <c r="X147" s="10" t="s">
        <v>335</v>
      </c>
      <c r="Y147" s="16"/>
      <c r="Z147" s="17" t="s">
        <v>48</v>
      </c>
      <c r="AA147" s="6"/>
      <c r="AB147" s="18" t="n">
        <f aca="false">IF(O147="","",$D$3*PI()*(O147/1000)^2/4*3600)</f>
        <v>22.9741403500662</v>
      </c>
      <c r="AC147" s="19" t="n">
        <f aca="false">IF(OR(U147="",NOT(ISNUMBER(U147))),"",U147*$D$3^2/(2*$H$3))</f>
        <v>0</v>
      </c>
      <c r="AD147" s="20" t="n">
        <f aca="false">IF(OR(U147="",NOT(ISNUMBER(U147))),"",U147*$D$3^2/2*$F$3)</f>
        <v>0</v>
      </c>
      <c r="AE147" s="19" t="n">
        <f aca="false">IF(OR(V147="",NOT(ISNUMBER(V147))),"",V147*$D$3^2/(2*$H$3))</f>
        <v>0.173703016743336</v>
      </c>
      <c r="AF147" s="20" t="n">
        <f aca="false">IF(OR(V147="",NOT(ISNUMBER(V147))),"",V147*$D$3^2/2*$F$3)</f>
        <v>1704.02659425213</v>
      </c>
      <c r="AG147" s="19" t="str">
        <f aca="false">IF(OR(W147="",NOT(ISNUMBER(W147))),"",W147*$D$3^2/(2*$H$3))</f>
        <v/>
      </c>
      <c r="AH147" s="20" t="str">
        <f aca="false">IF(OR(W147="",NOT(ISNUMBER(W147))),"",W147*$D$3^2/2*$F$3)</f>
        <v/>
      </c>
    </row>
    <row r="148" customFormat="false" ht="15" hidden="false" customHeight="false" outlineLevel="0" collapsed="false">
      <c r="A148" s="10" t="s">
        <v>372</v>
      </c>
      <c r="B148" s="11" t="s">
        <v>41</v>
      </c>
      <c r="C148" s="6" t="s">
        <v>42</v>
      </c>
      <c r="D148" s="6" t="s">
        <v>373</v>
      </c>
      <c r="E148" s="6" t="s">
        <v>333</v>
      </c>
      <c r="F148" s="6" t="s">
        <v>334</v>
      </c>
      <c r="G148" s="6" t="n">
        <v>90</v>
      </c>
      <c r="H148" s="6"/>
      <c r="I148" s="6" t="s">
        <v>130</v>
      </c>
      <c r="J148" s="6" t="n">
        <v>16</v>
      </c>
      <c r="K148" s="6" t="s">
        <v>46</v>
      </c>
      <c r="L148" s="6" t="n">
        <v>139</v>
      </c>
      <c r="M148" s="6" t="n">
        <v>137</v>
      </c>
      <c r="N148" s="12" t="n">
        <v>73.6</v>
      </c>
      <c r="O148" s="12" t="n">
        <v>73.6</v>
      </c>
      <c r="P148" s="12"/>
      <c r="Q148" s="12" t="n">
        <v>40.9</v>
      </c>
      <c r="R148" s="14" t="n">
        <v>0.018</v>
      </c>
      <c r="S148" s="6" t="n">
        <v>0</v>
      </c>
      <c r="T148" s="6"/>
      <c r="U148" s="14" t="n">
        <v>0</v>
      </c>
      <c r="V148" s="15" t="n">
        <f aca="false">60*R148+0.5*(1-(Q148/N148)^2)</f>
        <v>1.4255951308483</v>
      </c>
      <c r="W148" s="14"/>
      <c r="X148" s="10" t="s">
        <v>335</v>
      </c>
      <c r="Y148" s="16"/>
      <c r="Z148" s="17" t="s">
        <v>48</v>
      </c>
      <c r="AA148" s="6"/>
      <c r="AB148" s="18" t="n">
        <f aca="false">IF(O148="","",$D$3*PI()*(O148/1000)^2/4*3600)</f>
        <v>22.9741403500662</v>
      </c>
      <c r="AC148" s="19" t="n">
        <f aca="false">IF(OR(U148="",NOT(ISNUMBER(U148))),"",U148*$D$3^2/(2*$H$3))</f>
        <v>0</v>
      </c>
      <c r="AD148" s="20" t="n">
        <f aca="false">IF(OR(U148="",NOT(ISNUMBER(U148))),"",U148*$D$3^2/2*$F$3)</f>
        <v>0</v>
      </c>
      <c r="AE148" s="19" t="n">
        <f aca="false">IF(OR(V148="",NOT(ISNUMBER(V148))),"",V148*$D$3^2/(2*$H$3))</f>
        <v>0.163485680143153</v>
      </c>
      <c r="AF148" s="20" t="n">
        <f aca="false">IF(OR(V148="",NOT(ISNUMBER(V148))),"",V148*$D$3^2/2*$F$3)</f>
        <v>1603.79452220434</v>
      </c>
      <c r="AG148" s="19" t="str">
        <f aca="false">IF(OR(W148="",NOT(ISNUMBER(W148))),"",W148*$D$3^2/(2*$H$3))</f>
        <v/>
      </c>
      <c r="AH148" s="20" t="str">
        <f aca="false">IF(OR(W148="",NOT(ISNUMBER(W148))),"",W148*$D$3^2/2*$F$3)</f>
        <v/>
      </c>
    </row>
    <row r="149" customFormat="false" ht="15" hidden="false" customHeight="false" outlineLevel="0" collapsed="false">
      <c r="A149" s="10" t="s">
        <v>374</v>
      </c>
      <c r="B149" s="11" t="s">
        <v>41</v>
      </c>
      <c r="C149" s="6" t="s">
        <v>42</v>
      </c>
      <c r="D149" s="6" t="s">
        <v>375</v>
      </c>
      <c r="E149" s="6" t="s">
        <v>333</v>
      </c>
      <c r="F149" s="6" t="s">
        <v>334</v>
      </c>
      <c r="G149" s="6" t="n">
        <v>90</v>
      </c>
      <c r="H149" s="6"/>
      <c r="I149" s="6" t="s">
        <v>133</v>
      </c>
      <c r="J149" s="6" t="n">
        <v>16</v>
      </c>
      <c r="K149" s="6" t="s">
        <v>46</v>
      </c>
      <c r="L149" s="6" t="n">
        <v>139</v>
      </c>
      <c r="M149" s="6" t="n">
        <v>137</v>
      </c>
      <c r="N149" s="12" t="n">
        <v>73.6</v>
      </c>
      <c r="O149" s="12" t="n">
        <v>73.6</v>
      </c>
      <c r="P149" s="12"/>
      <c r="Q149" s="12" t="n">
        <v>52.5</v>
      </c>
      <c r="R149" s="14" t="n">
        <v>0.018</v>
      </c>
      <c r="S149" s="6" t="n">
        <v>0</v>
      </c>
      <c r="T149" s="6"/>
      <c r="U149" s="14" t="n">
        <v>0</v>
      </c>
      <c r="V149" s="15" t="n">
        <f aca="false">60*R149+0.5*(1-(Q149/N149)^2)</f>
        <v>1.325590700319</v>
      </c>
      <c r="W149" s="14"/>
      <c r="X149" s="10" t="s">
        <v>335</v>
      </c>
      <c r="Y149" s="16"/>
      <c r="Z149" s="17" t="s">
        <v>48</v>
      </c>
      <c r="AA149" s="6"/>
      <c r="AB149" s="18" t="n">
        <f aca="false">IF(O149="","",$D$3*PI()*(O149/1000)^2/4*3600)</f>
        <v>22.9741403500662</v>
      </c>
      <c r="AC149" s="19" t="n">
        <f aca="false">IF(OR(U149="",NOT(ISNUMBER(U149))),"",U149*$D$3^2/(2*$H$3))</f>
        <v>0</v>
      </c>
      <c r="AD149" s="20" t="n">
        <f aca="false">IF(OR(U149="",NOT(ISNUMBER(U149))),"",U149*$D$3^2/2*$F$3)</f>
        <v>0</v>
      </c>
      <c r="AE149" s="19" t="n">
        <f aca="false">IF(OR(V149="",NOT(ISNUMBER(V149))),"",V149*$D$3^2/(2*$H$3))</f>
        <v>0.152017282146674</v>
      </c>
      <c r="AF149" s="20" t="n">
        <f aca="false">IF(OR(V149="",NOT(ISNUMBER(V149))),"",V149*$D$3^2/2*$F$3)</f>
        <v>1491.28953785887</v>
      </c>
      <c r="AG149" s="19" t="str">
        <f aca="false">IF(OR(W149="",NOT(ISNUMBER(W149))),"",W149*$D$3^2/(2*$H$3))</f>
        <v/>
      </c>
      <c r="AH149" s="20" t="str">
        <f aca="false">IF(OR(W149="",NOT(ISNUMBER(W149))),"",W149*$D$3^2/2*$F$3)</f>
        <v/>
      </c>
    </row>
    <row r="150" customFormat="false" ht="15" hidden="false" customHeight="false" outlineLevel="0" collapsed="false">
      <c r="A150" s="10" t="s">
        <v>376</v>
      </c>
      <c r="B150" s="11" t="s">
        <v>41</v>
      </c>
      <c r="C150" s="6" t="s">
        <v>42</v>
      </c>
      <c r="D150" s="6" t="s">
        <v>377</v>
      </c>
      <c r="E150" s="6" t="s">
        <v>333</v>
      </c>
      <c r="F150" s="6" t="s">
        <v>334</v>
      </c>
      <c r="G150" s="6" t="n">
        <v>110</v>
      </c>
      <c r="H150" s="6"/>
      <c r="I150" s="6" t="s">
        <v>111</v>
      </c>
      <c r="J150" s="6" t="n">
        <v>16</v>
      </c>
      <c r="K150" s="6" t="s">
        <v>46</v>
      </c>
      <c r="L150" s="6" t="n">
        <v>159</v>
      </c>
      <c r="M150" s="6" t="n">
        <v>133</v>
      </c>
      <c r="N150" s="12" t="n">
        <v>90</v>
      </c>
      <c r="O150" s="12" t="n">
        <v>90</v>
      </c>
      <c r="P150" s="12"/>
      <c r="Q150" s="12" t="n">
        <v>20.9</v>
      </c>
      <c r="R150" s="14" t="n">
        <v>0.017</v>
      </c>
      <c r="S150" s="6" t="n">
        <v>0</v>
      </c>
      <c r="T150" s="6"/>
      <c r="U150" s="14" t="n">
        <v>0</v>
      </c>
      <c r="V150" s="15" t="n">
        <f aca="false">60*R150+0.5*(1-(Q150/N150)^2)</f>
        <v>1.49303641975309</v>
      </c>
      <c r="W150" s="14"/>
      <c r="X150" s="10" t="s">
        <v>335</v>
      </c>
      <c r="Y150" s="16"/>
      <c r="Z150" s="17" t="s">
        <v>48</v>
      </c>
      <c r="AA150" s="6"/>
      <c r="AB150" s="18" t="n">
        <f aca="false">IF(O150="","",$D$3*PI()*(O150/1000)^2/4*3600)</f>
        <v>34.3533156670044</v>
      </c>
      <c r="AC150" s="19" t="n">
        <f aca="false">IF(OR(U150="",NOT(ISNUMBER(U150))),"",U150*$D$3^2/(2*$H$3))</f>
        <v>0</v>
      </c>
      <c r="AD150" s="20" t="n">
        <f aca="false">IF(OR(U150="",NOT(ISNUMBER(U150))),"",U150*$D$3^2/2*$F$3)</f>
        <v>0</v>
      </c>
      <c r="AE150" s="19" t="n">
        <f aca="false">IF(OR(V150="",NOT(ISNUMBER(V150))),"",V150*$D$3^2/(2*$H$3))</f>
        <v>0.171219772907464</v>
      </c>
      <c r="AF150" s="20" t="n">
        <f aca="false">IF(OR(V150="",NOT(ISNUMBER(V150))),"",V150*$D$3^2/2*$F$3)</f>
        <v>1679.66597222222</v>
      </c>
      <c r="AG150" s="19" t="str">
        <f aca="false">IF(OR(W150="",NOT(ISNUMBER(W150))),"",W150*$D$3^2/(2*$H$3))</f>
        <v/>
      </c>
      <c r="AH150" s="20" t="str">
        <f aca="false">IF(OR(W150="",NOT(ISNUMBER(W150))),"",W150*$D$3^2/2*$F$3)</f>
        <v/>
      </c>
    </row>
    <row r="151" customFormat="false" ht="15" hidden="false" customHeight="false" outlineLevel="0" collapsed="false">
      <c r="A151" s="10" t="s">
        <v>378</v>
      </c>
      <c r="B151" s="11" t="s">
        <v>41</v>
      </c>
      <c r="C151" s="6" t="s">
        <v>42</v>
      </c>
      <c r="D151" s="6" t="s">
        <v>379</v>
      </c>
      <c r="E151" s="6" t="s">
        <v>333</v>
      </c>
      <c r="F151" s="6" t="s">
        <v>334</v>
      </c>
      <c r="G151" s="6" t="n">
        <v>110</v>
      </c>
      <c r="H151" s="6"/>
      <c r="I151" s="6" t="s">
        <v>118</v>
      </c>
      <c r="J151" s="6" t="n">
        <v>16</v>
      </c>
      <c r="K151" s="6" t="s">
        <v>46</v>
      </c>
      <c r="L151" s="6" t="n">
        <v>159</v>
      </c>
      <c r="M151" s="6" t="n">
        <v>133</v>
      </c>
      <c r="N151" s="12" t="n">
        <v>90</v>
      </c>
      <c r="O151" s="12" t="n">
        <v>90</v>
      </c>
      <c r="P151" s="12"/>
      <c r="Q151" s="12" t="n">
        <v>26.6</v>
      </c>
      <c r="R151" s="14" t="n">
        <v>0.017</v>
      </c>
      <c r="S151" s="6" t="n">
        <v>0</v>
      </c>
      <c r="T151" s="6"/>
      <c r="U151" s="14" t="n">
        <v>0</v>
      </c>
      <c r="V151" s="15" t="n">
        <f aca="false">60*R151+0.5*(1-(Q151/N151)^2)</f>
        <v>1.47632345679012</v>
      </c>
      <c r="W151" s="14"/>
      <c r="X151" s="10" t="s">
        <v>335</v>
      </c>
      <c r="Y151" s="16"/>
      <c r="Z151" s="17" t="s">
        <v>48</v>
      </c>
      <c r="AA151" s="6"/>
      <c r="AB151" s="18" t="n">
        <f aca="false">IF(O151="","",$D$3*PI()*(O151/1000)^2/4*3600)</f>
        <v>34.3533156670044</v>
      </c>
      <c r="AC151" s="19" t="n">
        <f aca="false">IF(OR(U151="",NOT(ISNUMBER(U151))),"",U151*$D$3^2/(2*$H$3))</f>
        <v>0</v>
      </c>
      <c r="AD151" s="20" t="n">
        <f aca="false">IF(OR(U151="",NOT(ISNUMBER(U151))),"",U151*$D$3^2/2*$F$3)</f>
        <v>0</v>
      </c>
      <c r="AE151" s="19" t="n">
        <f aca="false">IF(OR(V151="",NOT(ISNUMBER(V151))),"",V151*$D$3^2/(2*$H$3))</f>
        <v>0.169303148714464</v>
      </c>
      <c r="AF151" s="20" t="n">
        <f aca="false">IF(OR(V151="",NOT(ISNUMBER(V151))),"",V151*$D$3^2/2*$F$3)</f>
        <v>1660.86388888889</v>
      </c>
      <c r="AG151" s="19" t="str">
        <f aca="false">IF(OR(W151="",NOT(ISNUMBER(W151))),"",W151*$D$3^2/(2*$H$3))</f>
        <v/>
      </c>
      <c r="AH151" s="20" t="str">
        <f aca="false">IF(OR(W151="",NOT(ISNUMBER(W151))),"",W151*$D$3^2/2*$F$3)</f>
        <v/>
      </c>
    </row>
    <row r="152" customFormat="false" ht="15" hidden="false" customHeight="false" outlineLevel="0" collapsed="false">
      <c r="A152" s="10" t="s">
        <v>380</v>
      </c>
      <c r="B152" s="11" t="s">
        <v>41</v>
      </c>
      <c r="C152" s="6" t="s">
        <v>381</v>
      </c>
      <c r="D152" s="6" t="s">
        <v>382</v>
      </c>
      <c r="E152" s="6" t="s">
        <v>180</v>
      </c>
      <c r="F152" s="6" t="s">
        <v>181</v>
      </c>
      <c r="G152" s="6" t="n">
        <v>16</v>
      </c>
      <c r="H152" s="6"/>
      <c r="I152" s="6"/>
      <c r="J152" s="6" t="n">
        <v>16</v>
      </c>
      <c r="K152" s="6" t="s">
        <v>46</v>
      </c>
      <c r="L152" s="6" t="n">
        <v>49</v>
      </c>
      <c r="M152" s="6" t="n">
        <v>13</v>
      </c>
      <c r="N152" s="12" t="n">
        <v>12</v>
      </c>
      <c r="O152" s="12" t="n">
        <v>12</v>
      </c>
      <c r="P152" s="13" t="n">
        <v>10</v>
      </c>
      <c r="Q152" s="12"/>
      <c r="R152" s="14" t="n">
        <v>0.027</v>
      </c>
      <c r="S152" s="6" t="n">
        <v>30</v>
      </c>
      <c r="T152" s="6"/>
      <c r="U152" s="15" t="n">
        <f aca="false">(S152*R152+0.5*(1-(P152/N152)^2)+(1-(P152/O152)^2)^2)*(O152/P152)^4</f>
        <v>2.190016</v>
      </c>
      <c r="V152" s="14"/>
      <c r="W152" s="14"/>
      <c r="X152" s="10" t="s">
        <v>47</v>
      </c>
      <c r="Y152" s="16"/>
      <c r="Z152" s="17" t="s">
        <v>48</v>
      </c>
      <c r="AA152" s="6"/>
      <c r="AB152" s="18" t="n">
        <f aca="false">IF(O152="","",$D$3*PI()*(O152/1000)^2/4*3600)</f>
        <v>0.610725611857856</v>
      </c>
      <c r="AC152" s="19" t="n">
        <f aca="false">IF(OR(U152="",NOT(ISNUMBER(U152))),"",U152*$D$3^2/(2*$H$3))</f>
        <v>0.251148623853211</v>
      </c>
      <c r="AD152" s="20" t="n">
        <f aca="false">IF(OR(U152="",NOT(ISNUMBER(U152))),"",U152*$D$3^2/2*$F$3)</f>
        <v>2463.768</v>
      </c>
      <c r="AE152" s="19" t="str">
        <f aca="false">IF(OR(V152="",NOT(ISNUMBER(V152))),"",V152*$D$3^2/(2*$H$3))</f>
        <v/>
      </c>
      <c r="AF152" s="20" t="str">
        <f aca="false">IF(OR(V152="",NOT(ISNUMBER(V152))),"",V152*$D$3^2/2*$F$3)</f>
        <v/>
      </c>
      <c r="AG152" s="19" t="str">
        <f aca="false">IF(OR(W152="",NOT(ISNUMBER(W152))),"",W152*$D$3^2/(2*$H$3))</f>
        <v/>
      </c>
      <c r="AH152" s="20" t="str">
        <f aca="false">IF(OR(W152="",NOT(ISNUMBER(W152))),"",W152*$D$3^2/2*$F$3)</f>
        <v/>
      </c>
    </row>
    <row r="153" customFormat="false" ht="15" hidden="false" customHeight="false" outlineLevel="0" collapsed="false">
      <c r="A153" s="10" t="s">
        <v>383</v>
      </c>
      <c r="B153" s="11" t="s">
        <v>41</v>
      </c>
      <c r="C153" s="6" t="s">
        <v>381</v>
      </c>
      <c r="D153" s="6" t="s">
        <v>384</v>
      </c>
      <c r="E153" s="6" t="s">
        <v>180</v>
      </c>
      <c r="F153" s="6" t="s">
        <v>181</v>
      </c>
      <c r="G153" s="6" t="n">
        <v>20</v>
      </c>
      <c r="H153" s="6"/>
      <c r="I153" s="6"/>
      <c r="J153" s="6" t="n">
        <v>16</v>
      </c>
      <c r="K153" s="6" t="s">
        <v>46</v>
      </c>
      <c r="L153" s="6" t="n">
        <v>49</v>
      </c>
      <c r="M153" s="6" t="n">
        <v>13</v>
      </c>
      <c r="N153" s="12" t="n">
        <v>16</v>
      </c>
      <c r="O153" s="12" t="n">
        <v>16</v>
      </c>
      <c r="P153" s="13" t="n">
        <v>13</v>
      </c>
      <c r="Q153" s="12"/>
      <c r="R153" s="14" t="n">
        <v>0.027</v>
      </c>
      <c r="S153" s="6" t="n">
        <v>30</v>
      </c>
      <c r="T153" s="6"/>
      <c r="U153" s="15" t="n">
        <f aca="false">(S153*R153+0.5*(1-(P153/N153)^2)+(1-(P153/O153)^2)^2)*(O153/P153)^4</f>
        <v>2.51353804138511</v>
      </c>
      <c r="V153" s="14"/>
      <c r="W153" s="14"/>
      <c r="X153" s="10" t="s">
        <v>47</v>
      </c>
      <c r="Y153" s="16"/>
      <c r="Z153" s="17" t="s">
        <v>48</v>
      </c>
      <c r="AA153" s="6"/>
      <c r="AB153" s="18" t="n">
        <f aca="false">IF(O153="","",$D$3*PI()*(O153/1000)^2/4*3600)</f>
        <v>1.08573442108063</v>
      </c>
      <c r="AC153" s="19" t="n">
        <f aca="false">IF(OR(U153="",NOT(ISNUMBER(U153))),"",U153*$D$3^2/(2*$H$3))</f>
        <v>0.2882497753882</v>
      </c>
      <c r="AD153" s="20" t="n">
        <f aca="false">IF(OR(U153="",NOT(ISNUMBER(U153))),"",U153*$D$3^2/2*$F$3)</f>
        <v>2827.73029655824</v>
      </c>
      <c r="AE153" s="19" t="str">
        <f aca="false">IF(OR(V153="",NOT(ISNUMBER(V153))),"",V153*$D$3^2/(2*$H$3))</f>
        <v/>
      </c>
      <c r="AF153" s="20" t="str">
        <f aca="false">IF(OR(V153="",NOT(ISNUMBER(V153))),"",V153*$D$3^2/2*$F$3)</f>
        <v/>
      </c>
      <c r="AG153" s="19" t="str">
        <f aca="false">IF(OR(W153="",NOT(ISNUMBER(W153))),"",W153*$D$3^2/(2*$H$3))</f>
        <v/>
      </c>
      <c r="AH153" s="20" t="str">
        <f aca="false">IF(OR(W153="",NOT(ISNUMBER(W153))),"",W153*$D$3^2/2*$F$3)</f>
        <v/>
      </c>
    </row>
    <row r="154" customFormat="false" ht="15" hidden="false" customHeight="false" outlineLevel="0" collapsed="false">
      <c r="A154" s="10" t="s">
        <v>385</v>
      </c>
      <c r="B154" s="11" t="s">
        <v>41</v>
      </c>
      <c r="C154" s="6" t="s">
        <v>381</v>
      </c>
      <c r="D154" s="6" t="s">
        <v>386</v>
      </c>
      <c r="E154" s="6" t="s">
        <v>180</v>
      </c>
      <c r="F154" s="6" t="s">
        <v>181</v>
      </c>
      <c r="G154" s="6" t="n">
        <v>25</v>
      </c>
      <c r="H154" s="6"/>
      <c r="I154" s="6"/>
      <c r="J154" s="6" t="n">
        <v>16</v>
      </c>
      <c r="K154" s="6" t="s">
        <v>46</v>
      </c>
      <c r="L154" s="6" t="n">
        <v>58</v>
      </c>
      <c r="M154" s="6" t="n">
        <v>16</v>
      </c>
      <c r="N154" s="12" t="n">
        <v>20.4</v>
      </c>
      <c r="O154" s="12" t="n">
        <v>20.4</v>
      </c>
      <c r="P154" s="13" t="n">
        <v>17</v>
      </c>
      <c r="Q154" s="12"/>
      <c r="R154" s="14" t="n">
        <v>0.025</v>
      </c>
      <c r="S154" s="6" t="n">
        <v>30</v>
      </c>
      <c r="T154" s="6"/>
      <c r="U154" s="15" t="n">
        <f aca="false">(S154*R154+0.5*(1-(P154/N154)^2)+(1-(P154/O154)^2)^2)*(O154/P154)^4</f>
        <v>2.0656</v>
      </c>
      <c r="V154" s="14"/>
      <c r="W154" s="14"/>
      <c r="X154" s="10" t="s">
        <v>47</v>
      </c>
      <c r="Y154" s="16"/>
      <c r="Z154" s="17" t="s">
        <v>48</v>
      </c>
      <c r="AA154" s="6"/>
      <c r="AB154" s="18" t="n">
        <f aca="false">IF(O154="","",$D$3*PI()*(O154/1000)^2/4*3600)</f>
        <v>1.7649970182692</v>
      </c>
      <c r="AC154" s="19" t="n">
        <f aca="false">IF(OR(U154="",NOT(ISNUMBER(U154))),"",U154*$D$3^2/(2*$H$3))</f>
        <v>0.236880733944954</v>
      </c>
      <c r="AD154" s="20" t="n">
        <f aca="false">IF(OR(U154="",NOT(ISNUMBER(U154))),"",U154*$D$3^2/2*$F$3)</f>
        <v>2323.8</v>
      </c>
      <c r="AE154" s="19" t="str">
        <f aca="false">IF(OR(V154="",NOT(ISNUMBER(V154))),"",V154*$D$3^2/(2*$H$3))</f>
        <v/>
      </c>
      <c r="AF154" s="20" t="str">
        <f aca="false">IF(OR(V154="",NOT(ISNUMBER(V154))),"",V154*$D$3^2/2*$F$3)</f>
        <v/>
      </c>
      <c r="AG154" s="19" t="str">
        <f aca="false">IF(OR(W154="",NOT(ISNUMBER(W154))),"",W154*$D$3^2/(2*$H$3))</f>
        <v/>
      </c>
      <c r="AH154" s="20" t="str">
        <f aca="false">IF(OR(W154="",NOT(ISNUMBER(W154))),"",W154*$D$3^2/2*$F$3)</f>
        <v/>
      </c>
    </row>
    <row r="155" customFormat="false" ht="15" hidden="false" customHeight="false" outlineLevel="0" collapsed="false">
      <c r="A155" s="10" t="s">
        <v>387</v>
      </c>
      <c r="B155" s="11" t="s">
        <v>41</v>
      </c>
      <c r="C155" s="6" t="s">
        <v>381</v>
      </c>
      <c r="D155" s="6" t="s">
        <v>388</v>
      </c>
      <c r="E155" s="6" t="s">
        <v>180</v>
      </c>
      <c r="F155" s="6" t="s">
        <v>181</v>
      </c>
      <c r="G155" s="6" t="n">
        <v>32</v>
      </c>
      <c r="H155" s="6"/>
      <c r="I155" s="6"/>
      <c r="J155" s="6" t="n">
        <v>16</v>
      </c>
      <c r="K155" s="6" t="s">
        <v>46</v>
      </c>
      <c r="L155" s="6" t="n">
        <v>81</v>
      </c>
      <c r="M155" s="6" t="n">
        <v>18</v>
      </c>
      <c r="N155" s="12" t="n">
        <v>26.2</v>
      </c>
      <c r="O155" s="12" t="n">
        <v>26.2</v>
      </c>
      <c r="P155" s="13" t="n">
        <v>22</v>
      </c>
      <c r="Q155" s="12"/>
      <c r="R155" s="14" t="n">
        <v>0.023</v>
      </c>
      <c r="S155" s="6" t="n">
        <v>30</v>
      </c>
      <c r="T155" s="6"/>
      <c r="U155" s="15" t="n">
        <f aca="false">(S155*R155+0.5*(1-(P155/N155)^2)+(1-(P155/O155)^2)^2)*(O155/P155)^4</f>
        <v>1.85946709234342</v>
      </c>
      <c r="V155" s="14"/>
      <c r="W155" s="14"/>
      <c r="X155" s="10" t="s">
        <v>47</v>
      </c>
      <c r="Y155" s="16"/>
      <c r="Z155" s="17" t="s">
        <v>48</v>
      </c>
      <c r="AA155" s="6"/>
      <c r="AB155" s="18" t="n">
        <f aca="false">IF(O155="","",$D$3*PI()*(O155/1000)^2/4*3600)</f>
        <v>2.91129506252574</v>
      </c>
      <c r="AC155" s="19" t="n">
        <f aca="false">IF(OR(U155="",NOT(ISNUMBER(U155))),"",U155*$D$3^2/(2*$H$3))</f>
        <v>0.213241639030209</v>
      </c>
      <c r="AD155" s="20" t="n">
        <f aca="false">IF(OR(U155="",NOT(ISNUMBER(U155))),"",U155*$D$3^2/2*$F$3)</f>
        <v>2091.90047888635</v>
      </c>
      <c r="AE155" s="19" t="str">
        <f aca="false">IF(OR(V155="",NOT(ISNUMBER(V155))),"",V155*$D$3^2/(2*$H$3))</f>
        <v/>
      </c>
      <c r="AF155" s="20" t="str">
        <f aca="false">IF(OR(V155="",NOT(ISNUMBER(V155))),"",V155*$D$3^2/2*$F$3)</f>
        <v/>
      </c>
      <c r="AG155" s="19" t="str">
        <f aca="false">IF(OR(W155="",NOT(ISNUMBER(W155))),"",W155*$D$3^2/(2*$H$3))</f>
        <v/>
      </c>
      <c r="AH155" s="20" t="str">
        <f aca="false">IF(OR(W155="",NOT(ISNUMBER(W155))),"",W155*$D$3^2/2*$F$3)</f>
        <v/>
      </c>
    </row>
    <row r="156" customFormat="false" ht="15" hidden="false" customHeight="false" outlineLevel="0" collapsed="false">
      <c r="A156" s="10" t="s">
        <v>389</v>
      </c>
      <c r="B156" s="11" t="s">
        <v>41</v>
      </c>
      <c r="C156" s="6" t="s">
        <v>381</v>
      </c>
      <c r="D156" s="6" t="s">
        <v>390</v>
      </c>
      <c r="E156" s="6" t="s">
        <v>180</v>
      </c>
      <c r="F156" s="6" t="s">
        <v>181</v>
      </c>
      <c r="G156" s="6" t="n">
        <v>40</v>
      </c>
      <c r="H156" s="6"/>
      <c r="I156" s="6"/>
      <c r="J156" s="6" t="n">
        <v>16</v>
      </c>
      <c r="K156" s="6" t="s">
        <v>46</v>
      </c>
      <c r="L156" s="6" t="n">
        <v>92</v>
      </c>
      <c r="M156" s="6" t="n">
        <v>24</v>
      </c>
      <c r="N156" s="12" t="n">
        <v>32.6</v>
      </c>
      <c r="O156" s="12" t="n">
        <v>32.6</v>
      </c>
      <c r="P156" s="13" t="n">
        <v>28</v>
      </c>
      <c r="Q156" s="12"/>
      <c r="R156" s="14" t="n">
        <v>0.022</v>
      </c>
      <c r="S156" s="6" t="n">
        <v>30</v>
      </c>
      <c r="T156" s="6"/>
      <c r="U156" s="15" t="n">
        <f aca="false">(S156*R156+0.5*(1-(P156/N156)^2)+(1-(P156/O156)^2)^2)*(O156/P156)^4</f>
        <v>1.5801968027905</v>
      </c>
      <c r="V156" s="14"/>
      <c r="W156" s="14"/>
      <c r="X156" s="10" t="s">
        <v>47</v>
      </c>
      <c r="Y156" s="16"/>
      <c r="Z156" s="17" t="s">
        <v>48</v>
      </c>
      <c r="AA156" s="6"/>
      <c r="AB156" s="18" t="n">
        <f aca="false">IF(O156="","",$D$3*PI()*(O156/1000)^2/4*3600)</f>
        <v>4.50732466151427</v>
      </c>
      <c r="AC156" s="19" t="n">
        <f aca="false">IF(OR(U156="",NOT(ISNUMBER(U156))),"",U156*$D$3^2/(2*$H$3))</f>
        <v>0.18121522967781</v>
      </c>
      <c r="AD156" s="20" t="n">
        <f aca="false">IF(OR(U156="",NOT(ISNUMBER(U156))),"",U156*$D$3^2/2*$F$3)</f>
        <v>1777.72140313932</v>
      </c>
      <c r="AE156" s="19" t="str">
        <f aca="false">IF(OR(V156="",NOT(ISNUMBER(V156))),"",V156*$D$3^2/(2*$H$3))</f>
        <v/>
      </c>
      <c r="AF156" s="20" t="str">
        <f aca="false">IF(OR(V156="",NOT(ISNUMBER(V156))),"",V156*$D$3^2/2*$F$3)</f>
        <v/>
      </c>
      <c r="AG156" s="19" t="str">
        <f aca="false">IF(OR(W156="",NOT(ISNUMBER(W156))),"",W156*$D$3^2/(2*$H$3))</f>
        <v/>
      </c>
      <c r="AH156" s="20" t="str">
        <f aca="false">IF(OR(W156="",NOT(ISNUMBER(W156))),"",W156*$D$3^2/2*$F$3)</f>
        <v/>
      </c>
    </row>
    <row r="157" customFormat="false" ht="15" hidden="false" customHeight="false" outlineLevel="0" collapsed="false">
      <c r="A157" s="10" t="s">
        <v>391</v>
      </c>
      <c r="B157" s="11" t="s">
        <v>41</v>
      </c>
      <c r="C157" s="6" t="s">
        <v>381</v>
      </c>
      <c r="D157" s="6" t="s">
        <v>392</v>
      </c>
      <c r="E157" s="6" t="s">
        <v>180</v>
      </c>
      <c r="F157" s="6" t="s">
        <v>181</v>
      </c>
      <c r="G157" s="6" t="n">
        <v>50</v>
      </c>
      <c r="H157" s="6"/>
      <c r="I157" s="6"/>
      <c r="J157" s="6" t="n">
        <v>16</v>
      </c>
      <c r="K157" s="6" t="s">
        <v>46</v>
      </c>
      <c r="L157" s="6" t="n">
        <v>108</v>
      </c>
      <c r="M157" s="6" t="n">
        <v>28</v>
      </c>
      <c r="N157" s="12" t="n">
        <v>40.8</v>
      </c>
      <c r="O157" s="12" t="n">
        <v>40.8</v>
      </c>
      <c r="P157" s="13" t="n">
        <v>35</v>
      </c>
      <c r="Q157" s="12"/>
      <c r="R157" s="14" t="n">
        <v>0.021</v>
      </c>
      <c r="S157" s="6" t="n">
        <v>30</v>
      </c>
      <c r="T157" s="6"/>
      <c r="U157" s="15" t="n">
        <f aca="false">(S157*R157+0.5*(1-(P157/N157)^2)+(1-(P157/O157)^2)^2)*(O157/P157)^4</f>
        <v>1.53599405717484</v>
      </c>
      <c r="V157" s="14"/>
      <c r="W157" s="14"/>
      <c r="X157" s="10" t="s">
        <v>47</v>
      </c>
      <c r="Y157" s="16"/>
      <c r="Z157" s="17" t="s">
        <v>48</v>
      </c>
      <c r="AA157" s="6"/>
      <c r="AB157" s="18" t="n">
        <f aca="false">IF(O157="","",$D$3*PI()*(O157/1000)^2/4*3600)</f>
        <v>7.05998807307681</v>
      </c>
      <c r="AC157" s="19" t="n">
        <f aca="false">IF(OR(U157="",NOT(ISNUMBER(U157))),"",U157*$D$3^2/(2*$H$3))</f>
        <v>0.176146107474179</v>
      </c>
      <c r="AD157" s="20" t="n">
        <f aca="false">IF(OR(U157="",NOT(ISNUMBER(U157))),"",U157*$D$3^2/2*$F$3)</f>
        <v>1727.9933143217</v>
      </c>
      <c r="AE157" s="19" t="str">
        <f aca="false">IF(OR(V157="",NOT(ISNUMBER(V157))),"",V157*$D$3^2/(2*$H$3))</f>
        <v/>
      </c>
      <c r="AF157" s="20" t="str">
        <f aca="false">IF(OR(V157="",NOT(ISNUMBER(V157))),"",V157*$D$3^2/2*$F$3)</f>
        <v/>
      </c>
      <c r="AG157" s="19" t="str">
        <f aca="false">IF(OR(W157="",NOT(ISNUMBER(W157))),"",W157*$D$3^2/(2*$H$3))</f>
        <v/>
      </c>
      <c r="AH157" s="20" t="str">
        <f aca="false">IF(OR(W157="",NOT(ISNUMBER(W157))),"",W157*$D$3^2/2*$F$3)</f>
        <v/>
      </c>
    </row>
    <row r="158" customFormat="false" ht="15" hidden="false" customHeight="false" outlineLevel="0" collapsed="false">
      <c r="A158" s="10" t="s">
        <v>393</v>
      </c>
      <c r="B158" s="11" t="s">
        <v>41</v>
      </c>
      <c r="C158" s="6" t="s">
        <v>381</v>
      </c>
      <c r="D158" s="6" t="s">
        <v>394</v>
      </c>
      <c r="E158" s="6" t="s">
        <v>180</v>
      </c>
      <c r="F158" s="6" t="s">
        <v>181</v>
      </c>
      <c r="G158" s="6" t="n">
        <v>63</v>
      </c>
      <c r="H158" s="6"/>
      <c r="I158" s="6"/>
      <c r="J158" s="6" t="n">
        <v>16</v>
      </c>
      <c r="K158" s="6" t="s">
        <v>46</v>
      </c>
      <c r="L158" s="6" t="n">
        <v>125</v>
      </c>
      <c r="M158" s="6" t="n">
        <v>32</v>
      </c>
      <c r="N158" s="12" t="n">
        <v>51.4</v>
      </c>
      <c r="O158" s="12" t="n">
        <v>51.4</v>
      </c>
      <c r="P158" s="13" t="n">
        <v>45</v>
      </c>
      <c r="Q158" s="12"/>
      <c r="R158" s="14" t="n">
        <v>0.019</v>
      </c>
      <c r="S158" s="6" t="n">
        <v>30</v>
      </c>
      <c r="T158" s="6"/>
      <c r="U158" s="15" t="n">
        <f aca="false">(S158*R158+0.5*(1-(P158/N158)^2)+(1-(P158/O158)^2)^2)*(O158/P158)^4</f>
        <v>1.26180874088999</v>
      </c>
      <c r="V158" s="14"/>
      <c r="W158" s="14"/>
      <c r="X158" s="10" t="s">
        <v>47</v>
      </c>
      <c r="Y158" s="16"/>
      <c r="Z158" s="17" t="s">
        <v>48</v>
      </c>
      <c r="AA158" s="6"/>
      <c r="AB158" s="18" t="n">
        <f aca="false">IF(O158="","",$D$3*PI()*(O158/1000)^2/4*3600)</f>
        <v>11.2049488715554</v>
      </c>
      <c r="AC158" s="19" t="n">
        <f aca="false">IF(OR(U158="",NOT(ISNUMBER(U158))),"",U158*$D$3^2/(2*$H$3))</f>
        <v>0.144702837258026</v>
      </c>
      <c r="AD158" s="20" t="n">
        <f aca="false">IF(OR(U158="",NOT(ISNUMBER(U158))),"",U158*$D$3^2/2*$F$3)</f>
        <v>1419.53483350123</v>
      </c>
      <c r="AE158" s="19" t="str">
        <f aca="false">IF(OR(V158="",NOT(ISNUMBER(V158))),"",V158*$D$3^2/(2*$H$3))</f>
        <v/>
      </c>
      <c r="AF158" s="20" t="str">
        <f aca="false">IF(OR(V158="",NOT(ISNUMBER(V158))),"",V158*$D$3^2/2*$F$3)</f>
        <v/>
      </c>
      <c r="AG158" s="19" t="str">
        <f aca="false">IF(OR(W158="",NOT(ISNUMBER(W158))),"",W158*$D$3^2/(2*$H$3))</f>
        <v/>
      </c>
      <c r="AH158" s="20" t="str">
        <f aca="false">IF(OR(W158="",NOT(ISNUMBER(W158))),"",W158*$D$3^2/2*$F$3)</f>
        <v/>
      </c>
    </row>
    <row r="159" customFormat="false" ht="15" hidden="false" customHeight="false" outlineLevel="0" collapsed="false">
      <c r="A159" s="10" t="s">
        <v>395</v>
      </c>
      <c r="B159" s="11" t="s">
        <v>41</v>
      </c>
      <c r="C159" s="6" t="s">
        <v>381</v>
      </c>
      <c r="D159" s="6" t="s">
        <v>396</v>
      </c>
      <c r="E159" s="6" t="s">
        <v>180</v>
      </c>
      <c r="F159" s="6" t="s">
        <v>181</v>
      </c>
      <c r="G159" s="6" t="n">
        <v>75</v>
      </c>
      <c r="H159" s="6"/>
      <c r="I159" s="6"/>
      <c r="J159" s="6" t="n">
        <v>10</v>
      </c>
      <c r="K159" s="6" t="s">
        <v>46</v>
      </c>
      <c r="L159" s="6" t="n">
        <v>140</v>
      </c>
      <c r="M159" s="6" t="n">
        <v>37</v>
      </c>
      <c r="N159" s="12" t="n">
        <v>61.4</v>
      </c>
      <c r="O159" s="12" t="n">
        <v>61.4</v>
      </c>
      <c r="P159" s="13" t="n">
        <v>54</v>
      </c>
      <c r="Q159" s="12"/>
      <c r="R159" s="14" t="n">
        <v>0.018</v>
      </c>
      <c r="S159" s="6" t="n">
        <v>30</v>
      </c>
      <c r="T159" s="6"/>
      <c r="U159" s="15" t="n">
        <f aca="false">(S159*R159+0.5*(1-(P159/N159)^2)+(1-(P159/O159)^2)^2)*(O159/P159)^4</f>
        <v>1.17766463483999</v>
      </c>
      <c r="V159" s="14"/>
      <c r="W159" s="14"/>
      <c r="X159" s="10" t="s">
        <v>47</v>
      </c>
      <c r="Y159" s="16"/>
      <c r="Z159" s="17" t="s">
        <v>48</v>
      </c>
      <c r="AA159" s="6"/>
      <c r="AB159" s="18" t="n">
        <f aca="false">IF(O159="","",$D$3*PI()*(O159/1000)^2/4*3600)</f>
        <v>15.988966164442</v>
      </c>
      <c r="AC159" s="19" t="n">
        <f aca="false">IF(OR(U159="",NOT(ISNUMBER(U159))),"",U159*$D$3^2/(2*$H$3))</f>
        <v>0.135053283811926</v>
      </c>
      <c r="AD159" s="20" t="n">
        <f aca="false">IF(OR(U159="",NOT(ISNUMBER(U159))),"",U159*$D$3^2/2*$F$3)</f>
        <v>1324.87271419499</v>
      </c>
      <c r="AE159" s="19" t="str">
        <f aca="false">IF(OR(V159="",NOT(ISNUMBER(V159))),"",V159*$D$3^2/(2*$H$3))</f>
        <v/>
      </c>
      <c r="AF159" s="20" t="str">
        <f aca="false">IF(OR(V159="",NOT(ISNUMBER(V159))),"",V159*$D$3^2/2*$F$3)</f>
        <v/>
      </c>
      <c r="AG159" s="19" t="str">
        <f aca="false">IF(OR(W159="",NOT(ISNUMBER(W159))),"",W159*$D$3^2/(2*$H$3))</f>
        <v/>
      </c>
      <c r="AH159" s="20" t="str">
        <f aca="false">IF(OR(W159="",NOT(ISNUMBER(W159))),"",W159*$D$3^2/2*$F$3)</f>
        <v/>
      </c>
    </row>
    <row r="160" customFormat="false" ht="15" hidden="false" customHeight="false" outlineLevel="0" collapsed="false">
      <c r="A160" s="10" t="s">
        <v>397</v>
      </c>
      <c r="B160" s="11" t="s">
        <v>41</v>
      </c>
      <c r="C160" s="6" t="s">
        <v>381</v>
      </c>
      <c r="D160" s="6" t="s">
        <v>398</v>
      </c>
      <c r="E160" s="6" t="s">
        <v>180</v>
      </c>
      <c r="F160" s="6" t="s">
        <v>181</v>
      </c>
      <c r="G160" s="6" t="n">
        <v>90</v>
      </c>
      <c r="H160" s="6"/>
      <c r="I160" s="6"/>
      <c r="J160" s="6" t="n">
        <v>10</v>
      </c>
      <c r="K160" s="6" t="s">
        <v>46</v>
      </c>
      <c r="L160" s="6" t="n">
        <v>156</v>
      </c>
      <c r="M160" s="6" t="n">
        <v>53</v>
      </c>
      <c r="N160" s="12" t="n">
        <v>73.6</v>
      </c>
      <c r="O160" s="12" t="n">
        <v>73.6</v>
      </c>
      <c r="P160" s="13" t="n">
        <v>66</v>
      </c>
      <c r="Q160" s="12"/>
      <c r="R160" s="14" t="n">
        <v>0.018</v>
      </c>
      <c r="S160" s="6" t="n">
        <v>30</v>
      </c>
      <c r="T160" s="6"/>
      <c r="U160" s="15" t="n">
        <f aca="false">(S160*R160+0.5*(1-(P160/N160)^2)+(1-(P160/O160)^2)^2)*(O160/P160)^4</f>
        <v>1.04584807445353</v>
      </c>
      <c r="V160" s="14"/>
      <c r="W160" s="14"/>
      <c r="X160" s="10" t="s">
        <v>47</v>
      </c>
      <c r="Y160" s="16"/>
      <c r="Z160" s="17" t="s">
        <v>48</v>
      </c>
      <c r="AA160" s="6"/>
      <c r="AB160" s="18" t="n">
        <f aca="false">IF(O160="","",$D$3*PI()*(O160/1000)^2/4*3600)</f>
        <v>22.9741403500662</v>
      </c>
      <c r="AC160" s="19" t="n">
        <f aca="false">IF(OR(U160="",NOT(ISNUMBER(U160))),"",U160*$D$3^2/(2*$H$3))</f>
        <v>0.119936705785955</v>
      </c>
      <c r="AD160" s="20" t="n">
        <f aca="false">IF(OR(U160="",NOT(ISNUMBER(U160))),"",U160*$D$3^2/2*$F$3)</f>
        <v>1176.57908376022</v>
      </c>
      <c r="AE160" s="19" t="str">
        <f aca="false">IF(OR(V160="",NOT(ISNUMBER(V160))),"",V160*$D$3^2/(2*$H$3))</f>
        <v/>
      </c>
      <c r="AF160" s="20" t="str">
        <f aca="false">IF(OR(V160="",NOT(ISNUMBER(V160))),"",V160*$D$3^2/2*$F$3)</f>
        <v/>
      </c>
      <c r="AG160" s="19" t="str">
        <f aca="false">IF(OR(W160="",NOT(ISNUMBER(W160))),"",W160*$D$3^2/(2*$H$3))</f>
        <v/>
      </c>
      <c r="AH160" s="20" t="str">
        <f aca="false">IF(OR(W160="",NOT(ISNUMBER(W160))),"",W160*$D$3^2/2*$F$3)</f>
        <v/>
      </c>
    </row>
    <row r="161" customFormat="false" ht="15" hidden="false" customHeight="false" outlineLevel="0" collapsed="false">
      <c r="A161" s="10" t="s">
        <v>399</v>
      </c>
      <c r="B161" s="11" t="s">
        <v>41</v>
      </c>
      <c r="C161" s="6" t="s">
        <v>381</v>
      </c>
      <c r="D161" s="6" t="s">
        <v>400</v>
      </c>
      <c r="E161" s="6" t="s">
        <v>180</v>
      </c>
      <c r="F161" s="6" t="s">
        <v>181</v>
      </c>
      <c r="G161" s="6" t="n">
        <v>110</v>
      </c>
      <c r="H161" s="6"/>
      <c r="I161" s="6"/>
      <c r="J161" s="6" t="n">
        <v>10</v>
      </c>
      <c r="K161" s="6" t="s">
        <v>46</v>
      </c>
      <c r="L161" s="6" t="n">
        <v>176</v>
      </c>
      <c r="M161" s="6" t="n">
        <v>63</v>
      </c>
      <c r="N161" s="12" t="n">
        <v>90</v>
      </c>
      <c r="O161" s="12" t="n">
        <v>90</v>
      </c>
      <c r="P161" s="13" t="n">
        <v>81</v>
      </c>
      <c r="Q161" s="12"/>
      <c r="R161" s="14" t="n">
        <v>0.017</v>
      </c>
      <c r="S161" s="6" t="n">
        <v>30</v>
      </c>
      <c r="T161" s="6"/>
      <c r="U161" s="15" t="n">
        <f aca="false">(S161*R161+0.5*(1-(P161/N161)^2)+(1-(P161/O161)^2)^2)*(O161/P161)^4</f>
        <v>0.977137631458619</v>
      </c>
      <c r="V161" s="14"/>
      <c r="W161" s="14"/>
      <c r="X161" s="10" t="s">
        <v>47</v>
      </c>
      <c r="Y161" s="16"/>
      <c r="Z161" s="17" t="s">
        <v>48</v>
      </c>
      <c r="AA161" s="6"/>
      <c r="AB161" s="18" t="n">
        <f aca="false">IF(O161="","",$D$3*PI()*(O161/1000)^2/4*3600)</f>
        <v>34.3533156670044</v>
      </c>
      <c r="AC161" s="19" t="n">
        <f aca="false">IF(OR(U161="",NOT(ISNUMBER(U161))),"",U161*$D$3^2/(2*$H$3))</f>
        <v>0.112057067827823</v>
      </c>
      <c r="AD161" s="20" t="n">
        <f aca="false">IF(OR(U161="",NOT(ISNUMBER(U161))),"",U161*$D$3^2/2*$F$3)</f>
        <v>1099.27983539095</v>
      </c>
      <c r="AE161" s="19" t="str">
        <f aca="false">IF(OR(V161="",NOT(ISNUMBER(V161))),"",V161*$D$3^2/(2*$H$3))</f>
        <v/>
      </c>
      <c r="AF161" s="20" t="str">
        <f aca="false">IF(OR(V161="",NOT(ISNUMBER(V161))),"",V161*$D$3^2/2*$F$3)</f>
        <v/>
      </c>
      <c r="AG161" s="19" t="str">
        <f aca="false">IF(OR(W161="",NOT(ISNUMBER(W161))),"",W161*$D$3^2/(2*$H$3))</f>
        <v/>
      </c>
      <c r="AH161" s="20" t="str">
        <f aca="false">IF(OR(W161="",NOT(ISNUMBER(W161))),"",W161*$D$3^2/2*$F$3)</f>
        <v/>
      </c>
    </row>
    <row r="162" customFormat="false" ht="15" hidden="false" customHeight="false" outlineLevel="0" collapsed="false">
      <c r="A162" s="10" t="s">
        <v>401</v>
      </c>
      <c r="B162" s="11" t="s">
        <v>41</v>
      </c>
      <c r="C162" s="6" t="s">
        <v>381</v>
      </c>
      <c r="D162" s="6" t="s">
        <v>402</v>
      </c>
      <c r="E162" s="6" t="s">
        <v>221</v>
      </c>
      <c r="F162" s="6" t="s">
        <v>181</v>
      </c>
      <c r="G162" s="6" t="n">
        <v>16</v>
      </c>
      <c r="H162" s="6"/>
      <c r="I162" s="6" t="s">
        <v>403</v>
      </c>
      <c r="J162" s="6" t="n">
        <v>10</v>
      </c>
      <c r="K162" s="6" t="s">
        <v>46</v>
      </c>
      <c r="L162" s="6" t="n">
        <v>49</v>
      </c>
      <c r="M162" s="6" t="n">
        <v>13</v>
      </c>
      <c r="N162" s="12" t="n">
        <v>12</v>
      </c>
      <c r="O162" s="12" t="n">
        <v>12</v>
      </c>
      <c r="P162" s="13" t="n">
        <v>10</v>
      </c>
      <c r="Q162" s="12"/>
      <c r="R162" s="14" t="n">
        <v>0.027</v>
      </c>
      <c r="S162" s="6" t="n">
        <v>30</v>
      </c>
      <c r="T162" s="6"/>
      <c r="U162" s="15" t="n">
        <f aca="false">(S162*R162+0.5*(1-(P162/N162)^2)+(1-(P162/O162)^2)^2)*(O162/P162)^4</f>
        <v>2.190016</v>
      </c>
      <c r="V162" s="14"/>
      <c r="W162" s="14"/>
      <c r="X162" s="10" t="s">
        <v>47</v>
      </c>
      <c r="Y162" s="16"/>
      <c r="Z162" s="17" t="s">
        <v>48</v>
      </c>
      <c r="AA162" s="6"/>
      <c r="AB162" s="18" t="n">
        <f aca="false">IF(O162="","",$D$3*PI()*(O162/1000)^2/4*3600)</f>
        <v>0.610725611857856</v>
      </c>
      <c r="AC162" s="19" t="n">
        <f aca="false">IF(OR(U162="",NOT(ISNUMBER(U162))),"",U162*$D$3^2/(2*$H$3))</f>
        <v>0.251148623853211</v>
      </c>
      <c r="AD162" s="20" t="n">
        <f aca="false">IF(OR(U162="",NOT(ISNUMBER(U162))),"",U162*$D$3^2/2*$F$3)</f>
        <v>2463.768</v>
      </c>
      <c r="AE162" s="19" t="str">
        <f aca="false">IF(OR(V162="",NOT(ISNUMBER(V162))),"",V162*$D$3^2/(2*$H$3))</f>
        <v/>
      </c>
      <c r="AF162" s="20" t="str">
        <f aca="false">IF(OR(V162="",NOT(ISNUMBER(V162))),"",V162*$D$3^2/2*$F$3)</f>
        <v/>
      </c>
      <c r="AG162" s="19" t="str">
        <f aca="false">IF(OR(W162="",NOT(ISNUMBER(W162))),"",W162*$D$3^2/(2*$H$3))</f>
        <v/>
      </c>
      <c r="AH162" s="20" t="str">
        <f aca="false">IF(OR(W162="",NOT(ISNUMBER(W162))),"",W162*$D$3^2/2*$F$3)</f>
        <v/>
      </c>
    </row>
    <row r="163" customFormat="false" ht="15" hidden="false" customHeight="false" outlineLevel="0" collapsed="false">
      <c r="A163" s="10" t="s">
        <v>404</v>
      </c>
      <c r="B163" s="11" t="s">
        <v>41</v>
      </c>
      <c r="C163" s="6" t="s">
        <v>381</v>
      </c>
      <c r="D163" s="6" t="s">
        <v>405</v>
      </c>
      <c r="E163" s="6" t="s">
        <v>221</v>
      </c>
      <c r="F163" s="6" t="s">
        <v>181</v>
      </c>
      <c r="G163" s="6" t="n">
        <v>16</v>
      </c>
      <c r="H163" s="6"/>
      <c r="I163" s="6" t="s">
        <v>108</v>
      </c>
      <c r="J163" s="6" t="n">
        <v>10</v>
      </c>
      <c r="K163" s="6" t="s">
        <v>46</v>
      </c>
      <c r="L163" s="6" t="n">
        <v>49</v>
      </c>
      <c r="M163" s="6" t="n">
        <v>13</v>
      </c>
      <c r="N163" s="12" t="n">
        <v>12</v>
      </c>
      <c r="O163" s="12" t="n">
        <v>12</v>
      </c>
      <c r="P163" s="13" t="n">
        <v>10</v>
      </c>
      <c r="Q163" s="12"/>
      <c r="R163" s="14" t="n">
        <v>0.027</v>
      </c>
      <c r="S163" s="6" t="n">
        <v>30</v>
      </c>
      <c r="T163" s="6"/>
      <c r="U163" s="15" t="n">
        <f aca="false">(S163*R163+0.5*(1-(P163/N163)^2)+(1-(P163/O163)^2)^2)*(O163/P163)^4</f>
        <v>2.190016</v>
      </c>
      <c r="V163" s="14"/>
      <c r="W163" s="14"/>
      <c r="X163" s="10" t="s">
        <v>47</v>
      </c>
      <c r="Y163" s="16"/>
      <c r="Z163" s="17" t="s">
        <v>48</v>
      </c>
      <c r="AA163" s="6"/>
      <c r="AB163" s="18" t="n">
        <f aca="false">IF(O163="","",$D$3*PI()*(O163/1000)^2/4*3600)</f>
        <v>0.610725611857856</v>
      </c>
      <c r="AC163" s="19" t="n">
        <f aca="false">IF(OR(U163="",NOT(ISNUMBER(U163))),"",U163*$D$3^2/(2*$H$3))</f>
        <v>0.251148623853211</v>
      </c>
      <c r="AD163" s="20" t="n">
        <f aca="false">IF(OR(U163="",NOT(ISNUMBER(U163))),"",U163*$D$3^2/2*$F$3)</f>
        <v>2463.768</v>
      </c>
      <c r="AE163" s="19" t="str">
        <f aca="false">IF(OR(V163="",NOT(ISNUMBER(V163))),"",V163*$D$3^2/(2*$H$3))</f>
        <v/>
      </c>
      <c r="AF163" s="20" t="str">
        <f aca="false">IF(OR(V163="",NOT(ISNUMBER(V163))),"",V163*$D$3^2/2*$F$3)</f>
        <v/>
      </c>
      <c r="AG163" s="19" t="str">
        <f aca="false">IF(OR(W163="",NOT(ISNUMBER(W163))),"",W163*$D$3^2/(2*$H$3))</f>
        <v/>
      </c>
      <c r="AH163" s="20" t="str">
        <f aca="false">IF(OR(W163="",NOT(ISNUMBER(W163))),"",W163*$D$3^2/2*$F$3)</f>
        <v/>
      </c>
    </row>
    <row r="164" customFormat="false" ht="15" hidden="false" customHeight="false" outlineLevel="0" collapsed="false">
      <c r="A164" s="10" t="s">
        <v>406</v>
      </c>
      <c r="B164" s="11" t="s">
        <v>41</v>
      </c>
      <c r="C164" s="6" t="s">
        <v>381</v>
      </c>
      <c r="D164" s="6" t="s">
        <v>407</v>
      </c>
      <c r="E164" s="6" t="s">
        <v>221</v>
      </c>
      <c r="F164" s="6" t="s">
        <v>181</v>
      </c>
      <c r="G164" s="6" t="n">
        <v>20</v>
      </c>
      <c r="H164" s="6"/>
      <c r="I164" s="6" t="s">
        <v>108</v>
      </c>
      <c r="J164" s="6" t="n">
        <v>10</v>
      </c>
      <c r="K164" s="6" t="s">
        <v>46</v>
      </c>
      <c r="L164" s="6" t="n">
        <v>49</v>
      </c>
      <c r="M164" s="6" t="n">
        <v>13</v>
      </c>
      <c r="N164" s="12" t="n">
        <v>16</v>
      </c>
      <c r="O164" s="12" t="n">
        <v>16</v>
      </c>
      <c r="P164" s="13" t="n">
        <v>13</v>
      </c>
      <c r="Q164" s="12"/>
      <c r="R164" s="14" t="n">
        <v>0.027</v>
      </c>
      <c r="S164" s="6" t="n">
        <v>30</v>
      </c>
      <c r="T164" s="6"/>
      <c r="U164" s="15" t="n">
        <f aca="false">(S164*R164+0.5*(1-(P164/N164)^2)+(1-(P164/O164)^2)^2)*(O164/P164)^4</f>
        <v>2.51353804138511</v>
      </c>
      <c r="V164" s="14"/>
      <c r="W164" s="14"/>
      <c r="X164" s="10" t="s">
        <v>47</v>
      </c>
      <c r="Y164" s="16"/>
      <c r="Z164" s="17" t="s">
        <v>48</v>
      </c>
      <c r="AA164" s="6"/>
      <c r="AB164" s="18" t="n">
        <f aca="false">IF(O164="","",$D$3*PI()*(O164/1000)^2/4*3600)</f>
        <v>1.08573442108063</v>
      </c>
      <c r="AC164" s="19" t="n">
        <f aca="false">IF(OR(U164="",NOT(ISNUMBER(U164))),"",U164*$D$3^2/(2*$H$3))</f>
        <v>0.2882497753882</v>
      </c>
      <c r="AD164" s="20" t="n">
        <f aca="false">IF(OR(U164="",NOT(ISNUMBER(U164))),"",U164*$D$3^2/2*$F$3)</f>
        <v>2827.73029655824</v>
      </c>
      <c r="AE164" s="19" t="str">
        <f aca="false">IF(OR(V164="",NOT(ISNUMBER(V164))),"",V164*$D$3^2/(2*$H$3))</f>
        <v/>
      </c>
      <c r="AF164" s="20" t="str">
        <f aca="false">IF(OR(V164="",NOT(ISNUMBER(V164))),"",V164*$D$3^2/2*$F$3)</f>
        <v/>
      </c>
      <c r="AG164" s="19" t="str">
        <f aca="false">IF(OR(W164="",NOT(ISNUMBER(W164))),"",W164*$D$3^2/(2*$H$3))</f>
        <v/>
      </c>
      <c r="AH164" s="20" t="str">
        <f aca="false">IF(OR(W164="",NOT(ISNUMBER(W164))),"",W164*$D$3^2/2*$F$3)</f>
        <v/>
      </c>
    </row>
    <row r="165" customFormat="false" ht="15" hidden="false" customHeight="false" outlineLevel="0" collapsed="false">
      <c r="A165" s="10" t="s">
        <v>408</v>
      </c>
      <c r="B165" s="11" t="s">
        <v>41</v>
      </c>
      <c r="C165" s="6" t="s">
        <v>381</v>
      </c>
      <c r="D165" s="6" t="s">
        <v>409</v>
      </c>
      <c r="E165" s="6" t="s">
        <v>221</v>
      </c>
      <c r="F165" s="6" t="s">
        <v>181</v>
      </c>
      <c r="G165" s="6" t="n">
        <v>20</v>
      </c>
      <c r="H165" s="6"/>
      <c r="I165" s="6" t="s">
        <v>111</v>
      </c>
      <c r="J165" s="6" t="n">
        <v>10</v>
      </c>
      <c r="K165" s="6" t="s">
        <v>46</v>
      </c>
      <c r="L165" s="6" t="n">
        <v>49</v>
      </c>
      <c r="M165" s="6" t="n">
        <v>13</v>
      </c>
      <c r="N165" s="12" t="n">
        <v>16</v>
      </c>
      <c r="O165" s="12" t="n">
        <v>16</v>
      </c>
      <c r="P165" s="13" t="n">
        <v>13</v>
      </c>
      <c r="Q165" s="12"/>
      <c r="R165" s="14" t="n">
        <v>0.027</v>
      </c>
      <c r="S165" s="6" t="n">
        <v>30</v>
      </c>
      <c r="T165" s="6"/>
      <c r="U165" s="15" t="n">
        <f aca="false">(S165*R165+0.5*(1-(P165/N165)^2)+(1-(P165/O165)^2)^2)*(O165/P165)^4</f>
        <v>2.51353804138511</v>
      </c>
      <c r="V165" s="14"/>
      <c r="W165" s="14"/>
      <c r="X165" s="10" t="s">
        <v>47</v>
      </c>
      <c r="Y165" s="16"/>
      <c r="Z165" s="17" t="s">
        <v>48</v>
      </c>
      <c r="AA165" s="6"/>
      <c r="AB165" s="18" t="n">
        <f aca="false">IF(O165="","",$D$3*PI()*(O165/1000)^2/4*3600)</f>
        <v>1.08573442108063</v>
      </c>
      <c r="AC165" s="19" t="n">
        <f aca="false">IF(OR(U165="",NOT(ISNUMBER(U165))),"",U165*$D$3^2/(2*$H$3))</f>
        <v>0.2882497753882</v>
      </c>
      <c r="AD165" s="20" t="n">
        <f aca="false">IF(OR(U165="",NOT(ISNUMBER(U165))),"",U165*$D$3^2/2*$F$3)</f>
        <v>2827.73029655824</v>
      </c>
      <c r="AE165" s="19" t="str">
        <f aca="false">IF(OR(V165="",NOT(ISNUMBER(V165))),"",V165*$D$3^2/(2*$H$3))</f>
        <v/>
      </c>
      <c r="AF165" s="20" t="str">
        <f aca="false">IF(OR(V165="",NOT(ISNUMBER(V165))),"",V165*$D$3^2/2*$F$3)</f>
        <v/>
      </c>
      <c r="AG165" s="19" t="str">
        <f aca="false">IF(OR(W165="",NOT(ISNUMBER(W165))),"",W165*$D$3^2/(2*$H$3))</f>
        <v/>
      </c>
      <c r="AH165" s="20" t="str">
        <f aca="false">IF(OR(W165="",NOT(ISNUMBER(W165))),"",W165*$D$3^2/2*$F$3)</f>
        <v/>
      </c>
    </row>
    <row r="166" customFormat="false" ht="15" hidden="false" customHeight="false" outlineLevel="0" collapsed="false">
      <c r="A166" s="10" t="s">
        <v>410</v>
      </c>
      <c r="B166" s="11" t="s">
        <v>41</v>
      </c>
      <c r="C166" s="6" t="s">
        <v>381</v>
      </c>
      <c r="D166" s="6" t="s">
        <v>411</v>
      </c>
      <c r="E166" s="6" t="s">
        <v>221</v>
      </c>
      <c r="F166" s="6" t="s">
        <v>181</v>
      </c>
      <c r="G166" s="6" t="n">
        <v>25</v>
      </c>
      <c r="H166" s="6"/>
      <c r="I166" s="6" t="s">
        <v>108</v>
      </c>
      <c r="J166" s="6" t="n">
        <v>10</v>
      </c>
      <c r="K166" s="6" t="s">
        <v>46</v>
      </c>
      <c r="L166" s="6" t="n">
        <v>58</v>
      </c>
      <c r="M166" s="6" t="n">
        <v>16</v>
      </c>
      <c r="N166" s="12" t="n">
        <v>20.4</v>
      </c>
      <c r="O166" s="12" t="n">
        <v>20.4</v>
      </c>
      <c r="P166" s="13" t="n">
        <v>17</v>
      </c>
      <c r="Q166" s="12"/>
      <c r="R166" s="14" t="n">
        <v>0.025</v>
      </c>
      <c r="S166" s="6" t="n">
        <v>30</v>
      </c>
      <c r="T166" s="6"/>
      <c r="U166" s="15" t="n">
        <f aca="false">(S166*R166+0.5*(1-(P166/N166)^2)+(1-(P166/O166)^2)^2)*(O166/P166)^4</f>
        <v>2.0656</v>
      </c>
      <c r="V166" s="14"/>
      <c r="W166" s="14"/>
      <c r="X166" s="10" t="s">
        <v>47</v>
      </c>
      <c r="Y166" s="16"/>
      <c r="Z166" s="17" t="s">
        <v>48</v>
      </c>
      <c r="AA166" s="6"/>
      <c r="AB166" s="18" t="n">
        <f aca="false">IF(O166="","",$D$3*PI()*(O166/1000)^2/4*3600)</f>
        <v>1.7649970182692</v>
      </c>
      <c r="AC166" s="19" t="n">
        <f aca="false">IF(OR(U166="",NOT(ISNUMBER(U166))),"",U166*$D$3^2/(2*$H$3))</f>
        <v>0.236880733944954</v>
      </c>
      <c r="AD166" s="20" t="n">
        <f aca="false">IF(OR(U166="",NOT(ISNUMBER(U166))),"",U166*$D$3^2/2*$F$3)</f>
        <v>2323.8</v>
      </c>
      <c r="AE166" s="19" t="str">
        <f aca="false">IF(OR(V166="",NOT(ISNUMBER(V166))),"",V166*$D$3^2/(2*$H$3))</f>
        <v/>
      </c>
      <c r="AF166" s="20" t="str">
        <f aca="false">IF(OR(V166="",NOT(ISNUMBER(V166))),"",V166*$D$3^2/2*$F$3)</f>
        <v/>
      </c>
      <c r="AG166" s="19" t="str">
        <f aca="false">IF(OR(W166="",NOT(ISNUMBER(W166))),"",W166*$D$3^2/(2*$H$3))</f>
        <v/>
      </c>
      <c r="AH166" s="20" t="str">
        <f aca="false">IF(OR(W166="",NOT(ISNUMBER(W166))),"",W166*$D$3^2/2*$F$3)</f>
        <v/>
      </c>
    </row>
    <row r="167" customFormat="false" ht="15" hidden="false" customHeight="false" outlineLevel="0" collapsed="false">
      <c r="A167" s="10" t="s">
        <v>412</v>
      </c>
      <c r="B167" s="11" t="s">
        <v>41</v>
      </c>
      <c r="C167" s="6" t="s">
        <v>381</v>
      </c>
      <c r="D167" s="6" t="s">
        <v>413</v>
      </c>
      <c r="E167" s="6" t="s">
        <v>221</v>
      </c>
      <c r="F167" s="6" t="s">
        <v>181</v>
      </c>
      <c r="G167" s="6" t="n">
        <v>25</v>
      </c>
      <c r="H167" s="6"/>
      <c r="I167" s="6" t="s">
        <v>111</v>
      </c>
      <c r="J167" s="6" t="n">
        <v>10</v>
      </c>
      <c r="K167" s="6" t="s">
        <v>46</v>
      </c>
      <c r="L167" s="6" t="n">
        <v>58</v>
      </c>
      <c r="M167" s="6" t="n">
        <v>16</v>
      </c>
      <c r="N167" s="12" t="n">
        <v>20.4</v>
      </c>
      <c r="O167" s="12" t="n">
        <v>20.4</v>
      </c>
      <c r="P167" s="13" t="n">
        <v>17</v>
      </c>
      <c r="Q167" s="12"/>
      <c r="R167" s="14" t="n">
        <v>0.025</v>
      </c>
      <c r="S167" s="6" t="n">
        <v>30</v>
      </c>
      <c r="T167" s="6"/>
      <c r="U167" s="15" t="n">
        <f aca="false">(S167*R167+0.5*(1-(P167/N167)^2)+(1-(P167/O167)^2)^2)*(O167/P167)^4</f>
        <v>2.0656</v>
      </c>
      <c r="V167" s="14"/>
      <c r="W167" s="14"/>
      <c r="X167" s="10" t="s">
        <v>47</v>
      </c>
      <c r="Y167" s="16"/>
      <c r="Z167" s="17" t="s">
        <v>48</v>
      </c>
      <c r="AA167" s="6"/>
      <c r="AB167" s="18" t="n">
        <f aca="false">IF(O167="","",$D$3*PI()*(O167/1000)^2/4*3600)</f>
        <v>1.7649970182692</v>
      </c>
      <c r="AC167" s="19" t="n">
        <f aca="false">IF(OR(U167="",NOT(ISNUMBER(U167))),"",U167*$D$3^2/(2*$H$3))</f>
        <v>0.236880733944954</v>
      </c>
      <c r="AD167" s="20" t="n">
        <f aca="false">IF(OR(U167="",NOT(ISNUMBER(U167))),"",U167*$D$3^2/2*$F$3)</f>
        <v>2323.8</v>
      </c>
      <c r="AE167" s="19" t="str">
        <f aca="false">IF(OR(V167="",NOT(ISNUMBER(V167))),"",V167*$D$3^2/(2*$H$3))</f>
        <v/>
      </c>
      <c r="AF167" s="20" t="str">
        <f aca="false">IF(OR(V167="",NOT(ISNUMBER(V167))),"",V167*$D$3^2/2*$F$3)</f>
        <v/>
      </c>
      <c r="AG167" s="19" t="str">
        <f aca="false">IF(OR(W167="",NOT(ISNUMBER(W167))),"",W167*$D$3^2/(2*$H$3))</f>
        <v/>
      </c>
      <c r="AH167" s="20" t="str">
        <f aca="false">IF(OR(W167="",NOT(ISNUMBER(W167))),"",W167*$D$3^2/2*$F$3)</f>
        <v/>
      </c>
    </row>
    <row r="168" customFormat="false" ht="15" hidden="false" customHeight="false" outlineLevel="0" collapsed="false">
      <c r="A168" s="10" t="s">
        <v>414</v>
      </c>
      <c r="B168" s="11" t="s">
        <v>41</v>
      </c>
      <c r="C168" s="6" t="s">
        <v>381</v>
      </c>
      <c r="D168" s="6" t="s">
        <v>415</v>
      </c>
      <c r="E168" s="6" t="s">
        <v>221</v>
      </c>
      <c r="F168" s="6" t="s">
        <v>181</v>
      </c>
      <c r="G168" s="6" t="n">
        <v>32</v>
      </c>
      <c r="H168" s="6"/>
      <c r="I168" s="6" t="s">
        <v>108</v>
      </c>
      <c r="J168" s="6" t="n">
        <v>10</v>
      </c>
      <c r="K168" s="6" t="s">
        <v>46</v>
      </c>
      <c r="L168" s="6" t="n">
        <v>81</v>
      </c>
      <c r="M168" s="6" t="n">
        <v>18</v>
      </c>
      <c r="N168" s="12" t="n">
        <v>26.2</v>
      </c>
      <c r="O168" s="12" t="n">
        <v>26.2</v>
      </c>
      <c r="P168" s="13" t="n">
        <v>22</v>
      </c>
      <c r="Q168" s="12"/>
      <c r="R168" s="14" t="n">
        <v>0.023</v>
      </c>
      <c r="S168" s="6" t="n">
        <v>30</v>
      </c>
      <c r="T168" s="6"/>
      <c r="U168" s="15" t="n">
        <f aca="false">(S168*R168+0.5*(1-(P168/N168)^2)+(1-(P168/O168)^2)^2)*(O168/P168)^4</f>
        <v>1.85946709234342</v>
      </c>
      <c r="V168" s="14"/>
      <c r="W168" s="14"/>
      <c r="X168" s="10" t="s">
        <v>47</v>
      </c>
      <c r="Y168" s="16"/>
      <c r="Z168" s="17" t="s">
        <v>48</v>
      </c>
      <c r="AA168" s="6"/>
      <c r="AB168" s="18" t="n">
        <f aca="false">IF(O168="","",$D$3*PI()*(O168/1000)^2/4*3600)</f>
        <v>2.91129506252574</v>
      </c>
      <c r="AC168" s="19" t="n">
        <f aca="false">IF(OR(U168="",NOT(ISNUMBER(U168))),"",U168*$D$3^2/(2*$H$3))</f>
        <v>0.213241639030209</v>
      </c>
      <c r="AD168" s="20" t="n">
        <f aca="false">IF(OR(U168="",NOT(ISNUMBER(U168))),"",U168*$D$3^2/2*$F$3)</f>
        <v>2091.90047888635</v>
      </c>
      <c r="AE168" s="19" t="str">
        <f aca="false">IF(OR(V168="",NOT(ISNUMBER(V168))),"",V168*$D$3^2/(2*$H$3))</f>
        <v/>
      </c>
      <c r="AF168" s="20" t="str">
        <f aca="false">IF(OR(V168="",NOT(ISNUMBER(V168))),"",V168*$D$3^2/2*$F$3)</f>
        <v/>
      </c>
      <c r="AG168" s="19" t="str">
        <f aca="false">IF(OR(W168="",NOT(ISNUMBER(W168))),"",W168*$D$3^2/(2*$H$3))</f>
        <v/>
      </c>
      <c r="AH168" s="20" t="str">
        <f aca="false">IF(OR(W168="",NOT(ISNUMBER(W168))),"",W168*$D$3^2/2*$F$3)</f>
        <v/>
      </c>
    </row>
    <row r="169" customFormat="false" ht="15" hidden="false" customHeight="false" outlineLevel="0" collapsed="false">
      <c r="A169" s="10" t="s">
        <v>416</v>
      </c>
      <c r="B169" s="11" t="s">
        <v>41</v>
      </c>
      <c r="C169" s="6" t="s">
        <v>381</v>
      </c>
      <c r="D169" s="6" t="s">
        <v>417</v>
      </c>
      <c r="E169" s="6" t="s">
        <v>221</v>
      </c>
      <c r="F169" s="6" t="s">
        <v>181</v>
      </c>
      <c r="G169" s="6" t="n">
        <v>32</v>
      </c>
      <c r="H169" s="6"/>
      <c r="I169" s="6" t="s">
        <v>111</v>
      </c>
      <c r="J169" s="6" t="n">
        <v>10</v>
      </c>
      <c r="K169" s="6" t="s">
        <v>46</v>
      </c>
      <c r="L169" s="6" t="n">
        <v>81</v>
      </c>
      <c r="M169" s="6" t="n">
        <v>18</v>
      </c>
      <c r="N169" s="12" t="n">
        <v>26.2</v>
      </c>
      <c r="O169" s="12" t="n">
        <v>26.2</v>
      </c>
      <c r="P169" s="13" t="n">
        <v>22</v>
      </c>
      <c r="Q169" s="12"/>
      <c r="R169" s="14" t="n">
        <v>0.023</v>
      </c>
      <c r="S169" s="6" t="n">
        <v>30</v>
      </c>
      <c r="T169" s="6"/>
      <c r="U169" s="15" t="n">
        <f aca="false">(S169*R169+0.5*(1-(P169/N169)^2)+(1-(P169/O169)^2)^2)*(O169/P169)^4</f>
        <v>1.85946709234342</v>
      </c>
      <c r="V169" s="14"/>
      <c r="W169" s="14"/>
      <c r="X169" s="10" t="s">
        <v>47</v>
      </c>
      <c r="Y169" s="16"/>
      <c r="Z169" s="17" t="s">
        <v>48</v>
      </c>
      <c r="AA169" s="6"/>
      <c r="AB169" s="18" t="n">
        <f aca="false">IF(O169="","",$D$3*PI()*(O169/1000)^2/4*3600)</f>
        <v>2.91129506252574</v>
      </c>
      <c r="AC169" s="19" t="n">
        <f aca="false">IF(OR(U169="",NOT(ISNUMBER(U169))),"",U169*$D$3^2/(2*$H$3))</f>
        <v>0.213241639030209</v>
      </c>
      <c r="AD169" s="20" t="n">
        <f aca="false">IF(OR(U169="",NOT(ISNUMBER(U169))),"",U169*$D$3^2/2*$F$3)</f>
        <v>2091.90047888635</v>
      </c>
      <c r="AE169" s="19" t="str">
        <f aca="false">IF(OR(V169="",NOT(ISNUMBER(V169))),"",V169*$D$3^2/(2*$H$3))</f>
        <v/>
      </c>
      <c r="AF169" s="20" t="str">
        <f aca="false">IF(OR(V169="",NOT(ISNUMBER(V169))),"",V169*$D$3^2/2*$F$3)</f>
        <v/>
      </c>
      <c r="AG169" s="19" t="str">
        <f aca="false">IF(OR(W169="",NOT(ISNUMBER(W169))),"",W169*$D$3^2/(2*$H$3))</f>
        <v/>
      </c>
      <c r="AH169" s="20" t="str">
        <f aca="false">IF(OR(W169="",NOT(ISNUMBER(W169))),"",W169*$D$3^2/2*$F$3)</f>
        <v/>
      </c>
    </row>
    <row r="170" customFormat="false" ht="15" hidden="false" customHeight="false" outlineLevel="0" collapsed="false">
      <c r="A170" s="10" t="s">
        <v>418</v>
      </c>
      <c r="B170" s="11" t="s">
        <v>41</v>
      </c>
      <c r="C170" s="6" t="s">
        <v>381</v>
      </c>
      <c r="D170" s="6" t="s">
        <v>419</v>
      </c>
      <c r="E170" s="6" t="s">
        <v>221</v>
      </c>
      <c r="F170" s="6" t="s">
        <v>181</v>
      </c>
      <c r="G170" s="6" t="n">
        <v>32</v>
      </c>
      <c r="H170" s="6"/>
      <c r="I170" s="6" t="s">
        <v>118</v>
      </c>
      <c r="J170" s="6" t="n">
        <v>10</v>
      </c>
      <c r="K170" s="6" t="s">
        <v>46</v>
      </c>
      <c r="L170" s="6" t="n">
        <v>81</v>
      </c>
      <c r="M170" s="6" t="n">
        <v>18</v>
      </c>
      <c r="N170" s="12" t="n">
        <v>26.2</v>
      </c>
      <c r="O170" s="12" t="n">
        <v>26.2</v>
      </c>
      <c r="P170" s="13" t="n">
        <v>22</v>
      </c>
      <c r="Q170" s="12"/>
      <c r="R170" s="14" t="n">
        <v>0.023</v>
      </c>
      <c r="S170" s="6" t="n">
        <v>30</v>
      </c>
      <c r="T170" s="6"/>
      <c r="U170" s="15" t="n">
        <f aca="false">(S170*R170+0.5*(1-(P170/N170)^2)+(1-(P170/O170)^2)^2)*(O170/P170)^4</f>
        <v>1.85946709234342</v>
      </c>
      <c r="V170" s="14"/>
      <c r="W170" s="14"/>
      <c r="X170" s="10" t="s">
        <v>47</v>
      </c>
      <c r="Y170" s="16"/>
      <c r="Z170" s="17" t="s">
        <v>48</v>
      </c>
      <c r="AA170" s="6"/>
      <c r="AB170" s="18" t="n">
        <f aca="false">IF(O170="","",$D$3*PI()*(O170/1000)^2/4*3600)</f>
        <v>2.91129506252574</v>
      </c>
      <c r="AC170" s="19" t="n">
        <f aca="false">IF(OR(U170="",NOT(ISNUMBER(U170))),"",U170*$D$3^2/(2*$H$3))</f>
        <v>0.213241639030209</v>
      </c>
      <c r="AD170" s="20" t="n">
        <f aca="false">IF(OR(U170="",NOT(ISNUMBER(U170))),"",U170*$D$3^2/2*$F$3)</f>
        <v>2091.90047888635</v>
      </c>
      <c r="AE170" s="19" t="str">
        <f aca="false">IF(OR(V170="",NOT(ISNUMBER(V170))),"",V170*$D$3^2/(2*$H$3))</f>
        <v/>
      </c>
      <c r="AF170" s="20" t="str">
        <f aca="false">IF(OR(V170="",NOT(ISNUMBER(V170))),"",V170*$D$3^2/2*$F$3)</f>
        <v/>
      </c>
      <c r="AG170" s="19" t="str">
        <f aca="false">IF(OR(W170="",NOT(ISNUMBER(W170))),"",W170*$D$3^2/(2*$H$3))</f>
        <v/>
      </c>
      <c r="AH170" s="20" t="str">
        <f aca="false">IF(OR(W170="",NOT(ISNUMBER(W170))),"",W170*$D$3^2/2*$F$3)</f>
        <v/>
      </c>
    </row>
    <row r="171" customFormat="false" ht="15" hidden="false" customHeight="false" outlineLevel="0" collapsed="false">
      <c r="A171" s="10" t="s">
        <v>420</v>
      </c>
      <c r="B171" s="11" t="s">
        <v>41</v>
      </c>
      <c r="C171" s="6" t="s">
        <v>381</v>
      </c>
      <c r="D171" s="6" t="s">
        <v>421</v>
      </c>
      <c r="E171" s="6" t="s">
        <v>221</v>
      </c>
      <c r="F171" s="6" t="s">
        <v>181</v>
      </c>
      <c r="G171" s="6" t="n">
        <v>40</v>
      </c>
      <c r="H171" s="6"/>
      <c r="I171" s="6" t="s">
        <v>111</v>
      </c>
      <c r="J171" s="6" t="n">
        <v>10</v>
      </c>
      <c r="K171" s="6" t="s">
        <v>46</v>
      </c>
      <c r="L171" s="6" t="n">
        <v>92</v>
      </c>
      <c r="M171" s="6" t="n">
        <v>24</v>
      </c>
      <c r="N171" s="12" t="n">
        <v>32.6</v>
      </c>
      <c r="O171" s="12" t="n">
        <v>32.6</v>
      </c>
      <c r="P171" s="13" t="n">
        <v>28</v>
      </c>
      <c r="Q171" s="12"/>
      <c r="R171" s="14" t="n">
        <v>0.022</v>
      </c>
      <c r="S171" s="6" t="n">
        <v>30</v>
      </c>
      <c r="T171" s="6"/>
      <c r="U171" s="15" t="n">
        <f aca="false">(S171*R171+0.5*(1-(P171/N171)^2)+(1-(P171/O171)^2)^2)*(O171/P171)^4</f>
        <v>1.5801968027905</v>
      </c>
      <c r="V171" s="14"/>
      <c r="W171" s="14"/>
      <c r="X171" s="10" t="s">
        <v>47</v>
      </c>
      <c r="Y171" s="16"/>
      <c r="Z171" s="17" t="s">
        <v>48</v>
      </c>
      <c r="AA171" s="6"/>
      <c r="AB171" s="18" t="n">
        <f aca="false">IF(O171="","",$D$3*PI()*(O171/1000)^2/4*3600)</f>
        <v>4.50732466151427</v>
      </c>
      <c r="AC171" s="19" t="n">
        <f aca="false">IF(OR(U171="",NOT(ISNUMBER(U171))),"",U171*$D$3^2/(2*$H$3))</f>
        <v>0.18121522967781</v>
      </c>
      <c r="AD171" s="20" t="n">
        <f aca="false">IF(OR(U171="",NOT(ISNUMBER(U171))),"",U171*$D$3^2/2*$F$3)</f>
        <v>1777.72140313932</v>
      </c>
      <c r="AE171" s="19" t="str">
        <f aca="false">IF(OR(V171="",NOT(ISNUMBER(V171))),"",V171*$D$3^2/(2*$H$3))</f>
        <v/>
      </c>
      <c r="AF171" s="20" t="str">
        <f aca="false">IF(OR(V171="",NOT(ISNUMBER(V171))),"",V171*$D$3^2/2*$F$3)</f>
        <v/>
      </c>
      <c r="AG171" s="19" t="str">
        <f aca="false">IF(OR(W171="",NOT(ISNUMBER(W171))),"",W171*$D$3^2/(2*$H$3))</f>
        <v/>
      </c>
      <c r="AH171" s="20" t="str">
        <f aca="false">IF(OR(W171="",NOT(ISNUMBER(W171))),"",W171*$D$3^2/2*$F$3)</f>
        <v/>
      </c>
    </row>
    <row r="172" customFormat="false" ht="15" hidden="false" customHeight="false" outlineLevel="0" collapsed="false">
      <c r="A172" s="10" t="s">
        <v>422</v>
      </c>
      <c r="B172" s="11" t="s">
        <v>41</v>
      </c>
      <c r="C172" s="6" t="s">
        <v>381</v>
      </c>
      <c r="D172" s="6" t="s">
        <v>423</v>
      </c>
      <c r="E172" s="6" t="s">
        <v>221</v>
      </c>
      <c r="F172" s="6" t="s">
        <v>181</v>
      </c>
      <c r="G172" s="6" t="n">
        <v>40</v>
      </c>
      <c r="H172" s="6"/>
      <c r="I172" s="6" t="s">
        <v>118</v>
      </c>
      <c r="J172" s="6" t="n">
        <v>10</v>
      </c>
      <c r="K172" s="6" t="s">
        <v>46</v>
      </c>
      <c r="L172" s="6" t="n">
        <v>92</v>
      </c>
      <c r="M172" s="6" t="n">
        <v>24</v>
      </c>
      <c r="N172" s="12" t="n">
        <v>32.6</v>
      </c>
      <c r="O172" s="12" t="n">
        <v>32.6</v>
      </c>
      <c r="P172" s="13" t="n">
        <v>28</v>
      </c>
      <c r="Q172" s="12"/>
      <c r="R172" s="14" t="n">
        <v>0.022</v>
      </c>
      <c r="S172" s="6" t="n">
        <v>30</v>
      </c>
      <c r="T172" s="6"/>
      <c r="U172" s="15" t="n">
        <f aca="false">(S172*R172+0.5*(1-(P172/N172)^2)+(1-(P172/O172)^2)^2)*(O172/P172)^4</f>
        <v>1.5801968027905</v>
      </c>
      <c r="V172" s="14"/>
      <c r="W172" s="14"/>
      <c r="X172" s="10" t="s">
        <v>47</v>
      </c>
      <c r="Y172" s="16"/>
      <c r="Z172" s="17" t="s">
        <v>48</v>
      </c>
      <c r="AA172" s="6"/>
      <c r="AB172" s="18" t="n">
        <f aca="false">IF(O172="","",$D$3*PI()*(O172/1000)^2/4*3600)</f>
        <v>4.50732466151427</v>
      </c>
      <c r="AC172" s="19" t="n">
        <f aca="false">IF(OR(U172="",NOT(ISNUMBER(U172))),"",U172*$D$3^2/(2*$H$3))</f>
        <v>0.18121522967781</v>
      </c>
      <c r="AD172" s="20" t="n">
        <f aca="false">IF(OR(U172="",NOT(ISNUMBER(U172))),"",U172*$D$3^2/2*$F$3)</f>
        <v>1777.72140313932</v>
      </c>
      <c r="AE172" s="19" t="str">
        <f aca="false">IF(OR(V172="",NOT(ISNUMBER(V172))),"",V172*$D$3^2/(2*$H$3))</f>
        <v/>
      </c>
      <c r="AF172" s="20" t="str">
        <f aca="false">IF(OR(V172="",NOT(ISNUMBER(V172))),"",V172*$D$3^2/2*$F$3)</f>
        <v/>
      </c>
      <c r="AG172" s="19" t="str">
        <f aca="false">IF(OR(W172="",NOT(ISNUMBER(W172))),"",W172*$D$3^2/(2*$H$3))</f>
        <v/>
      </c>
      <c r="AH172" s="20" t="str">
        <f aca="false">IF(OR(W172="",NOT(ISNUMBER(W172))),"",W172*$D$3^2/2*$F$3)</f>
        <v/>
      </c>
    </row>
    <row r="173" customFormat="false" ht="15" hidden="false" customHeight="false" outlineLevel="0" collapsed="false">
      <c r="A173" s="10" t="s">
        <v>424</v>
      </c>
      <c r="B173" s="11" t="s">
        <v>41</v>
      </c>
      <c r="C173" s="6" t="s">
        <v>381</v>
      </c>
      <c r="D173" s="6" t="s">
        <v>425</v>
      </c>
      <c r="E173" s="6" t="s">
        <v>221</v>
      </c>
      <c r="F173" s="6" t="s">
        <v>181</v>
      </c>
      <c r="G173" s="6" t="n">
        <v>40</v>
      </c>
      <c r="H173" s="6"/>
      <c r="I173" s="6" t="s">
        <v>127</v>
      </c>
      <c r="J173" s="6" t="n">
        <v>10</v>
      </c>
      <c r="K173" s="6" t="s">
        <v>46</v>
      </c>
      <c r="L173" s="6" t="n">
        <v>92</v>
      </c>
      <c r="M173" s="6" t="n">
        <v>24</v>
      </c>
      <c r="N173" s="12" t="n">
        <v>32.6</v>
      </c>
      <c r="O173" s="12" t="n">
        <v>32.6</v>
      </c>
      <c r="P173" s="13" t="n">
        <v>28</v>
      </c>
      <c r="Q173" s="12"/>
      <c r="R173" s="14" t="n">
        <v>0.022</v>
      </c>
      <c r="S173" s="6" t="n">
        <v>30</v>
      </c>
      <c r="T173" s="6"/>
      <c r="U173" s="15" t="n">
        <f aca="false">(S173*R173+0.5*(1-(P173/N173)^2)+(1-(P173/O173)^2)^2)*(O173/P173)^4</f>
        <v>1.5801968027905</v>
      </c>
      <c r="V173" s="14"/>
      <c r="W173" s="14"/>
      <c r="X173" s="10" t="s">
        <v>47</v>
      </c>
      <c r="Y173" s="16"/>
      <c r="Z173" s="17" t="s">
        <v>48</v>
      </c>
      <c r="AA173" s="6"/>
      <c r="AB173" s="18" t="n">
        <f aca="false">IF(O173="","",$D$3*PI()*(O173/1000)^2/4*3600)</f>
        <v>4.50732466151427</v>
      </c>
      <c r="AC173" s="19" t="n">
        <f aca="false">IF(OR(U173="",NOT(ISNUMBER(U173))),"",U173*$D$3^2/(2*$H$3))</f>
        <v>0.18121522967781</v>
      </c>
      <c r="AD173" s="20" t="n">
        <f aca="false">IF(OR(U173="",NOT(ISNUMBER(U173))),"",U173*$D$3^2/2*$F$3)</f>
        <v>1777.72140313932</v>
      </c>
      <c r="AE173" s="19" t="str">
        <f aca="false">IF(OR(V173="",NOT(ISNUMBER(V173))),"",V173*$D$3^2/(2*$H$3))</f>
        <v/>
      </c>
      <c r="AF173" s="20" t="str">
        <f aca="false">IF(OR(V173="",NOT(ISNUMBER(V173))),"",V173*$D$3^2/2*$F$3)</f>
        <v/>
      </c>
      <c r="AG173" s="19" t="str">
        <f aca="false">IF(OR(W173="",NOT(ISNUMBER(W173))),"",W173*$D$3^2/(2*$H$3))</f>
        <v/>
      </c>
      <c r="AH173" s="20" t="str">
        <f aca="false">IF(OR(W173="",NOT(ISNUMBER(W173))),"",W173*$D$3^2/2*$F$3)</f>
        <v/>
      </c>
    </row>
    <row r="174" customFormat="false" ht="15" hidden="false" customHeight="false" outlineLevel="0" collapsed="false">
      <c r="A174" s="10" t="s">
        <v>426</v>
      </c>
      <c r="B174" s="11" t="s">
        <v>41</v>
      </c>
      <c r="C174" s="6" t="s">
        <v>381</v>
      </c>
      <c r="D174" s="6" t="s">
        <v>427</v>
      </c>
      <c r="E174" s="6" t="s">
        <v>221</v>
      </c>
      <c r="F174" s="6" t="s">
        <v>181</v>
      </c>
      <c r="G174" s="6" t="n">
        <v>40</v>
      </c>
      <c r="H174" s="6"/>
      <c r="I174" s="6" t="s">
        <v>130</v>
      </c>
      <c r="J174" s="6" t="n">
        <v>10</v>
      </c>
      <c r="K174" s="6" t="s">
        <v>46</v>
      </c>
      <c r="L174" s="6" t="n">
        <v>92</v>
      </c>
      <c r="M174" s="6" t="n">
        <v>24</v>
      </c>
      <c r="N174" s="12" t="n">
        <v>32.6</v>
      </c>
      <c r="O174" s="12" t="n">
        <v>32.6</v>
      </c>
      <c r="P174" s="13" t="n">
        <v>28</v>
      </c>
      <c r="Q174" s="12"/>
      <c r="R174" s="14" t="n">
        <v>0.022</v>
      </c>
      <c r="S174" s="6" t="n">
        <v>30</v>
      </c>
      <c r="T174" s="6"/>
      <c r="U174" s="15" t="n">
        <f aca="false">(S174*R174+0.5*(1-(P174/N174)^2)+(1-(P174/O174)^2)^2)*(O174/P174)^4</f>
        <v>1.5801968027905</v>
      </c>
      <c r="V174" s="14"/>
      <c r="W174" s="14"/>
      <c r="X174" s="10" t="s">
        <v>47</v>
      </c>
      <c r="Y174" s="16"/>
      <c r="Z174" s="17" t="s">
        <v>48</v>
      </c>
      <c r="AA174" s="6"/>
      <c r="AB174" s="18" t="n">
        <f aca="false">IF(O174="","",$D$3*PI()*(O174/1000)^2/4*3600)</f>
        <v>4.50732466151427</v>
      </c>
      <c r="AC174" s="19" t="n">
        <f aca="false">IF(OR(U174="",NOT(ISNUMBER(U174))),"",U174*$D$3^2/(2*$H$3))</f>
        <v>0.18121522967781</v>
      </c>
      <c r="AD174" s="20" t="n">
        <f aca="false">IF(OR(U174="",NOT(ISNUMBER(U174))),"",U174*$D$3^2/2*$F$3)</f>
        <v>1777.72140313932</v>
      </c>
      <c r="AE174" s="19" t="str">
        <f aca="false">IF(OR(V174="",NOT(ISNUMBER(V174))),"",V174*$D$3^2/(2*$H$3))</f>
        <v/>
      </c>
      <c r="AF174" s="20" t="str">
        <f aca="false">IF(OR(V174="",NOT(ISNUMBER(V174))),"",V174*$D$3^2/2*$F$3)</f>
        <v/>
      </c>
      <c r="AG174" s="19" t="str">
        <f aca="false">IF(OR(W174="",NOT(ISNUMBER(W174))),"",W174*$D$3^2/(2*$H$3))</f>
        <v/>
      </c>
      <c r="AH174" s="20" t="str">
        <f aca="false">IF(OR(W174="",NOT(ISNUMBER(W174))),"",W174*$D$3^2/2*$F$3)</f>
        <v/>
      </c>
    </row>
    <row r="175" customFormat="false" ht="15" hidden="false" customHeight="false" outlineLevel="0" collapsed="false">
      <c r="A175" s="10" t="s">
        <v>428</v>
      </c>
      <c r="B175" s="11" t="s">
        <v>41</v>
      </c>
      <c r="C175" s="6" t="s">
        <v>381</v>
      </c>
      <c r="D175" s="6" t="s">
        <v>429</v>
      </c>
      <c r="E175" s="6" t="s">
        <v>221</v>
      </c>
      <c r="F175" s="6" t="s">
        <v>181</v>
      </c>
      <c r="G175" s="6" t="n">
        <v>50</v>
      </c>
      <c r="H175" s="6"/>
      <c r="I175" s="6" t="s">
        <v>127</v>
      </c>
      <c r="J175" s="6" t="n">
        <v>10</v>
      </c>
      <c r="K175" s="6" t="s">
        <v>46</v>
      </c>
      <c r="L175" s="6" t="n">
        <v>108</v>
      </c>
      <c r="M175" s="6" t="n">
        <v>28</v>
      </c>
      <c r="N175" s="12" t="n">
        <v>40.8</v>
      </c>
      <c r="O175" s="12" t="n">
        <v>40.8</v>
      </c>
      <c r="P175" s="13" t="n">
        <v>35</v>
      </c>
      <c r="Q175" s="12"/>
      <c r="R175" s="14" t="n">
        <v>0.021</v>
      </c>
      <c r="S175" s="6" t="n">
        <v>30</v>
      </c>
      <c r="T175" s="6"/>
      <c r="U175" s="15" t="n">
        <f aca="false">(S175*R175+0.5*(1-(P175/N175)^2)+(1-(P175/O175)^2)^2)*(O175/P175)^4</f>
        <v>1.53599405717484</v>
      </c>
      <c r="V175" s="14"/>
      <c r="W175" s="14"/>
      <c r="X175" s="10" t="s">
        <v>47</v>
      </c>
      <c r="Y175" s="16"/>
      <c r="Z175" s="17" t="s">
        <v>48</v>
      </c>
      <c r="AA175" s="6"/>
      <c r="AB175" s="18" t="n">
        <f aca="false">IF(O175="","",$D$3*PI()*(O175/1000)^2/4*3600)</f>
        <v>7.05998807307681</v>
      </c>
      <c r="AC175" s="19" t="n">
        <f aca="false">IF(OR(U175="",NOT(ISNUMBER(U175))),"",U175*$D$3^2/(2*$H$3))</f>
        <v>0.176146107474179</v>
      </c>
      <c r="AD175" s="20" t="n">
        <f aca="false">IF(OR(U175="",NOT(ISNUMBER(U175))),"",U175*$D$3^2/2*$F$3)</f>
        <v>1727.9933143217</v>
      </c>
      <c r="AE175" s="19" t="str">
        <f aca="false">IF(OR(V175="",NOT(ISNUMBER(V175))),"",V175*$D$3^2/(2*$H$3))</f>
        <v/>
      </c>
      <c r="AF175" s="20" t="str">
        <f aca="false">IF(OR(V175="",NOT(ISNUMBER(V175))),"",V175*$D$3^2/2*$F$3)</f>
        <v/>
      </c>
      <c r="AG175" s="19" t="str">
        <f aca="false">IF(OR(W175="",NOT(ISNUMBER(W175))),"",W175*$D$3^2/(2*$H$3))</f>
        <v/>
      </c>
      <c r="AH175" s="20" t="str">
        <f aca="false">IF(OR(W175="",NOT(ISNUMBER(W175))),"",W175*$D$3^2/2*$F$3)</f>
        <v/>
      </c>
    </row>
    <row r="176" customFormat="false" ht="15" hidden="false" customHeight="false" outlineLevel="0" collapsed="false">
      <c r="A176" s="10" t="s">
        <v>430</v>
      </c>
      <c r="B176" s="11" t="s">
        <v>41</v>
      </c>
      <c r="C176" s="6" t="s">
        <v>381</v>
      </c>
      <c r="D176" s="6" t="s">
        <v>431</v>
      </c>
      <c r="E176" s="6" t="s">
        <v>221</v>
      </c>
      <c r="F176" s="6" t="s">
        <v>181</v>
      </c>
      <c r="G176" s="6" t="n">
        <v>50</v>
      </c>
      <c r="H176" s="6"/>
      <c r="I176" s="6" t="s">
        <v>130</v>
      </c>
      <c r="J176" s="6" t="n">
        <v>10</v>
      </c>
      <c r="K176" s="6" t="s">
        <v>46</v>
      </c>
      <c r="L176" s="6" t="n">
        <v>108</v>
      </c>
      <c r="M176" s="6" t="n">
        <v>28</v>
      </c>
      <c r="N176" s="12" t="n">
        <v>40.8</v>
      </c>
      <c r="O176" s="12" t="n">
        <v>40.8</v>
      </c>
      <c r="P176" s="13" t="n">
        <v>35</v>
      </c>
      <c r="Q176" s="12"/>
      <c r="R176" s="14" t="n">
        <v>0.021</v>
      </c>
      <c r="S176" s="6" t="n">
        <v>30</v>
      </c>
      <c r="T176" s="6"/>
      <c r="U176" s="15" t="n">
        <f aca="false">(S176*R176+0.5*(1-(P176/N176)^2)+(1-(P176/O176)^2)^2)*(O176/P176)^4</f>
        <v>1.53599405717484</v>
      </c>
      <c r="V176" s="14"/>
      <c r="W176" s="14"/>
      <c r="X176" s="10" t="s">
        <v>47</v>
      </c>
      <c r="Y176" s="16"/>
      <c r="Z176" s="17" t="s">
        <v>48</v>
      </c>
      <c r="AA176" s="6"/>
      <c r="AB176" s="18" t="n">
        <f aca="false">IF(O176="","",$D$3*PI()*(O176/1000)^2/4*3600)</f>
        <v>7.05998807307681</v>
      </c>
      <c r="AC176" s="19" t="n">
        <f aca="false">IF(OR(U176="",NOT(ISNUMBER(U176))),"",U176*$D$3^2/(2*$H$3))</f>
        <v>0.176146107474179</v>
      </c>
      <c r="AD176" s="20" t="n">
        <f aca="false">IF(OR(U176="",NOT(ISNUMBER(U176))),"",U176*$D$3^2/2*$F$3)</f>
        <v>1727.9933143217</v>
      </c>
      <c r="AE176" s="19" t="str">
        <f aca="false">IF(OR(V176="",NOT(ISNUMBER(V176))),"",V176*$D$3^2/(2*$H$3))</f>
        <v/>
      </c>
      <c r="AF176" s="20" t="str">
        <f aca="false">IF(OR(V176="",NOT(ISNUMBER(V176))),"",V176*$D$3^2/2*$F$3)</f>
        <v/>
      </c>
      <c r="AG176" s="19" t="str">
        <f aca="false">IF(OR(W176="",NOT(ISNUMBER(W176))),"",W176*$D$3^2/(2*$H$3))</f>
        <v/>
      </c>
      <c r="AH176" s="20" t="str">
        <f aca="false">IF(OR(W176="",NOT(ISNUMBER(W176))),"",W176*$D$3^2/2*$F$3)</f>
        <v/>
      </c>
    </row>
    <row r="177" customFormat="false" ht="15" hidden="false" customHeight="false" outlineLevel="0" collapsed="false">
      <c r="A177" s="10" t="s">
        <v>432</v>
      </c>
      <c r="B177" s="11" t="s">
        <v>41</v>
      </c>
      <c r="C177" s="6" t="s">
        <v>381</v>
      </c>
      <c r="D177" s="6" t="s">
        <v>433</v>
      </c>
      <c r="E177" s="6" t="s">
        <v>221</v>
      </c>
      <c r="F177" s="6" t="s">
        <v>181</v>
      </c>
      <c r="G177" s="6" t="n">
        <v>50</v>
      </c>
      <c r="H177" s="6"/>
      <c r="I177" s="6" t="s">
        <v>133</v>
      </c>
      <c r="J177" s="6" t="n">
        <v>10</v>
      </c>
      <c r="K177" s="6" t="s">
        <v>46</v>
      </c>
      <c r="L177" s="6" t="n">
        <v>108</v>
      </c>
      <c r="M177" s="6" t="n">
        <v>28</v>
      </c>
      <c r="N177" s="12" t="n">
        <v>40.8</v>
      </c>
      <c r="O177" s="12" t="n">
        <v>40.8</v>
      </c>
      <c r="P177" s="13" t="n">
        <v>35</v>
      </c>
      <c r="Q177" s="12"/>
      <c r="R177" s="14" t="n">
        <v>0.021</v>
      </c>
      <c r="S177" s="6" t="n">
        <v>30</v>
      </c>
      <c r="T177" s="6"/>
      <c r="U177" s="15" t="n">
        <f aca="false">(S177*R177+0.5*(1-(P177/N177)^2)+(1-(P177/O177)^2)^2)*(O177/P177)^4</f>
        <v>1.53599405717484</v>
      </c>
      <c r="V177" s="14"/>
      <c r="W177" s="14"/>
      <c r="X177" s="10" t="s">
        <v>47</v>
      </c>
      <c r="Y177" s="16"/>
      <c r="Z177" s="17" t="s">
        <v>48</v>
      </c>
      <c r="AA177" s="6"/>
      <c r="AB177" s="18" t="n">
        <f aca="false">IF(O177="","",$D$3*PI()*(O177/1000)^2/4*3600)</f>
        <v>7.05998807307681</v>
      </c>
      <c r="AC177" s="19" t="n">
        <f aca="false">IF(OR(U177="",NOT(ISNUMBER(U177))),"",U177*$D$3^2/(2*$H$3))</f>
        <v>0.176146107474179</v>
      </c>
      <c r="AD177" s="20" t="n">
        <f aca="false">IF(OR(U177="",NOT(ISNUMBER(U177))),"",U177*$D$3^2/2*$F$3)</f>
        <v>1727.9933143217</v>
      </c>
      <c r="AE177" s="19" t="str">
        <f aca="false">IF(OR(V177="",NOT(ISNUMBER(V177))),"",V177*$D$3^2/(2*$H$3))</f>
        <v/>
      </c>
      <c r="AF177" s="20" t="str">
        <f aca="false">IF(OR(V177="",NOT(ISNUMBER(V177))),"",V177*$D$3^2/2*$F$3)</f>
        <v/>
      </c>
      <c r="AG177" s="19" t="str">
        <f aca="false">IF(OR(W177="",NOT(ISNUMBER(W177))),"",W177*$D$3^2/(2*$H$3))</f>
        <v/>
      </c>
      <c r="AH177" s="20" t="str">
        <f aca="false">IF(OR(W177="",NOT(ISNUMBER(W177))),"",W177*$D$3^2/2*$F$3)</f>
        <v/>
      </c>
    </row>
    <row r="178" customFormat="false" ht="15" hidden="false" customHeight="false" outlineLevel="0" collapsed="false">
      <c r="A178" s="10" t="s">
        <v>434</v>
      </c>
      <c r="B178" s="11" t="s">
        <v>41</v>
      </c>
      <c r="C178" s="6" t="s">
        <v>381</v>
      </c>
      <c r="D178" s="6" t="s">
        <v>435</v>
      </c>
      <c r="E178" s="6" t="s">
        <v>221</v>
      </c>
      <c r="F178" s="6" t="s">
        <v>181</v>
      </c>
      <c r="G178" s="6" t="n">
        <v>63</v>
      </c>
      <c r="H178" s="6"/>
      <c r="I178" s="6" t="s">
        <v>127</v>
      </c>
      <c r="J178" s="6" t="n">
        <v>10</v>
      </c>
      <c r="K178" s="6" t="s">
        <v>46</v>
      </c>
      <c r="L178" s="6" t="n">
        <v>125</v>
      </c>
      <c r="M178" s="6" t="n">
        <v>32</v>
      </c>
      <c r="N178" s="12" t="n">
        <v>51.4</v>
      </c>
      <c r="O178" s="12" t="n">
        <v>51.4</v>
      </c>
      <c r="P178" s="13" t="n">
        <v>45</v>
      </c>
      <c r="Q178" s="12"/>
      <c r="R178" s="14" t="n">
        <v>0.019</v>
      </c>
      <c r="S178" s="6" t="n">
        <v>30</v>
      </c>
      <c r="T178" s="6"/>
      <c r="U178" s="15" t="n">
        <f aca="false">(S178*R178+0.5*(1-(P178/N178)^2)+(1-(P178/O178)^2)^2)*(O178/P178)^4</f>
        <v>1.26180874088999</v>
      </c>
      <c r="V178" s="14"/>
      <c r="W178" s="14"/>
      <c r="X178" s="10" t="s">
        <v>47</v>
      </c>
      <c r="Y178" s="16"/>
      <c r="Z178" s="17" t="s">
        <v>48</v>
      </c>
      <c r="AA178" s="6"/>
      <c r="AB178" s="18" t="n">
        <f aca="false">IF(O178="","",$D$3*PI()*(O178/1000)^2/4*3600)</f>
        <v>11.2049488715554</v>
      </c>
      <c r="AC178" s="19" t="n">
        <f aca="false">IF(OR(U178="",NOT(ISNUMBER(U178))),"",U178*$D$3^2/(2*$H$3))</f>
        <v>0.144702837258026</v>
      </c>
      <c r="AD178" s="20" t="n">
        <f aca="false">IF(OR(U178="",NOT(ISNUMBER(U178))),"",U178*$D$3^2/2*$F$3)</f>
        <v>1419.53483350123</v>
      </c>
      <c r="AE178" s="19" t="str">
        <f aca="false">IF(OR(V178="",NOT(ISNUMBER(V178))),"",V178*$D$3^2/(2*$H$3))</f>
        <v/>
      </c>
      <c r="AF178" s="20" t="str">
        <f aca="false">IF(OR(V178="",NOT(ISNUMBER(V178))),"",V178*$D$3^2/2*$F$3)</f>
        <v/>
      </c>
      <c r="AG178" s="19" t="str">
        <f aca="false">IF(OR(W178="",NOT(ISNUMBER(W178))),"",W178*$D$3^2/(2*$H$3))</f>
        <v/>
      </c>
      <c r="AH178" s="20" t="str">
        <f aca="false">IF(OR(W178="",NOT(ISNUMBER(W178))),"",W178*$D$3^2/2*$F$3)</f>
        <v/>
      </c>
    </row>
    <row r="179" customFormat="false" ht="15" hidden="false" customHeight="false" outlineLevel="0" collapsed="false">
      <c r="A179" s="10" t="s">
        <v>436</v>
      </c>
      <c r="B179" s="11" t="s">
        <v>41</v>
      </c>
      <c r="C179" s="6" t="s">
        <v>381</v>
      </c>
      <c r="D179" s="6" t="s">
        <v>437</v>
      </c>
      <c r="E179" s="6" t="s">
        <v>221</v>
      </c>
      <c r="F179" s="6" t="s">
        <v>181</v>
      </c>
      <c r="G179" s="6" t="n">
        <v>63</v>
      </c>
      <c r="H179" s="6"/>
      <c r="I179" s="6" t="s">
        <v>130</v>
      </c>
      <c r="J179" s="6" t="n">
        <v>10</v>
      </c>
      <c r="K179" s="6" t="s">
        <v>46</v>
      </c>
      <c r="L179" s="6" t="n">
        <v>125</v>
      </c>
      <c r="M179" s="6" t="n">
        <v>32</v>
      </c>
      <c r="N179" s="12" t="n">
        <v>51.4</v>
      </c>
      <c r="O179" s="12" t="n">
        <v>51.4</v>
      </c>
      <c r="P179" s="13" t="n">
        <v>45</v>
      </c>
      <c r="Q179" s="12"/>
      <c r="R179" s="14" t="n">
        <v>0.019</v>
      </c>
      <c r="S179" s="6" t="n">
        <v>30</v>
      </c>
      <c r="T179" s="6"/>
      <c r="U179" s="15" t="n">
        <f aca="false">(S179*R179+0.5*(1-(P179/N179)^2)+(1-(P179/O179)^2)^2)*(O179/P179)^4</f>
        <v>1.26180874088999</v>
      </c>
      <c r="V179" s="14"/>
      <c r="W179" s="14"/>
      <c r="X179" s="10" t="s">
        <v>47</v>
      </c>
      <c r="Y179" s="16"/>
      <c r="Z179" s="17" t="s">
        <v>48</v>
      </c>
      <c r="AA179" s="6"/>
      <c r="AB179" s="18" t="n">
        <f aca="false">IF(O179="","",$D$3*PI()*(O179/1000)^2/4*3600)</f>
        <v>11.2049488715554</v>
      </c>
      <c r="AC179" s="19" t="n">
        <f aca="false">IF(OR(U179="",NOT(ISNUMBER(U179))),"",U179*$D$3^2/(2*$H$3))</f>
        <v>0.144702837258026</v>
      </c>
      <c r="AD179" s="20" t="n">
        <f aca="false">IF(OR(U179="",NOT(ISNUMBER(U179))),"",U179*$D$3^2/2*$F$3)</f>
        <v>1419.53483350123</v>
      </c>
      <c r="AE179" s="19" t="str">
        <f aca="false">IF(OR(V179="",NOT(ISNUMBER(V179))),"",V179*$D$3^2/(2*$H$3))</f>
        <v/>
      </c>
      <c r="AF179" s="20" t="str">
        <f aca="false">IF(OR(V179="",NOT(ISNUMBER(V179))),"",V179*$D$3^2/2*$F$3)</f>
        <v/>
      </c>
      <c r="AG179" s="19" t="str">
        <f aca="false">IF(OR(W179="",NOT(ISNUMBER(W179))),"",W179*$D$3^2/(2*$H$3))</f>
        <v/>
      </c>
      <c r="AH179" s="20" t="str">
        <f aca="false">IF(OR(W179="",NOT(ISNUMBER(W179))),"",W179*$D$3^2/2*$F$3)</f>
        <v/>
      </c>
    </row>
    <row r="180" customFormat="false" ht="15" hidden="false" customHeight="false" outlineLevel="0" collapsed="false">
      <c r="A180" s="10" t="s">
        <v>438</v>
      </c>
      <c r="B180" s="11" t="s">
        <v>41</v>
      </c>
      <c r="C180" s="6" t="s">
        <v>381</v>
      </c>
      <c r="D180" s="6" t="s">
        <v>439</v>
      </c>
      <c r="E180" s="6" t="s">
        <v>221</v>
      </c>
      <c r="F180" s="6" t="s">
        <v>181</v>
      </c>
      <c r="G180" s="6" t="n">
        <v>63</v>
      </c>
      <c r="H180" s="6"/>
      <c r="I180" s="6" t="s">
        <v>133</v>
      </c>
      <c r="J180" s="6" t="n">
        <v>10</v>
      </c>
      <c r="K180" s="6" t="s">
        <v>46</v>
      </c>
      <c r="L180" s="6" t="n">
        <v>125</v>
      </c>
      <c r="M180" s="6" t="n">
        <v>32</v>
      </c>
      <c r="N180" s="12" t="n">
        <v>51.4</v>
      </c>
      <c r="O180" s="12" t="n">
        <v>51.4</v>
      </c>
      <c r="P180" s="13" t="n">
        <v>45</v>
      </c>
      <c r="Q180" s="12"/>
      <c r="R180" s="14" t="n">
        <v>0.019</v>
      </c>
      <c r="S180" s="6" t="n">
        <v>30</v>
      </c>
      <c r="T180" s="6"/>
      <c r="U180" s="15" t="n">
        <f aca="false">(S180*R180+0.5*(1-(P180/N180)^2)+(1-(P180/O180)^2)^2)*(O180/P180)^4</f>
        <v>1.26180874088999</v>
      </c>
      <c r="V180" s="14"/>
      <c r="W180" s="14"/>
      <c r="X180" s="10" t="s">
        <v>47</v>
      </c>
      <c r="Y180" s="16"/>
      <c r="Z180" s="17" t="s">
        <v>48</v>
      </c>
      <c r="AA180" s="6"/>
      <c r="AB180" s="18" t="n">
        <f aca="false">IF(O180="","",$D$3*PI()*(O180/1000)^2/4*3600)</f>
        <v>11.2049488715554</v>
      </c>
      <c r="AC180" s="19" t="n">
        <f aca="false">IF(OR(U180="",NOT(ISNUMBER(U180))),"",U180*$D$3^2/(2*$H$3))</f>
        <v>0.144702837258026</v>
      </c>
      <c r="AD180" s="20" t="n">
        <f aca="false">IF(OR(U180="",NOT(ISNUMBER(U180))),"",U180*$D$3^2/2*$F$3)</f>
        <v>1419.53483350123</v>
      </c>
      <c r="AE180" s="19" t="str">
        <f aca="false">IF(OR(V180="",NOT(ISNUMBER(V180))),"",V180*$D$3^2/(2*$H$3))</f>
        <v/>
      </c>
      <c r="AF180" s="20" t="str">
        <f aca="false">IF(OR(V180="",NOT(ISNUMBER(V180))),"",V180*$D$3^2/2*$F$3)</f>
        <v/>
      </c>
      <c r="AG180" s="19" t="str">
        <f aca="false">IF(OR(W180="",NOT(ISNUMBER(W180))),"",W180*$D$3^2/(2*$H$3))</f>
        <v/>
      </c>
      <c r="AH180" s="20" t="str">
        <f aca="false">IF(OR(W180="",NOT(ISNUMBER(W180))),"",W180*$D$3^2/2*$F$3)</f>
        <v/>
      </c>
    </row>
    <row r="181" customFormat="false" ht="15" hidden="false" customHeight="false" outlineLevel="0" collapsed="false">
      <c r="A181" s="10" t="s">
        <v>440</v>
      </c>
      <c r="B181" s="11" t="s">
        <v>41</v>
      </c>
      <c r="C181" s="6" t="s">
        <v>381</v>
      </c>
      <c r="D181" s="6" t="s">
        <v>441</v>
      </c>
      <c r="E181" s="6" t="s">
        <v>221</v>
      </c>
      <c r="F181" s="6" t="s">
        <v>181</v>
      </c>
      <c r="G181" s="6" t="n">
        <v>75</v>
      </c>
      <c r="H181" s="6"/>
      <c r="I181" s="6" t="s">
        <v>133</v>
      </c>
      <c r="J181" s="6" t="n">
        <v>10</v>
      </c>
      <c r="K181" s="6" t="s">
        <v>46</v>
      </c>
      <c r="L181" s="6" t="n">
        <v>140</v>
      </c>
      <c r="M181" s="6" t="n">
        <v>41</v>
      </c>
      <c r="N181" s="12" t="n">
        <v>61.4</v>
      </c>
      <c r="O181" s="12" t="n">
        <v>61.4</v>
      </c>
      <c r="P181" s="13" t="n">
        <v>54</v>
      </c>
      <c r="Q181" s="12"/>
      <c r="R181" s="14" t="n">
        <v>0.018</v>
      </c>
      <c r="S181" s="6" t="n">
        <v>30</v>
      </c>
      <c r="T181" s="6"/>
      <c r="U181" s="15" t="n">
        <f aca="false">(S181*R181+0.5*(1-(P181/N181)^2)+(1-(P181/O181)^2)^2)*(O181/P181)^4</f>
        <v>1.17766463483999</v>
      </c>
      <c r="V181" s="14"/>
      <c r="W181" s="14"/>
      <c r="X181" s="10" t="s">
        <v>47</v>
      </c>
      <c r="Y181" s="16"/>
      <c r="Z181" s="17" t="s">
        <v>48</v>
      </c>
      <c r="AA181" s="6"/>
      <c r="AB181" s="18" t="n">
        <f aca="false">IF(O181="","",$D$3*PI()*(O181/1000)^2/4*3600)</f>
        <v>15.988966164442</v>
      </c>
      <c r="AC181" s="19" t="n">
        <f aca="false">IF(OR(U181="",NOT(ISNUMBER(U181))),"",U181*$D$3^2/(2*$H$3))</f>
        <v>0.135053283811926</v>
      </c>
      <c r="AD181" s="20" t="n">
        <f aca="false">IF(OR(U181="",NOT(ISNUMBER(U181))),"",U181*$D$3^2/2*$F$3)</f>
        <v>1324.87271419499</v>
      </c>
      <c r="AE181" s="19" t="str">
        <f aca="false">IF(OR(V181="",NOT(ISNUMBER(V181))),"",V181*$D$3^2/(2*$H$3))</f>
        <v/>
      </c>
      <c r="AF181" s="20" t="str">
        <f aca="false">IF(OR(V181="",NOT(ISNUMBER(V181))),"",V181*$D$3^2/2*$F$3)</f>
        <v/>
      </c>
      <c r="AG181" s="19" t="str">
        <f aca="false">IF(OR(W181="",NOT(ISNUMBER(W181))),"",W181*$D$3^2/(2*$H$3))</f>
        <v/>
      </c>
      <c r="AH181" s="20" t="str">
        <f aca="false">IF(OR(W181="",NOT(ISNUMBER(W181))),"",W181*$D$3^2/2*$F$3)</f>
        <v/>
      </c>
    </row>
    <row r="182" customFormat="false" ht="15" hidden="false" customHeight="false" outlineLevel="0" collapsed="false">
      <c r="A182" s="10" t="s">
        <v>442</v>
      </c>
      <c r="B182" s="11" t="s">
        <v>41</v>
      </c>
      <c r="C182" s="6" t="s">
        <v>381</v>
      </c>
      <c r="D182" s="6" t="s">
        <v>443</v>
      </c>
      <c r="E182" s="6" t="s">
        <v>221</v>
      </c>
      <c r="F182" s="6" t="s">
        <v>181</v>
      </c>
      <c r="G182" s="6" t="n">
        <v>75</v>
      </c>
      <c r="H182" s="6"/>
      <c r="I182" s="6" t="s">
        <v>136</v>
      </c>
      <c r="J182" s="6" t="n">
        <v>10</v>
      </c>
      <c r="K182" s="6" t="s">
        <v>46</v>
      </c>
      <c r="L182" s="6" t="n">
        <v>140</v>
      </c>
      <c r="M182" s="6" t="n">
        <v>41</v>
      </c>
      <c r="N182" s="12" t="n">
        <v>61.4</v>
      </c>
      <c r="O182" s="12" t="n">
        <v>61.4</v>
      </c>
      <c r="P182" s="13" t="n">
        <v>54</v>
      </c>
      <c r="Q182" s="12"/>
      <c r="R182" s="14" t="n">
        <v>0.018</v>
      </c>
      <c r="S182" s="6" t="n">
        <v>30</v>
      </c>
      <c r="T182" s="6"/>
      <c r="U182" s="15" t="n">
        <f aca="false">(S182*R182+0.5*(1-(P182/N182)^2)+(1-(P182/O182)^2)^2)*(O182/P182)^4</f>
        <v>1.17766463483999</v>
      </c>
      <c r="V182" s="14"/>
      <c r="W182" s="14"/>
      <c r="X182" s="10" t="s">
        <v>47</v>
      </c>
      <c r="Y182" s="16"/>
      <c r="Z182" s="17" t="s">
        <v>48</v>
      </c>
      <c r="AA182" s="6"/>
      <c r="AB182" s="18" t="n">
        <f aca="false">IF(O182="","",$D$3*PI()*(O182/1000)^2/4*3600)</f>
        <v>15.988966164442</v>
      </c>
      <c r="AC182" s="19" t="n">
        <f aca="false">IF(OR(U182="",NOT(ISNUMBER(U182))),"",U182*$D$3^2/(2*$H$3))</f>
        <v>0.135053283811926</v>
      </c>
      <c r="AD182" s="20" t="n">
        <f aca="false">IF(OR(U182="",NOT(ISNUMBER(U182))),"",U182*$D$3^2/2*$F$3)</f>
        <v>1324.87271419499</v>
      </c>
      <c r="AE182" s="19" t="str">
        <f aca="false">IF(OR(V182="",NOT(ISNUMBER(V182))),"",V182*$D$3^2/(2*$H$3))</f>
        <v/>
      </c>
      <c r="AF182" s="20" t="str">
        <f aca="false">IF(OR(V182="",NOT(ISNUMBER(V182))),"",V182*$D$3^2/2*$F$3)</f>
        <v/>
      </c>
      <c r="AG182" s="19" t="str">
        <f aca="false">IF(OR(W182="",NOT(ISNUMBER(W182))),"",W182*$D$3^2/(2*$H$3))</f>
        <v/>
      </c>
      <c r="AH182" s="20" t="str">
        <f aca="false">IF(OR(W182="",NOT(ISNUMBER(W182))),"",W182*$D$3^2/2*$F$3)</f>
        <v/>
      </c>
    </row>
    <row r="183" customFormat="false" ht="15" hidden="false" customHeight="false" outlineLevel="0" collapsed="false">
      <c r="A183" s="10" t="s">
        <v>444</v>
      </c>
      <c r="B183" s="11" t="s">
        <v>41</v>
      </c>
      <c r="C183" s="6" t="s">
        <v>381</v>
      </c>
      <c r="D183" s="6" t="s">
        <v>445</v>
      </c>
      <c r="E183" s="6" t="s">
        <v>221</v>
      </c>
      <c r="F183" s="6" t="s">
        <v>181</v>
      </c>
      <c r="G183" s="6" t="n">
        <v>90</v>
      </c>
      <c r="H183" s="6"/>
      <c r="I183" s="6" t="s">
        <v>139</v>
      </c>
      <c r="J183" s="6" t="n">
        <v>10</v>
      </c>
      <c r="K183" s="6" t="s">
        <v>46</v>
      </c>
      <c r="L183" s="6" t="n">
        <v>156</v>
      </c>
      <c r="M183" s="6" t="n">
        <v>53</v>
      </c>
      <c r="N183" s="12" t="n">
        <v>73.6</v>
      </c>
      <c r="O183" s="12" t="n">
        <v>73.6</v>
      </c>
      <c r="P183" s="13" t="n">
        <v>66</v>
      </c>
      <c r="Q183" s="12"/>
      <c r="R183" s="14" t="n">
        <v>0.018</v>
      </c>
      <c r="S183" s="6" t="n">
        <v>30</v>
      </c>
      <c r="T183" s="6"/>
      <c r="U183" s="15" t="n">
        <f aca="false">(S183*R183+0.5*(1-(P183/N183)^2)+(1-(P183/O183)^2)^2)*(O183/P183)^4</f>
        <v>1.04584807445353</v>
      </c>
      <c r="V183" s="14"/>
      <c r="W183" s="14"/>
      <c r="X183" s="10" t="s">
        <v>47</v>
      </c>
      <c r="Y183" s="16"/>
      <c r="Z183" s="17" t="s">
        <v>48</v>
      </c>
      <c r="AA183" s="6"/>
      <c r="AB183" s="18" t="n">
        <f aca="false">IF(O183="","",$D$3*PI()*(O183/1000)^2/4*3600)</f>
        <v>22.9741403500662</v>
      </c>
      <c r="AC183" s="19" t="n">
        <f aca="false">IF(OR(U183="",NOT(ISNUMBER(U183))),"",U183*$D$3^2/(2*$H$3))</f>
        <v>0.119936705785955</v>
      </c>
      <c r="AD183" s="20" t="n">
        <f aca="false">IF(OR(U183="",NOT(ISNUMBER(U183))),"",U183*$D$3^2/2*$F$3)</f>
        <v>1176.57908376022</v>
      </c>
      <c r="AE183" s="19" t="str">
        <f aca="false">IF(OR(V183="",NOT(ISNUMBER(V183))),"",V183*$D$3^2/(2*$H$3))</f>
        <v/>
      </c>
      <c r="AF183" s="20" t="str">
        <f aca="false">IF(OR(V183="",NOT(ISNUMBER(V183))),"",V183*$D$3^2/2*$F$3)</f>
        <v/>
      </c>
      <c r="AG183" s="19" t="str">
        <f aca="false">IF(OR(W183="",NOT(ISNUMBER(W183))),"",W183*$D$3^2/(2*$H$3))</f>
        <v/>
      </c>
      <c r="AH183" s="20" t="str">
        <f aca="false">IF(OR(W183="",NOT(ISNUMBER(W183))),"",W183*$D$3^2/2*$F$3)</f>
        <v/>
      </c>
    </row>
    <row r="184" customFormat="false" ht="15" hidden="false" customHeight="false" outlineLevel="0" collapsed="false">
      <c r="A184" s="10" t="s">
        <v>446</v>
      </c>
      <c r="B184" s="11" t="s">
        <v>41</v>
      </c>
      <c r="C184" s="6" t="s">
        <v>381</v>
      </c>
      <c r="D184" s="6" t="s">
        <v>447</v>
      </c>
      <c r="E184" s="6" t="s">
        <v>221</v>
      </c>
      <c r="F184" s="6" t="s">
        <v>181</v>
      </c>
      <c r="G184" s="6" t="n">
        <v>90</v>
      </c>
      <c r="H184" s="6"/>
      <c r="I184" s="6" t="s">
        <v>142</v>
      </c>
      <c r="J184" s="6" t="n">
        <v>10</v>
      </c>
      <c r="K184" s="6" t="s">
        <v>46</v>
      </c>
      <c r="L184" s="6" t="n">
        <v>156</v>
      </c>
      <c r="M184" s="6" t="n">
        <v>53</v>
      </c>
      <c r="N184" s="12" t="n">
        <v>73.6</v>
      </c>
      <c r="O184" s="12" t="n">
        <v>73.6</v>
      </c>
      <c r="P184" s="13" t="n">
        <v>66</v>
      </c>
      <c r="Q184" s="12"/>
      <c r="R184" s="14" t="n">
        <v>0.018</v>
      </c>
      <c r="S184" s="6" t="n">
        <v>30</v>
      </c>
      <c r="T184" s="6"/>
      <c r="U184" s="15" t="n">
        <f aca="false">(S184*R184+0.5*(1-(P184/N184)^2)+(1-(P184/O184)^2)^2)*(O184/P184)^4</f>
        <v>1.04584807445353</v>
      </c>
      <c r="V184" s="14"/>
      <c r="W184" s="14"/>
      <c r="X184" s="10" t="s">
        <v>47</v>
      </c>
      <c r="Y184" s="16"/>
      <c r="Z184" s="17" t="s">
        <v>48</v>
      </c>
      <c r="AA184" s="6"/>
      <c r="AB184" s="18" t="n">
        <f aca="false">IF(O184="","",$D$3*PI()*(O184/1000)^2/4*3600)</f>
        <v>22.9741403500662</v>
      </c>
      <c r="AC184" s="19" t="n">
        <f aca="false">IF(OR(U184="",NOT(ISNUMBER(U184))),"",U184*$D$3^2/(2*$H$3))</f>
        <v>0.119936705785955</v>
      </c>
      <c r="AD184" s="20" t="n">
        <f aca="false">IF(OR(U184="",NOT(ISNUMBER(U184))),"",U184*$D$3^2/2*$F$3)</f>
        <v>1176.57908376022</v>
      </c>
      <c r="AE184" s="19" t="str">
        <f aca="false">IF(OR(V184="",NOT(ISNUMBER(V184))),"",V184*$D$3^2/(2*$H$3))</f>
        <v/>
      </c>
      <c r="AF184" s="20" t="str">
        <f aca="false">IF(OR(V184="",NOT(ISNUMBER(V184))),"",V184*$D$3^2/2*$F$3)</f>
        <v/>
      </c>
      <c r="AG184" s="19" t="str">
        <f aca="false">IF(OR(W184="",NOT(ISNUMBER(W184))),"",W184*$D$3^2/(2*$H$3))</f>
        <v/>
      </c>
      <c r="AH184" s="20" t="str">
        <f aca="false">IF(OR(W184="",NOT(ISNUMBER(W184))),"",W184*$D$3^2/2*$F$3)</f>
        <v/>
      </c>
    </row>
    <row r="185" customFormat="false" ht="15" hidden="false" customHeight="false" outlineLevel="0" collapsed="false">
      <c r="A185" s="10" t="s">
        <v>448</v>
      </c>
      <c r="B185" s="11" t="s">
        <v>41</v>
      </c>
      <c r="C185" s="6" t="s">
        <v>381</v>
      </c>
      <c r="D185" s="6" t="s">
        <v>449</v>
      </c>
      <c r="E185" s="6" t="s">
        <v>221</v>
      </c>
      <c r="F185" s="6" t="s">
        <v>181</v>
      </c>
      <c r="G185" s="6" t="n">
        <v>110</v>
      </c>
      <c r="H185" s="6"/>
      <c r="I185" s="6" t="s">
        <v>142</v>
      </c>
      <c r="J185" s="6" t="n">
        <v>10</v>
      </c>
      <c r="K185" s="6" t="s">
        <v>46</v>
      </c>
      <c r="L185" s="6" t="n">
        <v>176</v>
      </c>
      <c r="M185" s="6" t="n">
        <v>63</v>
      </c>
      <c r="N185" s="12" t="n">
        <v>90</v>
      </c>
      <c r="O185" s="12" t="n">
        <v>90</v>
      </c>
      <c r="P185" s="13" t="n">
        <v>81</v>
      </c>
      <c r="Q185" s="12"/>
      <c r="R185" s="14" t="n">
        <v>0.017</v>
      </c>
      <c r="S185" s="6" t="n">
        <v>30</v>
      </c>
      <c r="T185" s="6"/>
      <c r="U185" s="15" t="n">
        <f aca="false">(S185*R185+0.5*(1-(P185/N185)^2)+(1-(P185/O185)^2)^2)*(O185/P185)^4</f>
        <v>0.977137631458619</v>
      </c>
      <c r="V185" s="14"/>
      <c r="W185" s="14"/>
      <c r="X185" s="10" t="s">
        <v>47</v>
      </c>
      <c r="Y185" s="16"/>
      <c r="Z185" s="17" t="s">
        <v>48</v>
      </c>
      <c r="AA185" s="6"/>
      <c r="AB185" s="18" t="n">
        <f aca="false">IF(O185="","",$D$3*PI()*(O185/1000)^2/4*3600)</f>
        <v>34.3533156670044</v>
      </c>
      <c r="AC185" s="19" t="n">
        <f aca="false">IF(OR(U185="",NOT(ISNUMBER(U185))),"",U185*$D$3^2/(2*$H$3))</f>
        <v>0.112057067827823</v>
      </c>
      <c r="AD185" s="20" t="n">
        <f aca="false">IF(OR(U185="",NOT(ISNUMBER(U185))),"",U185*$D$3^2/2*$F$3)</f>
        <v>1099.27983539095</v>
      </c>
      <c r="AE185" s="19" t="str">
        <f aca="false">IF(OR(V185="",NOT(ISNUMBER(V185))),"",V185*$D$3^2/(2*$H$3))</f>
        <v/>
      </c>
      <c r="AF185" s="20" t="str">
        <f aca="false">IF(OR(V185="",NOT(ISNUMBER(V185))),"",V185*$D$3^2/2*$F$3)</f>
        <v/>
      </c>
      <c r="AG185" s="19" t="str">
        <f aca="false">IF(OR(W185="",NOT(ISNUMBER(W185))),"",W185*$D$3^2/(2*$H$3))</f>
        <v/>
      </c>
      <c r="AH185" s="20" t="str">
        <f aca="false">IF(OR(W185="",NOT(ISNUMBER(W185))),"",W185*$D$3^2/2*$F$3)</f>
        <v/>
      </c>
    </row>
    <row r="186" customFormat="false" ht="15" hidden="false" customHeight="false" outlineLevel="0" collapsed="false">
      <c r="A186" s="10" t="s">
        <v>450</v>
      </c>
      <c r="B186" s="11" t="s">
        <v>41</v>
      </c>
      <c r="C186" s="6" t="s">
        <v>381</v>
      </c>
      <c r="D186" s="6" t="s">
        <v>451</v>
      </c>
      <c r="E186" s="6" t="s">
        <v>200</v>
      </c>
      <c r="F186" s="6" t="s">
        <v>181</v>
      </c>
      <c r="G186" s="6" t="n">
        <v>16</v>
      </c>
      <c r="H186" s="6"/>
      <c r="I186" s="6" t="s">
        <v>403</v>
      </c>
      <c r="J186" s="6" t="n">
        <v>10</v>
      </c>
      <c r="K186" s="6" t="s">
        <v>46</v>
      </c>
      <c r="L186" s="6" t="n">
        <v>49</v>
      </c>
      <c r="M186" s="6" t="n">
        <v>13</v>
      </c>
      <c r="N186" s="12" t="n">
        <v>12</v>
      </c>
      <c r="O186" s="12" t="n">
        <v>12</v>
      </c>
      <c r="P186" s="13" t="n">
        <v>10</v>
      </c>
      <c r="Q186" s="12"/>
      <c r="R186" s="14" t="n">
        <v>0.027</v>
      </c>
      <c r="S186" s="6" t="n">
        <v>30</v>
      </c>
      <c r="T186" s="6"/>
      <c r="U186" s="15" t="n">
        <f aca="false">(S186*R186+0.5*(1-(P186/N186)^2)+(1-(P186/O186)^2)^2)*(O186/P186)^4</f>
        <v>2.190016</v>
      </c>
      <c r="V186" s="14"/>
      <c r="W186" s="14"/>
      <c r="X186" s="10" t="s">
        <v>47</v>
      </c>
      <c r="Y186" s="16"/>
      <c r="Z186" s="17" t="s">
        <v>48</v>
      </c>
      <c r="AA186" s="6"/>
      <c r="AB186" s="18" t="n">
        <f aca="false">IF(O186="","",$D$3*PI()*(O186/1000)^2/4*3600)</f>
        <v>0.610725611857856</v>
      </c>
      <c r="AC186" s="19" t="n">
        <f aca="false">IF(OR(U186="",NOT(ISNUMBER(U186))),"",U186*$D$3^2/(2*$H$3))</f>
        <v>0.251148623853211</v>
      </c>
      <c r="AD186" s="20" t="n">
        <f aca="false">IF(OR(U186="",NOT(ISNUMBER(U186))),"",U186*$D$3^2/2*$F$3)</f>
        <v>2463.768</v>
      </c>
      <c r="AE186" s="19" t="str">
        <f aca="false">IF(OR(V186="",NOT(ISNUMBER(V186))),"",V186*$D$3^2/(2*$H$3))</f>
        <v/>
      </c>
      <c r="AF186" s="20" t="str">
        <f aca="false">IF(OR(V186="",NOT(ISNUMBER(V186))),"",V186*$D$3^2/2*$F$3)</f>
        <v/>
      </c>
      <c r="AG186" s="19" t="str">
        <f aca="false">IF(OR(W186="",NOT(ISNUMBER(W186))),"",W186*$D$3^2/(2*$H$3))</f>
        <v/>
      </c>
      <c r="AH186" s="20" t="str">
        <f aca="false">IF(OR(W186="",NOT(ISNUMBER(W186))),"",W186*$D$3^2/2*$F$3)</f>
        <v/>
      </c>
    </row>
    <row r="187" customFormat="false" ht="15" hidden="false" customHeight="false" outlineLevel="0" collapsed="false">
      <c r="A187" s="10" t="s">
        <v>452</v>
      </c>
      <c r="B187" s="11" t="s">
        <v>41</v>
      </c>
      <c r="C187" s="6" t="s">
        <v>381</v>
      </c>
      <c r="D187" s="6" t="s">
        <v>453</v>
      </c>
      <c r="E187" s="6" t="s">
        <v>200</v>
      </c>
      <c r="F187" s="6" t="s">
        <v>181</v>
      </c>
      <c r="G187" s="6" t="n">
        <v>16</v>
      </c>
      <c r="H187" s="6"/>
      <c r="I187" s="6" t="s">
        <v>108</v>
      </c>
      <c r="J187" s="6" t="n">
        <v>10</v>
      </c>
      <c r="K187" s="6" t="s">
        <v>46</v>
      </c>
      <c r="L187" s="6" t="n">
        <v>49</v>
      </c>
      <c r="M187" s="6" t="n">
        <v>13</v>
      </c>
      <c r="N187" s="12" t="n">
        <v>12</v>
      </c>
      <c r="O187" s="12" t="n">
        <v>12</v>
      </c>
      <c r="P187" s="13" t="n">
        <v>10</v>
      </c>
      <c r="Q187" s="12"/>
      <c r="R187" s="14" t="n">
        <v>0.027</v>
      </c>
      <c r="S187" s="6" t="n">
        <v>30</v>
      </c>
      <c r="T187" s="6"/>
      <c r="U187" s="15" t="n">
        <f aca="false">(S187*R187+0.5*(1-(P187/N187)^2)+(1-(P187/O187)^2)^2)*(O187/P187)^4</f>
        <v>2.190016</v>
      </c>
      <c r="V187" s="14"/>
      <c r="W187" s="14"/>
      <c r="X187" s="10" t="s">
        <v>47</v>
      </c>
      <c r="Y187" s="16"/>
      <c r="Z187" s="17" t="s">
        <v>48</v>
      </c>
      <c r="AA187" s="6"/>
      <c r="AB187" s="18" t="n">
        <f aca="false">IF(O187="","",$D$3*PI()*(O187/1000)^2/4*3600)</f>
        <v>0.610725611857856</v>
      </c>
      <c r="AC187" s="19" t="n">
        <f aca="false">IF(OR(U187="",NOT(ISNUMBER(U187))),"",U187*$D$3^2/(2*$H$3))</f>
        <v>0.251148623853211</v>
      </c>
      <c r="AD187" s="20" t="n">
        <f aca="false">IF(OR(U187="",NOT(ISNUMBER(U187))),"",U187*$D$3^2/2*$F$3)</f>
        <v>2463.768</v>
      </c>
      <c r="AE187" s="19" t="str">
        <f aca="false">IF(OR(V187="",NOT(ISNUMBER(V187))),"",V187*$D$3^2/(2*$H$3))</f>
        <v/>
      </c>
      <c r="AF187" s="20" t="str">
        <f aca="false">IF(OR(V187="",NOT(ISNUMBER(V187))),"",V187*$D$3^2/2*$F$3)</f>
        <v/>
      </c>
      <c r="AG187" s="19" t="str">
        <f aca="false">IF(OR(W187="",NOT(ISNUMBER(W187))),"",W187*$D$3^2/(2*$H$3))</f>
        <v/>
      </c>
      <c r="AH187" s="20" t="str">
        <f aca="false">IF(OR(W187="",NOT(ISNUMBER(W187))),"",W187*$D$3^2/2*$F$3)</f>
        <v/>
      </c>
    </row>
    <row r="188" customFormat="false" ht="15" hidden="false" customHeight="false" outlineLevel="0" collapsed="false">
      <c r="A188" s="10" t="s">
        <v>454</v>
      </c>
      <c r="B188" s="11" t="s">
        <v>41</v>
      </c>
      <c r="C188" s="6" t="s">
        <v>381</v>
      </c>
      <c r="D188" s="6" t="s">
        <v>455</v>
      </c>
      <c r="E188" s="6" t="s">
        <v>200</v>
      </c>
      <c r="F188" s="6" t="s">
        <v>181</v>
      </c>
      <c r="G188" s="6" t="n">
        <v>20</v>
      </c>
      <c r="H188" s="6"/>
      <c r="I188" s="6" t="s">
        <v>108</v>
      </c>
      <c r="J188" s="6" t="n">
        <v>10</v>
      </c>
      <c r="K188" s="6" t="s">
        <v>46</v>
      </c>
      <c r="L188" s="6" t="n">
        <v>49</v>
      </c>
      <c r="M188" s="6" t="n">
        <v>13</v>
      </c>
      <c r="N188" s="12" t="n">
        <v>16</v>
      </c>
      <c r="O188" s="12" t="n">
        <v>16</v>
      </c>
      <c r="P188" s="13" t="n">
        <v>13</v>
      </c>
      <c r="Q188" s="12"/>
      <c r="R188" s="14" t="n">
        <v>0.027</v>
      </c>
      <c r="S188" s="6" t="n">
        <v>30</v>
      </c>
      <c r="T188" s="6"/>
      <c r="U188" s="15" t="n">
        <f aca="false">(S188*R188+0.5*(1-(P188/N188)^2)+(1-(P188/O188)^2)^2)*(O188/P188)^4</f>
        <v>2.51353804138511</v>
      </c>
      <c r="V188" s="14"/>
      <c r="W188" s="14"/>
      <c r="X188" s="10" t="s">
        <v>47</v>
      </c>
      <c r="Y188" s="16"/>
      <c r="Z188" s="17" t="s">
        <v>48</v>
      </c>
      <c r="AA188" s="6"/>
      <c r="AB188" s="18" t="n">
        <f aca="false">IF(O188="","",$D$3*PI()*(O188/1000)^2/4*3600)</f>
        <v>1.08573442108063</v>
      </c>
      <c r="AC188" s="19" t="n">
        <f aca="false">IF(OR(U188="",NOT(ISNUMBER(U188))),"",U188*$D$3^2/(2*$H$3))</f>
        <v>0.2882497753882</v>
      </c>
      <c r="AD188" s="20" t="n">
        <f aca="false">IF(OR(U188="",NOT(ISNUMBER(U188))),"",U188*$D$3^2/2*$F$3)</f>
        <v>2827.73029655824</v>
      </c>
      <c r="AE188" s="19" t="str">
        <f aca="false">IF(OR(V188="",NOT(ISNUMBER(V188))),"",V188*$D$3^2/(2*$H$3))</f>
        <v/>
      </c>
      <c r="AF188" s="20" t="str">
        <f aca="false">IF(OR(V188="",NOT(ISNUMBER(V188))),"",V188*$D$3^2/2*$F$3)</f>
        <v/>
      </c>
      <c r="AG188" s="19" t="str">
        <f aca="false">IF(OR(W188="",NOT(ISNUMBER(W188))),"",W188*$D$3^2/(2*$H$3))</f>
        <v/>
      </c>
      <c r="AH188" s="20" t="str">
        <f aca="false">IF(OR(W188="",NOT(ISNUMBER(W188))),"",W188*$D$3^2/2*$F$3)</f>
        <v/>
      </c>
    </row>
    <row r="189" customFormat="false" ht="15" hidden="false" customHeight="false" outlineLevel="0" collapsed="false">
      <c r="A189" s="10" t="s">
        <v>456</v>
      </c>
      <c r="B189" s="11" t="s">
        <v>41</v>
      </c>
      <c r="C189" s="6" t="s">
        <v>381</v>
      </c>
      <c r="D189" s="6" t="s">
        <v>457</v>
      </c>
      <c r="E189" s="6" t="s">
        <v>200</v>
      </c>
      <c r="F189" s="6" t="s">
        <v>181</v>
      </c>
      <c r="G189" s="6" t="n">
        <v>20</v>
      </c>
      <c r="H189" s="6"/>
      <c r="I189" s="6" t="s">
        <v>111</v>
      </c>
      <c r="J189" s="6" t="n">
        <v>10</v>
      </c>
      <c r="K189" s="6" t="s">
        <v>46</v>
      </c>
      <c r="L189" s="6" t="n">
        <v>49</v>
      </c>
      <c r="M189" s="6" t="n">
        <v>13</v>
      </c>
      <c r="N189" s="12" t="n">
        <v>16</v>
      </c>
      <c r="O189" s="12" t="n">
        <v>16</v>
      </c>
      <c r="P189" s="13" t="n">
        <v>13</v>
      </c>
      <c r="Q189" s="12"/>
      <c r="R189" s="14" t="n">
        <v>0.027</v>
      </c>
      <c r="S189" s="6" t="n">
        <v>30</v>
      </c>
      <c r="T189" s="6"/>
      <c r="U189" s="15" t="n">
        <f aca="false">(S189*R189+0.5*(1-(P189/N189)^2)+(1-(P189/O189)^2)^2)*(O189/P189)^4</f>
        <v>2.51353804138511</v>
      </c>
      <c r="V189" s="14"/>
      <c r="W189" s="14"/>
      <c r="X189" s="10" t="s">
        <v>47</v>
      </c>
      <c r="Y189" s="16"/>
      <c r="Z189" s="17" t="s">
        <v>48</v>
      </c>
      <c r="AA189" s="6"/>
      <c r="AB189" s="18" t="n">
        <f aca="false">IF(O189="","",$D$3*PI()*(O189/1000)^2/4*3600)</f>
        <v>1.08573442108063</v>
      </c>
      <c r="AC189" s="19" t="n">
        <f aca="false">IF(OR(U189="",NOT(ISNUMBER(U189))),"",U189*$D$3^2/(2*$H$3))</f>
        <v>0.2882497753882</v>
      </c>
      <c r="AD189" s="20" t="n">
        <f aca="false">IF(OR(U189="",NOT(ISNUMBER(U189))),"",U189*$D$3^2/2*$F$3)</f>
        <v>2827.73029655824</v>
      </c>
      <c r="AE189" s="19" t="str">
        <f aca="false">IF(OR(V189="",NOT(ISNUMBER(V189))),"",V189*$D$3^2/(2*$H$3))</f>
        <v/>
      </c>
      <c r="AF189" s="20" t="str">
        <f aca="false">IF(OR(V189="",NOT(ISNUMBER(V189))),"",V189*$D$3^2/2*$F$3)</f>
        <v/>
      </c>
      <c r="AG189" s="19" t="str">
        <f aca="false">IF(OR(W189="",NOT(ISNUMBER(W189))),"",W189*$D$3^2/(2*$H$3))</f>
        <v/>
      </c>
      <c r="AH189" s="20" t="str">
        <f aca="false">IF(OR(W189="",NOT(ISNUMBER(W189))),"",W189*$D$3^2/2*$F$3)</f>
        <v/>
      </c>
    </row>
    <row r="190" customFormat="false" ht="15" hidden="false" customHeight="false" outlineLevel="0" collapsed="false">
      <c r="A190" s="10" t="s">
        <v>458</v>
      </c>
      <c r="B190" s="11" t="s">
        <v>41</v>
      </c>
      <c r="C190" s="6" t="s">
        <v>381</v>
      </c>
      <c r="D190" s="6" t="s">
        <v>459</v>
      </c>
      <c r="E190" s="6" t="s">
        <v>200</v>
      </c>
      <c r="F190" s="6" t="s">
        <v>181</v>
      </c>
      <c r="G190" s="6" t="n">
        <v>25</v>
      </c>
      <c r="H190" s="6"/>
      <c r="I190" s="6" t="s">
        <v>108</v>
      </c>
      <c r="J190" s="6" t="n">
        <v>10</v>
      </c>
      <c r="K190" s="6" t="s">
        <v>46</v>
      </c>
      <c r="L190" s="6" t="n">
        <v>58</v>
      </c>
      <c r="M190" s="6" t="n">
        <v>16</v>
      </c>
      <c r="N190" s="12" t="n">
        <v>20.4</v>
      </c>
      <c r="O190" s="12" t="n">
        <v>20.4</v>
      </c>
      <c r="P190" s="13" t="n">
        <v>17</v>
      </c>
      <c r="Q190" s="12"/>
      <c r="R190" s="14" t="n">
        <v>0.025</v>
      </c>
      <c r="S190" s="6" t="n">
        <v>30</v>
      </c>
      <c r="T190" s="6"/>
      <c r="U190" s="15" t="n">
        <f aca="false">(S190*R190+0.5*(1-(P190/N190)^2)+(1-(P190/O190)^2)^2)*(O190/P190)^4</f>
        <v>2.0656</v>
      </c>
      <c r="V190" s="14"/>
      <c r="W190" s="14"/>
      <c r="X190" s="10" t="s">
        <v>47</v>
      </c>
      <c r="Y190" s="16"/>
      <c r="Z190" s="17" t="s">
        <v>48</v>
      </c>
      <c r="AA190" s="6"/>
      <c r="AB190" s="18" t="n">
        <f aca="false">IF(O190="","",$D$3*PI()*(O190/1000)^2/4*3600)</f>
        <v>1.7649970182692</v>
      </c>
      <c r="AC190" s="19" t="n">
        <f aca="false">IF(OR(U190="",NOT(ISNUMBER(U190))),"",U190*$D$3^2/(2*$H$3))</f>
        <v>0.236880733944954</v>
      </c>
      <c r="AD190" s="20" t="n">
        <f aca="false">IF(OR(U190="",NOT(ISNUMBER(U190))),"",U190*$D$3^2/2*$F$3)</f>
        <v>2323.8</v>
      </c>
      <c r="AE190" s="19" t="str">
        <f aca="false">IF(OR(V190="",NOT(ISNUMBER(V190))),"",V190*$D$3^2/(2*$H$3))</f>
        <v/>
      </c>
      <c r="AF190" s="20" t="str">
        <f aca="false">IF(OR(V190="",NOT(ISNUMBER(V190))),"",V190*$D$3^2/2*$F$3)</f>
        <v/>
      </c>
      <c r="AG190" s="19" t="str">
        <f aca="false">IF(OR(W190="",NOT(ISNUMBER(W190))),"",W190*$D$3^2/(2*$H$3))</f>
        <v/>
      </c>
      <c r="AH190" s="20" t="str">
        <f aca="false">IF(OR(W190="",NOT(ISNUMBER(W190))),"",W190*$D$3^2/2*$F$3)</f>
        <v/>
      </c>
    </row>
    <row r="191" customFormat="false" ht="15" hidden="false" customHeight="false" outlineLevel="0" collapsed="false">
      <c r="A191" s="10" t="s">
        <v>460</v>
      </c>
      <c r="B191" s="11" t="s">
        <v>41</v>
      </c>
      <c r="C191" s="6" t="s">
        <v>381</v>
      </c>
      <c r="D191" s="6" t="s">
        <v>461</v>
      </c>
      <c r="E191" s="6" t="s">
        <v>200</v>
      </c>
      <c r="F191" s="6" t="s">
        <v>181</v>
      </c>
      <c r="G191" s="6" t="n">
        <v>25</v>
      </c>
      <c r="H191" s="6"/>
      <c r="I191" s="6" t="s">
        <v>111</v>
      </c>
      <c r="J191" s="6" t="n">
        <v>10</v>
      </c>
      <c r="K191" s="6" t="s">
        <v>46</v>
      </c>
      <c r="L191" s="6" t="n">
        <v>58</v>
      </c>
      <c r="M191" s="6" t="n">
        <v>16</v>
      </c>
      <c r="N191" s="12" t="n">
        <v>20.4</v>
      </c>
      <c r="O191" s="12" t="n">
        <v>20.4</v>
      </c>
      <c r="P191" s="13" t="n">
        <v>17</v>
      </c>
      <c r="Q191" s="12"/>
      <c r="R191" s="14" t="n">
        <v>0.025</v>
      </c>
      <c r="S191" s="6" t="n">
        <v>30</v>
      </c>
      <c r="T191" s="6"/>
      <c r="U191" s="15" t="n">
        <f aca="false">(S191*R191+0.5*(1-(P191/N191)^2)+(1-(P191/O191)^2)^2)*(O191/P191)^4</f>
        <v>2.0656</v>
      </c>
      <c r="V191" s="14"/>
      <c r="W191" s="14"/>
      <c r="X191" s="10" t="s">
        <v>47</v>
      </c>
      <c r="Y191" s="16"/>
      <c r="Z191" s="17" t="s">
        <v>48</v>
      </c>
      <c r="AA191" s="6"/>
      <c r="AB191" s="18" t="n">
        <f aca="false">IF(O191="","",$D$3*PI()*(O191/1000)^2/4*3600)</f>
        <v>1.7649970182692</v>
      </c>
      <c r="AC191" s="19" t="n">
        <f aca="false">IF(OR(U191="",NOT(ISNUMBER(U191))),"",U191*$D$3^2/(2*$H$3))</f>
        <v>0.236880733944954</v>
      </c>
      <c r="AD191" s="20" t="n">
        <f aca="false">IF(OR(U191="",NOT(ISNUMBER(U191))),"",U191*$D$3^2/2*$F$3)</f>
        <v>2323.8</v>
      </c>
      <c r="AE191" s="19" t="str">
        <f aca="false">IF(OR(V191="",NOT(ISNUMBER(V191))),"",V191*$D$3^2/(2*$H$3))</f>
        <v/>
      </c>
      <c r="AF191" s="20" t="str">
        <f aca="false">IF(OR(V191="",NOT(ISNUMBER(V191))),"",V191*$D$3^2/2*$F$3)</f>
        <v/>
      </c>
      <c r="AG191" s="19" t="str">
        <f aca="false">IF(OR(W191="",NOT(ISNUMBER(W191))),"",W191*$D$3^2/(2*$H$3))</f>
        <v/>
      </c>
      <c r="AH191" s="20" t="str">
        <f aca="false">IF(OR(W191="",NOT(ISNUMBER(W191))),"",W191*$D$3^2/2*$F$3)</f>
        <v/>
      </c>
    </row>
    <row r="192" customFormat="false" ht="15" hidden="false" customHeight="false" outlineLevel="0" collapsed="false">
      <c r="A192" s="10" t="s">
        <v>462</v>
      </c>
      <c r="B192" s="11" t="s">
        <v>41</v>
      </c>
      <c r="C192" s="6" t="s">
        <v>381</v>
      </c>
      <c r="D192" s="6" t="s">
        <v>463</v>
      </c>
      <c r="E192" s="6" t="s">
        <v>200</v>
      </c>
      <c r="F192" s="6" t="s">
        <v>181</v>
      </c>
      <c r="G192" s="6" t="n">
        <v>32</v>
      </c>
      <c r="H192" s="6"/>
      <c r="I192" s="6" t="s">
        <v>108</v>
      </c>
      <c r="J192" s="6" t="n">
        <v>10</v>
      </c>
      <c r="K192" s="6" t="s">
        <v>46</v>
      </c>
      <c r="L192" s="6" t="n">
        <v>81</v>
      </c>
      <c r="M192" s="6" t="n">
        <v>18</v>
      </c>
      <c r="N192" s="12" t="n">
        <v>26.2</v>
      </c>
      <c r="O192" s="12" t="n">
        <v>26.2</v>
      </c>
      <c r="P192" s="13" t="n">
        <v>22</v>
      </c>
      <c r="Q192" s="12"/>
      <c r="R192" s="14" t="n">
        <v>0.023</v>
      </c>
      <c r="S192" s="6" t="n">
        <v>30</v>
      </c>
      <c r="T192" s="6"/>
      <c r="U192" s="15" t="n">
        <f aca="false">(S192*R192+0.5*(1-(P192/N192)^2)+(1-(P192/O192)^2)^2)*(O192/P192)^4</f>
        <v>1.85946709234342</v>
      </c>
      <c r="V192" s="14"/>
      <c r="W192" s="14"/>
      <c r="X192" s="10" t="s">
        <v>47</v>
      </c>
      <c r="Y192" s="16"/>
      <c r="Z192" s="17" t="s">
        <v>48</v>
      </c>
      <c r="AA192" s="6"/>
      <c r="AB192" s="18" t="n">
        <f aca="false">IF(O192="","",$D$3*PI()*(O192/1000)^2/4*3600)</f>
        <v>2.91129506252574</v>
      </c>
      <c r="AC192" s="19" t="n">
        <f aca="false">IF(OR(U192="",NOT(ISNUMBER(U192))),"",U192*$D$3^2/(2*$H$3))</f>
        <v>0.213241639030209</v>
      </c>
      <c r="AD192" s="20" t="n">
        <f aca="false">IF(OR(U192="",NOT(ISNUMBER(U192))),"",U192*$D$3^2/2*$F$3)</f>
        <v>2091.90047888635</v>
      </c>
      <c r="AE192" s="19" t="str">
        <f aca="false">IF(OR(V192="",NOT(ISNUMBER(V192))),"",V192*$D$3^2/(2*$H$3))</f>
        <v/>
      </c>
      <c r="AF192" s="20" t="str">
        <f aca="false">IF(OR(V192="",NOT(ISNUMBER(V192))),"",V192*$D$3^2/2*$F$3)</f>
        <v/>
      </c>
      <c r="AG192" s="19" t="str">
        <f aca="false">IF(OR(W192="",NOT(ISNUMBER(W192))),"",W192*$D$3^2/(2*$H$3))</f>
        <v/>
      </c>
      <c r="AH192" s="20" t="str">
        <f aca="false">IF(OR(W192="",NOT(ISNUMBER(W192))),"",W192*$D$3^2/2*$F$3)</f>
        <v/>
      </c>
    </row>
    <row r="193" customFormat="false" ht="15" hidden="false" customHeight="false" outlineLevel="0" collapsed="false">
      <c r="A193" s="10" t="s">
        <v>464</v>
      </c>
      <c r="B193" s="11" t="s">
        <v>41</v>
      </c>
      <c r="C193" s="6" t="s">
        <v>381</v>
      </c>
      <c r="D193" s="6" t="s">
        <v>465</v>
      </c>
      <c r="E193" s="6" t="s">
        <v>200</v>
      </c>
      <c r="F193" s="6" t="s">
        <v>181</v>
      </c>
      <c r="G193" s="6" t="n">
        <v>32</v>
      </c>
      <c r="H193" s="6"/>
      <c r="I193" s="6" t="s">
        <v>111</v>
      </c>
      <c r="J193" s="6" t="n">
        <v>10</v>
      </c>
      <c r="K193" s="6" t="s">
        <v>46</v>
      </c>
      <c r="L193" s="6" t="n">
        <v>81</v>
      </c>
      <c r="M193" s="6" t="n">
        <v>18</v>
      </c>
      <c r="N193" s="12" t="n">
        <v>26.2</v>
      </c>
      <c r="O193" s="12" t="n">
        <v>26.2</v>
      </c>
      <c r="P193" s="13" t="n">
        <v>22</v>
      </c>
      <c r="Q193" s="12"/>
      <c r="R193" s="14" t="n">
        <v>0.023</v>
      </c>
      <c r="S193" s="6" t="n">
        <v>30</v>
      </c>
      <c r="T193" s="6"/>
      <c r="U193" s="15" t="n">
        <f aca="false">(S193*R193+0.5*(1-(P193/N193)^2)+(1-(P193/O193)^2)^2)*(O193/P193)^4</f>
        <v>1.85946709234342</v>
      </c>
      <c r="V193" s="14"/>
      <c r="W193" s="14"/>
      <c r="X193" s="10" t="s">
        <v>47</v>
      </c>
      <c r="Y193" s="16"/>
      <c r="Z193" s="17" t="s">
        <v>48</v>
      </c>
      <c r="AA193" s="6"/>
      <c r="AB193" s="18" t="n">
        <f aca="false">IF(O193="","",$D$3*PI()*(O193/1000)^2/4*3600)</f>
        <v>2.91129506252574</v>
      </c>
      <c r="AC193" s="19" t="n">
        <f aca="false">IF(OR(U193="",NOT(ISNUMBER(U193))),"",U193*$D$3^2/(2*$H$3))</f>
        <v>0.213241639030209</v>
      </c>
      <c r="AD193" s="20" t="n">
        <f aca="false">IF(OR(U193="",NOT(ISNUMBER(U193))),"",U193*$D$3^2/2*$F$3)</f>
        <v>2091.90047888635</v>
      </c>
      <c r="AE193" s="19" t="str">
        <f aca="false">IF(OR(V193="",NOT(ISNUMBER(V193))),"",V193*$D$3^2/(2*$H$3))</f>
        <v/>
      </c>
      <c r="AF193" s="20" t="str">
        <f aca="false">IF(OR(V193="",NOT(ISNUMBER(V193))),"",V193*$D$3^2/2*$F$3)</f>
        <v/>
      </c>
      <c r="AG193" s="19" t="str">
        <f aca="false">IF(OR(W193="",NOT(ISNUMBER(W193))),"",W193*$D$3^2/(2*$H$3))</f>
        <v/>
      </c>
      <c r="AH193" s="20" t="str">
        <f aca="false">IF(OR(W193="",NOT(ISNUMBER(W193))),"",W193*$D$3^2/2*$F$3)</f>
        <v/>
      </c>
    </row>
    <row r="194" customFormat="false" ht="15" hidden="false" customHeight="false" outlineLevel="0" collapsed="false">
      <c r="A194" s="10" t="s">
        <v>466</v>
      </c>
      <c r="B194" s="11" t="s">
        <v>41</v>
      </c>
      <c r="C194" s="6" t="s">
        <v>381</v>
      </c>
      <c r="D194" s="6" t="s">
        <v>467</v>
      </c>
      <c r="E194" s="6" t="s">
        <v>200</v>
      </c>
      <c r="F194" s="6" t="s">
        <v>181</v>
      </c>
      <c r="G194" s="6" t="n">
        <v>32</v>
      </c>
      <c r="H194" s="6"/>
      <c r="I194" s="6" t="s">
        <v>118</v>
      </c>
      <c r="J194" s="6" t="n">
        <v>10</v>
      </c>
      <c r="K194" s="6" t="s">
        <v>46</v>
      </c>
      <c r="L194" s="6" t="n">
        <v>81</v>
      </c>
      <c r="M194" s="6" t="n">
        <v>18</v>
      </c>
      <c r="N194" s="12" t="n">
        <v>26.2</v>
      </c>
      <c r="O194" s="12" t="n">
        <v>26.2</v>
      </c>
      <c r="P194" s="13" t="n">
        <v>22</v>
      </c>
      <c r="Q194" s="12"/>
      <c r="R194" s="14" t="n">
        <v>0.023</v>
      </c>
      <c r="S194" s="6" t="n">
        <v>30</v>
      </c>
      <c r="T194" s="6"/>
      <c r="U194" s="15" t="n">
        <f aca="false">(S194*R194+0.5*(1-(P194/N194)^2)+(1-(P194/O194)^2)^2)*(O194/P194)^4</f>
        <v>1.85946709234342</v>
      </c>
      <c r="V194" s="14"/>
      <c r="W194" s="14"/>
      <c r="X194" s="10" t="s">
        <v>47</v>
      </c>
      <c r="Y194" s="16"/>
      <c r="Z194" s="17" t="s">
        <v>48</v>
      </c>
      <c r="AA194" s="6"/>
      <c r="AB194" s="18" t="n">
        <f aca="false">IF(O194="","",$D$3*PI()*(O194/1000)^2/4*3600)</f>
        <v>2.91129506252574</v>
      </c>
      <c r="AC194" s="19" t="n">
        <f aca="false">IF(OR(U194="",NOT(ISNUMBER(U194))),"",U194*$D$3^2/(2*$H$3))</f>
        <v>0.213241639030209</v>
      </c>
      <c r="AD194" s="20" t="n">
        <f aca="false">IF(OR(U194="",NOT(ISNUMBER(U194))),"",U194*$D$3^2/2*$F$3)</f>
        <v>2091.90047888635</v>
      </c>
      <c r="AE194" s="19" t="str">
        <f aca="false">IF(OR(V194="",NOT(ISNUMBER(V194))),"",V194*$D$3^2/(2*$H$3))</f>
        <v/>
      </c>
      <c r="AF194" s="20" t="str">
        <f aca="false">IF(OR(V194="",NOT(ISNUMBER(V194))),"",V194*$D$3^2/2*$F$3)</f>
        <v/>
      </c>
      <c r="AG194" s="19" t="str">
        <f aca="false">IF(OR(W194="",NOT(ISNUMBER(W194))),"",W194*$D$3^2/(2*$H$3))</f>
        <v/>
      </c>
      <c r="AH194" s="20" t="str">
        <f aca="false">IF(OR(W194="",NOT(ISNUMBER(W194))),"",W194*$D$3^2/2*$F$3)</f>
        <v/>
      </c>
    </row>
    <row r="195" customFormat="false" ht="15" hidden="false" customHeight="false" outlineLevel="0" collapsed="false">
      <c r="A195" s="10" t="s">
        <v>468</v>
      </c>
      <c r="B195" s="11" t="s">
        <v>41</v>
      </c>
      <c r="C195" s="6" t="s">
        <v>381</v>
      </c>
      <c r="D195" s="6" t="s">
        <v>469</v>
      </c>
      <c r="E195" s="6" t="s">
        <v>200</v>
      </c>
      <c r="F195" s="6" t="s">
        <v>181</v>
      </c>
      <c r="G195" s="6" t="n">
        <v>40</v>
      </c>
      <c r="H195" s="6"/>
      <c r="I195" s="6" t="s">
        <v>127</v>
      </c>
      <c r="J195" s="6" t="n">
        <v>10</v>
      </c>
      <c r="K195" s="6" t="s">
        <v>46</v>
      </c>
      <c r="L195" s="6" t="n">
        <v>92</v>
      </c>
      <c r="M195" s="6" t="n">
        <v>24</v>
      </c>
      <c r="N195" s="12" t="n">
        <v>32.6</v>
      </c>
      <c r="O195" s="12" t="n">
        <v>32.6</v>
      </c>
      <c r="P195" s="13" t="n">
        <v>28</v>
      </c>
      <c r="Q195" s="12"/>
      <c r="R195" s="14" t="n">
        <v>0.022</v>
      </c>
      <c r="S195" s="6" t="n">
        <v>30</v>
      </c>
      <c r="T195" s="6"/>
      <c r="U195" s="15" t="n">
        <f aca="false">(S195*R195+0.5*(1-(P195/N195)^2)+(1-(P195/O195)^2)^2)*(O195/P195)^4</f>
        <v>1.5801968027905</v>
      </c>
      <c r="V195" s="14"/>
      <c r="W195" s="14"/>
      <c r="X195" s="10" t="s">
        <v>47</v>
      </c>
      <c r="Y195" s="16"/>
      <c r="Z195" s="17" t="s">
        <v>48</v>
      </c>
      <c r="AA195" s="6"/>
      <c r="AB195" s="18" t="n">
        <f aca="false">IF(O195="","",$D$3*PI()*(O195/1000)^2/4*3600)</f>
        <v>4.50732466151427</v>
      </c>
      <c r="AC195" s="19" t="n">
        <f aca="false">IF(OR(U195="",NOT(ISNUMBER(U195))),"",U195*$D$3^2/(2*$H$3))</f>
        <v>0.18121522967781</v>
      </c>
      <c r="AD195" s="20" t="n">
        <f aca="false">IF(OR(U195="",NOT(ISNUMBER(U195))),"",U195*$D$3^2/2*$F$3)</f>
        <v>1777.72140313932</v>
      </c>
      <c r="AE195" s="19" t="str">
        <f aca="false">IF(OR(V195="",NOT(ISNUMBER(V195))),"",V195*$D$3^2/(2*$H$3))</f>
        <v/>
      </c>
      <c r="AF195" s="20" t="str">
        <f aca="false">IF(OR(V195="",NOT(ISNUMBER(V195))),"",V195*$D$3^2/2*$F$3)</f>
        <v/>
      </c>
      <c r="AG195" s="19" t="str">
        <f aca="false">IF(OR(W195="",NOT(ISNUMBER(W195))),"",W195*$D$3^2/(2*$H$3))</f>
        <v/>
      </c>
      <c r="AH195" s="20" t="str">
        <f aca="false">IF(OR(W195="",NOT(ISNUMBER(W195))),"",W195*$D$3^2/2*$F$3)</f>
        <v/>
      </c>
    </row>
    <row r="196" customFormat="false" ht="15" hidden="false" customHeight="false" outlineLevel="0" collapsed="false">
      <c r="A196" s="10" t="s">
        <v>470</v>
      </c>
      <c r="B196" s="11" t="s">
        <v>41</v>
      </c>
      <c r="C196" s="6" t="s">
        <v>381</v>
      </c>
      <c r="D196" s="6" t="s">
        <v>471</v>
      </c>
      <c r="E196" s="6" t="s">
        <v>200</v>
      </c>
      <c r="F196" s="6" t="s">
        <v>181</v>
      </c>
      <c r="G196" s="6" t="n">
        <v>40</v>
      </c>
      <c r="H196" s="6"/>
      <c r="I196" s="6" t="s">
        <v>130</v>
      </c>
      <c r="J196" s="6" t="n">
        <v>10</v>
      </c>
      <c r="K196" s="6" t="s">
        <v>46</v>
      </c>
      <c r="L196" s="6" t="n">
        <v>92</v>
      </c>
      <c r="M196" s="6" t="n">
        <v>24</v>
      </c>
      <c r="N196" s="12" t="n">
        <v>32.6</v>
      </c>
      <c r="O196" s="12" t="n">
        <v>32.6</v>
      </c>
      <c r="P196" s="13" t="n">
        <v>28</v>
      </c>
      <c r="Q196" s="12"/>
      <c r="R196" s="14" t="n">
        <v>0.022</v>
      </c>
      <c r="S196" s="6" t="n">
        <v>30</v>
      </c>
      <c r="T196" s="6"/>
      <c r="U196" s="15" t="n">
        <f aca="false">(S196*R196+0.5*(1-(P196/N196)^2)+(1-(P196/O196)^2)^2)*(O196/P196)^4</f>
        <v>1.5801968027905</v>
      </c>
      <c r="V196" s="14"/>
      <c r="W196" s="14"/>
      <c r="X196" s="10" t="s">
        <v>47</v>
      </c>
      <c r="Y196" s="16"/>
      <c r="Z196" s="17" t="s">
        <v>48</v>
      </c>
      <c r="AA196" s="6"/>
      <c r="AB196" s="18" t="n">
        <f aca="false">IF(O196="","",$D$3*PI()*(O196/1000)^2/4*3600)</f>
        <v>4.50732466151427</v>
      </c>
      <c r="AC196" s="19" t="n">
        <f aca="false">IF(OR(U196="",NOT(ISNUMBER(U196))),"",U196*$D$3^2/(2*$H$3))</f>
        <v>0.18121522967781</v>
      </c>
      <c r="AD196" s="20" t="n">
        <f aca="false">IF(OR(U196="",NOT(ISNUMBER(U196))),"",U196*$D$3^2/2*$F$3)</f>
        <v>1777.72140313932</v>
      </c>
      <c r="AE196" s="19" t="str">
        <f aca="false">IF(OR(V196="",NOT(ISNUMBER(V196))),"",V196*$D$3^2/(2*$H$3))</f>
        <v/>
      </c>
      <c r="AF196" s="20" t="str">
        <f aca="false">IF(OR(V196="",NOT(ISNUMBER(V196))),"",V196*$D$3^2/2*$F$3)</f>
        <v/>
      </c>
      <c r="AG196" s="19" t="str">
        <f aca="false">IF(OR(W196="",NOT(ISNUMBER(W196))),"",W196*$D$3^2/(2*$H$3))</f>
        <v/>
      </c>
      <c r="AH196" s="20" t="str">
        <f aca="false">IF(OR(W196="",NOT(ISNUMBER(W196))),"",W196*$D$3^2/2*$F$3)</f>
        <v/>
      </c>
    </row>
    <row r="197" customFormat="false" ht="15" hidden="false" customHeight="false" outlineLevel="0" collapsed="false">
      <c r="A197" s="10" t="s">
        <v>472</v>
      </c>
      <c r="B197" s="11" t="s">
        <v>41</v>
      </c>
      <c r="C197" s="6" t="s">
        <v>381</v>
      </c>
      <c r="D197" s="6" t="s">
        <v>473</v>
      </c>
      <c r="E197" s="6" t="s">
        <v>200</v>
      </c>
      <c r="F197" s="6" t="s">
        <v>181</v>
      </c>
      <c r="G197" s="6" t="n">
        <v>50</v>
      </c>
      <c r="H197" s="6"/>
      <c r="I197" s="6" t="s">
        <v>127</v>
      </c>
      <c r="J197" s="6" t="n">
        <v>10</v>
      </c>
      <c r="K197" s="6" t="s">
        <v>46</v>
      </c>
      <c r="L197" s="6" t="n">
        <v>108</v>
      </c>
      <c r="M197" s="6" t="n">
        <v>28</v>
      </c>
      <c r="N197" s="12" t="n">
        <v>40.8</v>
      </c>
      <c r="O197" s="12" t="n">
        <v>40.8</v>
      </c>
      <c r="P197" s="13" t="n">
        <v>35</v>
      </c>
      <c r="Q197" s="12"/>
      <c r="R197" s="14" t="n">
        <v>0.021</v>
      </c>
      <c r="S197" s="6" t="n">
        <v>30</v>
      </c>
      <c r="T197" s="6"/>
      <c r="U197" s="15" t="n">
        <f aca="false">(S197*R197+0.5*(1-(P197/N197)^2)+(1-(P197/O197)^2)^2)*(O197/P197)^4</f>
        <v>1.53599405717484</v>
      </c>
      <c r="V197" s="14"/>
      <c r="W197" s="14"/>
      <c r="X197" s="10" t="s">
        <v>47</v>
      </c>
      <c r="Y197" s="16"/>
      <c r="Z197" s="17" t="s">
        <v>48</v>
      </c>
      <c r="AA197" s="6"/>
      <c r="AB197" s="18" t="n">
        <f aca="false">IF(O197="","",$D$3*PI()*(O197/1000)^2/4*3600)</f>
        <v>7.05998807307681</v>
      </c>
      <c r="AC197" s="19" t="n">
        <f aca="false">IF(OR(U197="",NOT(ISNUMBER(U197))),"",U197*$D$3^2/(2*$H$3))</f>
        <v>0.176146107474179</v>
      </c>
      <c r="AD197" s="20" t="n">
        <f aca="false">IF(OR(U197="",NOT(ISNUMBER(U197))),"",U197*$D$3^2/2*$F$3)</f>
        <v>1727.9933143217</v>
      </c>
      <c r="AE197" s="19" t="str">
        <f aca="false">IF(OR(V197="",NOT(ISNUMBER(V197))),"",V197*$D$3^2/(2*$H$3))</f>
        <v/>
      </c>
      <c r="AF197" s="20" t="str">
        <f aca="false">IF(OR(V197="",NOT(ISNUMBER(V197))),"",V197*$D$3^2/2*$F$3)</f>
        <v/>
      </c>
      <c r="AG197" s="19" t="str">
        <f aca="false">IF(OR(W197="",NOT(ISNUMBER(W197))),"",W197*$D$3^2/(2*$H$3))</f>
        <v/>
      </c>
      <c r="AH197" s="20" t="str">
        <f aca="false">IF(OR(W197="",NOT(ISNUMBER(W197))),"",W197*$D$3^2/2*$F$3)</f>
        <v/>
      </c>
    </row>
    <row r="198" customFormat="false" ht="15" hidden="false" customHeight="false" outlineLevel="0" collapsed="false">
      <c r="A198" s="10" t="s">
        <v>474</v>
      </c>
      <c r="B198" s="11" t="s">
        <v>41</v>
      </c>
      <c r="C198" s="6" t="s">
        <v>381</v>
      </c>
      <c r="D198" s="6" t="s">
        <v>475</v>
      </c>
      <c r="E198" s="6" t="s">
        <v>200</v>
      </c>
      <c r="F198" s="6" t="s">
        <v>181</v>
      </c>
      <c r="G198" s="6" t="n">
        <v>50</v>
      </c>
      <c r="H198" s="6"/>
      <c r="I198" s="6" t="s">
        <v>130</v>
      </c>
      <c r="J198" s="6" t="n">
        <v>10</v>
      </c>
      <c r="K198" s="6" t="s">
        <v>46</v>
      </c>
      <c r="L198" s="6" t="n">
        <v>108</v>
      </c>
      <c r="M198" s="6" t="n">
        <v>28</v>
      </c>
      <c r="N198" s="12" t="n">
        <v>40.8</v>
      </c>
      <c r="O198" s="12" t="n">
        <v>40.8</v>
      </c>
      <c r="P198" s="13" t="n">
        <v>35</v>
      </c>
      <c r="Q198" s="12"/>
      <c r="R198" s="14" t="n">
        <v>0.021</v>
      </c>
      <c r="S198" s="6" t="n">
        <v>30</v>
      </c>
      <c r="T198" s="6"/>
      <c r="U198" s="15" t="n">
        <f aca="false">(S198*R198+0.5*(1-(P198/N198)^2)+(1-(P198/O198)^2)^2)*(O198/P198)^4</f>
        <v>1.53599405717484</v>
      </c>
      <c r="V198" s="14"/>
      <c r="W198" s="14"/>
      <c r="X198" s="10" t="s">
        <v>47</v>
      </c>
      <c r="Y198" s="16"/>
      <c r="Z198" s="17" t="s">
        <v>48</v>
      </c>
      <c r="AA198" s="6"/>
      <c r="AB198" s="18" t="n">
        <f aca="false">IF(O198="","",$D$3*PI()*(O198/1000)^2/4*3600)</f>
        <v>7.05998807307681</v>
      </c>
      <c r="AC198" s="19" t="n">
        <f aca="false">IF(OR(U198="",NOT(ISNUMBER(U198))),"",U198*$D$3^2/(2*$H$3))</f>
        <v>0.176146107474179</v>
      </c>
      <c r="AD198" s="20" t="n">
        <f aca="false">IF(OR(U198="",NOT(ISNUMBER(U198))),"",U198*$D$3^2/2*$F$3)</f>
        <v>1727.9933143217</v>
      </c>
      <c r="AE198" s="19" t="str">
        <f aca="false">IF(OR(V198="",NOT(ISNUMBER(V198))),"",V198*$D$3^2/(2*$H$3))</f>
        <v/>
      </c>
      <c r="AF198" s="20" t="str">
        <f aca="false">IF(OR(V198="",NOT(ISNUMBER(V198))),"",V198*$D$3^2/2*$F$3)</f>
        <v/>
      </c>
      <c r="AG198" s="19" t="str">
        <f aca="false">IF(OR(W198="",NOT(ISNUMBER(W198))),"",W198*$D$3^2/(2*$H$3))</f>
        <v/>
      </c>
      <c r="AH198" s="20" t="str">
        <f aca="false">IF(OR(W198="",NOT(ISNUMBER(W198))),"",W198*$D$3^2/2*$F$3)</f>
        <v/>
      </c>
    </row>
    <row r="199" customFormat="false" ht="15" hidden="false" customHeight="false" outlineLevel="0" collapsed="false">
      <c r="A199" s="10" t="s">
        <v>476</v>
      </c>
      <c r="B199" s="11" t="s">
        <v>41</v>
      </c>
      <c r="C199" s="6" t="s">
        <v>381</v>
      </c>
      <c r="D199" s="6" t="s">
        <v>477</v>
      </c>
      <c r="E199" s="6" t="s">
        <v>200</v>
      </c>
      <c r="F199" s="6" t="s">
        <v>181</v>
      </c>
      <c r="G199" s="6" t="n">
        <v>50</v>
      </c>
      <c r="H199" s="6"/>
      <c r="I199" s="6" t="s">
        <v>133</v>
      </c>
      <c r="J199" s="6" t="n">
        <v>10</v>
      </c>
      <c r="K199" s="6" t="s">
        <v>46</v>
      </c>
      <c r="L199" s="6" t="n">
        <v>108</v>
      </c>
      <c r="M199" s="6" t="n">
        <v>28</v>
      </c>
      <c r="N199" s="12" t="n">
        <v>40.8</v>
      </c>
      <c r="O199" s="12" t="n">
        <v>40.8</v>
      </c>
      <c r="P199" s="13" t="n">
        <v>35</v>
      </c>
      <c r="Q199" s="12"/>
      <c r="R199" s="14" t="n">
        <v>0.021</v>
      </c>
      <c r="S199" s="6" t="n">
        <v>30</v>
      </c>
      <c r="T199" s="6"/>
      <c r="U199" s="15" t="n">
        <f aca="false">(S199*R199+0.5*(1-(P199/N199)^2)+(1-(P199/O199)^2)^2)*(O199/P199)^4</f>
        <v>1.53599405717484</v>
      </c>
      <c r="V199" s="14"/>
      <c r="W199" s="14"/>
      <c r="X199" s="10" t="s">
        <v>47</v>
      </c>
      <c r="Y199" s="16"/>
      <c r="Z199" s="17" t="s">
        <v>48</v>
      </c>
      <c r="AA199" s="6"/>
      <c r="AB199" s="18" t="n">
        <f aca="false">IF(O199="","",$D$3*PI()*(O199/1000)^2/4*3600)</f>
        <v>7.05998807307681</v>
      </c>
      <c r="AC199" s="19" t="n">
        <f aca="false">IF(OR(U199="",NOT(ISNUMBER(U199))),"",U199*$D$3^2/(2*$H$3))</f>
        <v>0.176146107474179</v>
      </c>
      <c r="AD199" s="20" t="n">
        <f aca="false">IF(OR(U199="",NOT(ISNUMBER(U199))),"",U199*$D$3^2/2*$F$3)</f>
        <v>1727.9933143217</v>
      </c>
      <c r="AE199" s="19" t="str">
        <f aca="false">IF(OR(V199="",NOT(ISNUMBER(V199))),"",V199*$D$3^2/(2*$H$3))</f>
        <v/>
      </c>
      <c r="AF199" s="20" t="str">
        <f aca="false">IF(OR(V199="",NOT(ISNUMBER(V199))),"",V199*$D$3^2/2*$F$3)</f>
        <v/>
      </c>
      <c r="AG199" s="19" t="str">
        <f aca="false">IF(OR(W199="",NOT(ISNUMBER(W199))),"",W199*$D$3^2/(2*$H$3))</f>
        <v/>
      </c>
      <c r="AH199" s="20" t="str">
        <f aca="false">IF(OR(W199="",NOT(ISNUMBER(W199))),"",W199*$D$3^2/2*$F$3)</f>
        <v/>
      </c>
    </row>
    <row r="200" customFormat="false" ht="15" hidden="false" customHeight="false" outlineLevel="0" collapsed="false">
      <c r="A200" s="10" t="s">
        <v>478</v>
      </c>
      <c r="B200" s="11" t="s">
        <v>41</v>
      </c>
      <c r="C200" s="6" t="s">
        <v>381</v>
      </c>
      <c r="D200" s="6" t="s">
        <v>479</v>
      </c>
      <c r="E200" s="6" t="s">
        <v>200</v>
      </c>
      <c r="F200" s="6" t="s">
        <v>181</v>
      </c>
      <c r="G200" s="6" t="n">
        <v>63</v>
      </c>
      <c r="H200" s="6"/>
      <c r="I200" s="6" t="s">
        <v>127</v>
      </c>
      <c r="J200" s="6" t="n">
        <v>10</v>
      </c>
      <c r="K200" s="6" t="s">
        <v>46</v>
      </c>
      <c r="L200" s="6" t="n">
        <v>125</v>
      </c>
      <c r="M200" s="6" t="n">
        <v>32</v>
      </c>
      <c r="N200" s="12" t="n">
        <v>51.4</v>
      </c>
      <c r="O200" s="12" t="n">
        <v>51.4</v>
      </c>
      <c r="P200" s="13" t="n">
        <v>45</v>
      </c>
      <c r="Q200" s="12"/>
      <c r="R200" s="14" t="n">
        <v>0.019</v>
      </c>
      <c r="S200" s="6" t="n">
        <v>30</v>
      </c>
      <c r="T200" s="6"/>
      <c r="U200" s="15" t="n">
        <f aca="false">(S200*R200+0.5*(1-(P200/N200)^2)+(1-(P200/O200)^2)^2)*(O200/P200)^4</f>
        <v>1.26180874088999</v>
      </c>
      <c r="V200" s="14"/>
      <c r="W200" s="14"/>
      <c r="X200" s="10" t="s">
        <v>47</v>
      </c>
      <c r="Y200" s="16"/>
      <c r="Z200" s="17" t="s">
        <v>48</v>
      </c>
      <c r="AA200" s="6"/>
      <c r="AB200" s="18" t="n">
        <f aca="false">IF(O200="","",$D$3*PI()*(O200/1000)^2/4*3600)</f>
        <v>11.2049488715554</v>
      </c>
      <c r="AC200" s="19" t="n">
        <f aca="false">IF(OR(U200="",NOT(ISNUMBER(U200))),"",U200*$D$3^2/(2*$H$3))</f>
        <v>0.144702837258026</v>
      </c>
      <c r="AD200" s="20" t="n">
        <f aca="false">IF(OR(U200="",NOT(ISNUMBER(U200))),"",U200*$D$3^2/2*$F$3)</f>
        <v>1419.53483350123</v>
      </c>
      <c r="AE200" s="19" t="str">
        <f aca="false">IF(OR(V200="",NOT(ISNUMBER(V200))),"",V200*$D$3^2/(2*$H$3))</f>
        <v/>
      </c>
      <c r="AF200" s="20" t="str">
        <f aca="false">IF(OR(V200="",NOT(ISNUMBER(V200))),"",V200*$D$3^2/2*$F$3)</f>
        <v/>
      </c>
      <c r="AG200" s="19" t="str">
        <f aca="false">IF(OR(W200="",NOT(ISNUMBER(W200))),"",W200*$D$3^2/(2*$H$3))</f>
        <v/>
      </c>
      <c r="AH200" s="20" t="str">
        <f aca="false">IF(OR(W200="",NOT(ISNUMBER(W200))),"",W200*$D$3^2/2*$F$3)</f>
        <v/>
      </c>
    </row>
    <row r="201" customFormat="false" ht="15" hidden="false" customHeight="false" outlineLevel="0" collapsed="false">
      <c r="A201" s="10" t="s">
        <v>480</v>
      </c>
      <c r="B201" s="11" t="s">
        <v>41</v>
      </c>
      <c r="C201" s="6" t="s">
        <v>381</v>
      </c>
      <c r="D201" s="6" t="s">
        <v>481</v>
      </c>
      <c r="E201" s="6" t="s">
        <v>200</v>
      </c>
      <c r="F201" s="6" t="s">
        <v>181</v>
      </c>
      <c r="G201" s="6" t="n">
        <v>63</v>
      </c>
      <c r="H201" s="6"/>
      <c r="I201" s="6" t="s">
        <v>130</v>
      </c>
      <c r="J201" s="6" t="n">
        <v>10</v>
      </c>
      <c r="K201" s="6" t="s">
        <v>46</v>
      </c>
      <c r="L201" s="6" t="n">
        <v>125</v>
      </c>
      <c r="M201" s="6" t="n">
        <v>32</v>
      </c>
      <c r="N201" s="12" t="n">
        <v>51.4</v>
      </c>
      <c r="O201" s="12" t="n">
        <v>51.4</v>
      </c>
      <c r="P201" s="13" t="n">
        <v>45</v>
      </c>
      <c r="Q201" s="12"/>
      <c r="R201" s="14" t="n">
        <v>0.019</v>
      </c>
      <c r="S201" s="6" t="n">
        <v>30</v>
      </c>
      <c r="T201" s="6"/>
      <c r="U201" s="15" t="n">
        <f aca="false">(S201*R201+0.5*(1-(P201/N201)^2)+(1-(P201/O201)^2)^2)*(O201/P201)^4</f>
        <v>1.26180874088999</v>
      </c>
      <c r="V201" s="14"/>
      <c r="W201" s="14"/>
      <c r="X201" s="10" t="s">
        <v>47</v>
      </c>
      <c r="Y201" s="16"/>
      <c r="Z201" s="17" t="s">
        <v>48</v>
      </c>
      <c r="AA201" s="6"/>
      <c r="AB201" s="18" t="n">
        <f aca="false">IF(O201="","",$D$3*PI()*(O201/1000)^2/4*3600)</f>
        <v>11.2049488715554</v>
      </c>
      <c r="AC201" s="19" t="n">
        <f aca="false">IF(OR(U201="",NOT(ISNUMBER(U201))),"",U201*$D$3^2/(2*$H$3))</f>
        <v>0.144702837258026</v>
      </c>
      <c r="AD201" s="20" t="n">
        <f aca="false">IF(OR(U201="",NOT(ISNUMBER(U201))),"",U201*$D$3^2/2*$F$3)</f>
        <v>1419.53483350123</v>
      </c>
      <c r="AE201" s="19" t="str">
        <f aca="false">IF(OR(V201="",NOT(ISNUMBER(V201))),"",V201*$D$3^2/(2*$H$3))</f>
        <v/>
      </c>
      <c r="AF201" s="20" t="str">
        <f aca="false">IF(OR(V201="",NOT(ISNUMBER(V201))),"",V201*$D$3^2/2*$F$3)</f>
        <v/>
      </c>
      <c r="AG201" s="19" t="str">
        <f aca="false">IF(OR(W201="",NOT(ISNUMBER(W201))),"",W201*$D$3^2/(2*$H$3))</f>
        <v/>
      </c>
      <c r="AH201" s="20" t="str">
        <f aca="false">IF(OR(W201="",NOT(ISNUMBER(W201))),"",W201*$D$3^2/2*$F$3)</f>
        <v/>
      </c>
    </row>
    <row r="202" customFormat="false" ht="15" hidden="false" customHeight="false" outlineLevel="0" collapsed="false">
      <c r="A202" s="10" t="s">
        <v>482</v>
      </c>
      <c r="B202" s="11" t="s">
        <v>41</v>
      </c>
      <c r="C202" s="6" t="s">
        <v>381</v>
      </c>
      <c r="D202" s="6" t="s">
        <v>483</v>
      </c>
      <c r="E202" s="6" t="s">
        <v>200</v>
      </c>
      <c r="F202" s="6" t="s">
        <v>181</v>
      </c>
      <c r="G202" s="6" t="n">
        <v>63</v>
      </c>
      <c r="H202" s="6"/>
      <c r="I202" s="6" t="s">
        <v>133</v>
      </c>
      <c r="J202" s="6" t="n">
        <v>10</v>
      </c>
      <c r="K202" s="6" t="s">
        <v>46</v>
      </c>
      <c r="L202" s="6" t="n">
        <v>125</v>
      </c>
      <c r="M202" s="6" t="n">
        <v>32</v>
      </c>
      <c r="N202" s="12" t="n">
        <v>51.4</v>
      </c>
      <c r="O202" s="12" t="n">
        <v>51.4</v>
      </c>
      <c r="P202" s="13" t="n">
        <v>45</v>
      </c>
      <c r="Q202" s="12"/>
      <c r="R202" s="14" t="n">
        <v>0.019</v>
      </c>
      <c r="S202" s="6" t="n">
        <v>30</v>
      </c>
      <c r="T202" s="6"/>
      <c r="U202" s="15" t="n">
        <f aca="false">(S202*R202+0.5*(1-(P202/N202)^2)+(1-(P202/O202)^2)^2)*(O202/P202)^4</f>
        <v>1.26180874088999</v>
      </c>
      <c r="V202" s="14"/>
      <c r="W202" s="14"/>
      <c r="X202" s="10" t="s">
        <v>47</v>
      </c>
      <c r="Y202" s="16"/>
      <c r="Z202" s="17" t="s">
        <v>48</v>
      </c>
      <c r="AA202" s="6"/>
      <c r="AB202" s="18" t="n">
        <f aca="false">IF(O202="","",$D$3*PI()*(O202/1000)^2/4*3600)</f>
        <v>11.2049488715554</v>
      </c>
      <c r="AC202" s="19" t="n">
        <f aca="false">IF(OR(U202="",NOT(ISNUMBER(U202))),"",U202*$D$3^2/(2*$H$3))</f>
        <v>0.144702837258026</v>
      </c>
      <c r="AD202" s="20" t="n">
        <f aca="false">IF(OR(U202="",NOT(ISNUMBER(U202))),"",U202*$D$3^2/2*$F$3)</f>
        <v>1419.53483350123</v>
      </c>
      <c r="AE202" s="19" t="str">
        <f aca="false">IF(OR(V202="",NOT(ISNUMBER(V202))),"",V202*$D$3^2/(2*$H$3))</f>
        <v/>
      </c>
      <c r="AF202" s="20" t="str">
        <f aca="false">IF(OR(V202="",NOT(ISNUMBER(V202))),"",V202*$D$3^2/2*$F$3)</f>
        <v/>
      </c>
      <c r="AG202" s="19" t="str">
        <f aca="false">IF(OR(W202="",NOT(ISNUMBER(W202))),"",W202*$D$3^2/(2*$H$3))</f>
        <v/>
      </c>
      <c r="AH202" s="20" t="str">
        <f aca="false">IF(OR(W202="",NOT(ISNUMBER(W202))),"",W202*$D$3^2/2*$F$3)</f>
        <v/>
      </c>
    </row>
    <row r="203" customFormat="false" ht="15" hidden="false" customHeight="false" outlineLevel="0" collapsed="false">
      <c r="A203" s="10" t="s">
        <v>484</v>
      </c>
      <c r="B203" s="11" t="s">
        <v>41</v>
      </c>
      <c r="C203" s="6" t="s">
        <v>381</v>
      </c>
      <c r="D203" s="6" t="s">
        <v>485</v>
      </c>
      <c r="E203" s="6" t="s">
        <v>200</v>
      </c>
      <c r="F203" s="6" t="s">
        <v>181</v>
      </c>
      <c r="G203" s="6" t="n">
        <v>75</v>
      </c>
      <c r="H203" s="6"/>
      <c r="I203" s="6" t="s">
        <v>136</v>
      </c>
      <c r="J203" s="6" t="n">
        <v>10</v>
      </c>
      <c r="K203" s="6" t="s">
        <v>46</v>
      </c>
      <c r="L203" s="6" t="n">
        <v>140</v>
      </c>
      <c r="M203" s="6" t="n">
        <v>41</v>
      </c>
      <c r="N203" s="12" t="n">
        <v>61.4</v>
      </c>
      <c r="O203" s="12" t="n">
        <v>61.4</v>
      </c>
      <c r="P203" s="13" t="n">
        <v>54</v>
      </c>
      <c r="Q203" s="12"/>
      <c r="R203" s="14" t="n">
        <v>0.018</v>
      </c>
      <c r="S203" s="6" t="n">
        <v>30</v>
      </c>
      <c r="T203" s="6"/>
      <c r="U203" s="15" t="n">
        <f aca="false">(S203*R203+0.5*(1-(P203/N203)^2)+(1-(P203/O203)^2)^2)*(O203/P203)^4</f>
        <v>1.17766463483999</v>
      </c>
      <c r="V203" s="14"/>
      <c r="W203" s="14"/>
      <c r="X203" s="10" t="s">
        <v>47</v>
      </c>
      <c r="Y203" s="16"/>
      <c r="Z203" s="17" t="s">
        <v>48</v>
      </c>
      <c r="AA203" s="6"/>
      <c r="AB203" s="18" t="n">
        <f aca="false">IF(O203="","",$D$3*PI()*(O203/1000)^2/4*3600)</f>
        <v>15.988966164442</v>
      </c>
      <c r="AC203" s="19" t="n">
        <f aca="false">IF(OR(U203="",NOT(ISNUMBER(U203))),"",U203*$D$3^2/(2*$H$3))</f>
        <v>0.135053283811926</v>
      </c>
      <c r="AD203" s="20" t="n">
        <f aca="false">IF(OR(U203="",NOT(ISNUMBER(U203))),"",U203*$D$3^2/2*$F$3)</f>
        <v>1324.87271419499</v>
      </c>
      <c r="AE203" s="19" t="str">
        <f aca="false">IF(OR(V203="",NOT(ISNUMBER(V203))),"",V203*$D$3^2/(2*$H$3))</f>
        <v/>
      </c>
      <c r="AF203" s="20" t="str">
        <f aca="false">IF(OR(V203="",NOT(ISNUMBER(V203))),"",V203*$D$3^2/2*$F$3)</f>
        <v/>
      </c>
      <c r="AG203" s="19" t="str">
        <f aca="false">IF(OR(W203="",NOT(ISNUMBER(W203))),"",W203*$D$3^2/(2*$H$3))</f>
        <v/>
      </c>
      <c r="AH203" s="20" t="str">
        <f aca="false">IF(OR(W203="",NOT(ISNUMBER(W203))),"",W203*$D$3^2/2*$F$3)</f>
        <v/>
      </c>
    </row>
    <row r="204" customFormat="false" ht="15" hidden="false" customHeight="false" outlineLevel="0" collapsed="false">
      <c r="A204" s="10" t="s">
        <v>486</v>
      </c>
      <c r="B204" s="11" t="s">
        <v>41</v>
      </c>
      <c r="C204" s="6" t="s">
        <v>381</v>
      </c>
      <c r="D204" s="6" t="s">
        <v>487</v>
      </c>
      <c r="E204" s="6" t="s">
        <v>200</v>
      </c>
      <c r="F204" s="6" t="s">
        <v>181</v>
      </c>
      <c r="G204" s="6" t="n">
        <v>90</v>
      </c>
      <c r="H204" s="6"/>
      <c r="I204" s="6" t="s">
        <v>139</v>
      </c>
      <c r="J204" s="6" t="n">
        <v>10</v>
      </c>
      <c r="K204" s="6" t="s">
        <v>46</v>
      </c>
      <c r="L204" s="6" t="n">
        <v>156</v>
      </c>
      <c r="M204" s="6" t="n">
        <v>53</v>
      </c>
      <c r="N204" s="12" t="n">
        <v>73.6</v>
      </c>
      <c r="O204" s="12" t="n">
        <v>73.6</v>
      </c>
      <c r="P204" s="13" t="n">
        <v>66</v>
      </c>
      <c r="Q204" s="12"/>
      <c r="R204" s="14" t="n">
        <v>0.018</v>
      </c>
      <c r="S204" s="6" t="n">
        <v>30</v>
      </c>
      <c r="T204" s="6"/>
      <c r="U204" s="15" t="n">
        <f aca="false">(S204*R204+0.5*(1-(P204/N204)^2)+(1-(P204/O204)^2)^2)*(O204/P204)^4</f>
        <v>1.04584807445353</v>
      </c>
      <c r="V204" s="14"/>
      <c r="W204" s="14"/>
      <c r="X204" s="10" t="s">
        <v>47</v>
      </c>
      <c r="Y204" s="16"/>
      <c r="Z204" s="17" t="s">
        <v>48</v>
      </c>
      <c r="AA204" s="6"/>
      <c r="AB204" s="18" t="n">
        <f aca="false">IF(O204="","",$D$3*PI()*(O204/1000)^2/4*3600)</f>
        <v>22.9741403500662</v>
      </c>
      <c r="AC204" s="19" t="n">
        <f aca="false">IF(OR(U204="",NOT(ISNUMBER(U204))),"",U204*$D$3^2/(2*$H$3))</f>
        <v>0.119936705785955</v>
      </c>
      <c r="AD204" s="20" t="n">
        <f aca="false">IF(OR(U204="",NOT(ISNUMBER(U204))),"",U204*$D$3^2/2*$F$3)</f>
        <v>1176.57908376022</v>
      </c>
      <c r="AE204" s="19" t="str">
        <f aca="false">IF(OR(V204="",NOT(ISNUMBER(V204))),"",V204*$D$3^2/(2*$H$3))</f>
        <v/>
      </c>
      <c r="AF204" s="20" t="str">
        <f aca="false">IF(OR(V204="",NOT(ISNUMBER(V204))),"",V204*$D$3^2/2*$F$3)</f>
        <v/>
      </c>
      <c r="AG204" s="19" t="str">
        <f aca="false">IF(OR(W204="",NOT(ISNUMBER(W204))),"",W204*$D$3^2/(2*$H$3))</f>
        <v/>
      </c>
      <c r="AH204" s="20" t="str">
        <f aca="false">IF(OR(W204="",NOT(ISNUMBER(W204))),"",W204*$D$3^2/2*$F$3)</f>
        <v/>
      </c>
    </row>
    <row r="205" customFormat="false" ht="15" hidden="false" customHeight="false" outlineLevel="0" collapsed="false">
      <c r="A205" s="10" t="s">
        <v>488</v>
      </c>
      <c r="B205" s="11" t="s">
        <v>41</v>
      </c>
      <c r="C205" s="6" t="s">
        <v>381</v>
      </c>
      <c r="D205" s="6" t="s">
        <v>489</v>
      </c>
      <c r="E205" s="6" t="s">
        <v>200</v>
      </c>
      <c r="F205" s="6" t="s">
        <v>181</v>
      </c>
      <c r="G205" s="6" t="n">
        <v>90</v>
      </c>
      <c r="H205" s="6"/>
      <c r="I205" s="6" t="s">
        <v>142</v>
      </c>
      <c r="J205" s="6" t="n">
        <v>10</v>
      </c>
      <c r="K205" s="6" t="s">
        <v>46</v>
      </c>
      <c r="L205" s="6" t="n">
        <v>156</v>
      </c>
      <c r="M205" s="6" t="n">
        <v>53</v>
      </c>
      <c r="N205" s="12" t="n">
        <v>73.6</v>
      </c>
      <c r="O205" s="12" t="n">
        <v>73.6</v>
      </c>
      <c r="P205" s="13" t="n">
        <v>66</v>
      </c>
      <c r="Q205" s="12"/>
      <c r="R205" s="14" t="n">
        <v>0.018</v>
      </c>
      <c r="S205" s="6" t="n">
        <v>30</v>
      </c>
      <c r="T205" s="6"/>
      <c r="U205" s="15" t="n">
        <f aca="false">(S205*R205+0.5*(1-(P205/N205)^2)+(1-(P205/O205)^2)^2)*(O205/P205)^4</f>
        <v>1.04584807445353</v>
      </c>
      <c r="V205" s="14"/>
      <c r="W205" s="14"/>
      <c r="X205" s="10" t="s">
        <v>47</v>
      </c>
      <c r="Y205" s="16"/>
      <c r="Z205" s="17" t="s">
        <v>48</v>
      </c>
      <c r="AA205" s="6"/>
      <c r="AB205" s="18" t="n">
        <f aca="false">IF(O205="","",$D$3*PI()*(O205/1000)^2/4*3600)</f>
        <v>22.9741403500662</v>
      </c>
      <c r="AC205" s="19" t="n">
        <f aca="false">IF(OR(U205="",NOT(ISNUMBER(U205))),"",U205*$D$3^2/(2*$H$3))</f>
        <v>0.119936705785955</v>
      </c>
      <c r="AD205" s="20" t="n">
        <f aca="false">IF(OR(U205="",NOT(ISNUMBER(U205))),"",U205*$D$3^2/2*$F$3)</f>
        <v>1176.57908376022</v>
      </c>
      <c r="AE205" s="19" t="str">
        <f aca="false">IF(OR(V205="",NOT(ISNUMBER(V205))),"",V205*$D$3^2/(2*$H$3))</f>
        <v/>
      </c>
      <c r="AF205" s="20" t="str">
        <f aca="false">IF(OR(V205="",NOT(ISNUMBER(V205))),"",V205*$D$3^2/2*$F$3)</f>
        <v/>
      </c>
      <c r="AG205" s="19" t="str">
        <f aca="false">IF(OR(W205="",NOT(ISNUMBER(W205))),"",W205*$D$3^2/(2*$H$3))</f>
        <v/>
      </c>
      <c r="AH205" s="20" t="str">
        <f aca="false">IF(OR(W205="",NOT(ISNUMBER(W205))),"",W205*$D$3^2/2*$F$3)</f>
        <v/>
      </c>
    </row>
    <row r="206" customFormat="false" ht="15" hidden="false" customHeight="false" outlineLevel="0" collapsed="false">
      <c r="A206" s="10" t="s">
        <v>490</v>
      </c>
      <c r="B206" s="11" t="s">
        <v>41</v>
      </c>
      <c r="C206" s="6" t="s">
        <v>381</v>
      </c>
      <c r="D206" s="6" t="s">
        <v>491</v>
      </c>
      <c r="E206" s="6" t="s">
        <v>200</v>
      </c>
      <c r="F206" s="6" t="s">
        <v>181</v>
      </c>
      <c r="G206" s="6" t="n">
        <v>110</v>
      </c>
      <c r="H206" s="6"/>
      <c r="I206" s="6" t="s">
        <v>142</v>
      </c>
      <c r="J206" s="6" t="n">
        <v>10</v>
      </c>
      <c r="K206" s="6" t="s">
        <v>46</v>
      </c>
      <c r="L206" s="6" t="n">
        <v>176</v>
      </c>
      <c r="M206" s="6" t="n">
        <v>63</v>
      </c>
      <c r="N206" s="12" t="n">
        <v>90</v>
      </c>
      <c r="O206" s="12" t="n">
        <v>90</v>
      </c>
      <c r="P206" s="13" t="n">
        <v>81</v>
      </c>
      <c r="Q206" s="12"/>
      <c r="R206" s="14" t="n">
        <v>0.017</v>
      </c>
      <c r="S206" s="6" t="n">
        <v>30</v>
      </c>
      <c r="T206" s="6"/>
      <c r="U206" s="15" t="n">
        <f aca="false">(S206*R206+0.5*(1-(P206/N206)^2)+(1-(P206/O206)^2)^2)*(O206/P206)^4</f>
        <v>0.977137631458619</v>
      </c>
      <c r="V206" s="14"/>
      <c r="W206" s="14"/>
      <c r="X206" s="10" t="s">
        <v>47</v>
      </c>
      <c r="Y206" s="16"/>
      <c r="Z206" s="17" t="s">
        <v>48</v>
      </c>
      <c r="AA206" s="6"/>
      <c r="AB206" s="18" t="n">
        <f aca="false">IF(O206="","",$D$3*PI()*(O206/1000)^2/4*3600)</f>
        <v>34.3533156670044</v>
      </c>
      <c r="AC206" s="19" t="n">
        <f aca="false">IF(OR(U206="",NOT(ISNUMBER(U206))),"",U206*$D$3^2/(2*$H$3))</f>
        <v>0.112057067827823</v>
      </c>
      <c r="AD206" s="20" t="n">
        <f aca="false">IF(OR(U206="",NOT(ISNUMBER(U206))),"",U206*$D$3^2/2*$F$3)</f>
        <v>1099.27983539095</v>
      </c>
      <c r="AE206" s="19" t="str">
        <f aca="false">IF(OR(V206="",NOT(ISNUMBER(V206))),"",V206*$D$3^2/(2*$H$3))</f>
        <v/>
      </c>
      <c r="AF206" s="20" t="str">
        <f aca="false">IF(OR(V206="",NOT(ISNUMBER(V206))),"",V206*$D$3^2/2*$F$3)</f>
        <v/>
      </c>
      <c r="AG206" s="19" t="str">
        <f aca="false">IF(OR(W206="",NOT(ISNUMBER(W206))),"",W206*$D$3^2/(2*$H$3))</f>
        <v/>
      </c>
      <c r="AH206" s="20" t="str">
        <f aca="false">IF(OR(W206="",NOT(ISNUMBER(W206))),"",W206*$D$3^2/2*$F$3)</f>
        <v/>
      </c>
    </row>
    <row r="207" customFormat="false" ht="15" hidden="false" customHeight="false" outlineLevel="0" collapsed="false">
      <c r="A207" s="10" t="s">
        <v>492</v>
      </c>
      <c r="B207" s="11" t="s">
        <v>41</v>
      </c>
      <c r="C207" s="6" t="s">
        <v>381</v>
      </c>
      <c r="D207" s="6" t="s">
        <v>493</v>
      </c>
      <c r="E207" s="6" t="s">
        <v>494</v>
      </c>
      <c r="F207" s="6" t="s">
        <v>181</v>
      </c>
      <c r="G207" s="6" t="n">
        <v>25</v>
      </c>
      <c r="H207" s="6"/>
      <c r="I207" s="6" t="s">
        <v>111</v>
      </c>
      <c r="J207" s="6" t="n">
        <v>10</v>
      </c>
      <c r="K207" s="6" t="s">
        <v>46</v>
      </c>
      <c r="L207" s="6" t="n">
        <v>65</v>
      </c>
      <c r="M207" s="6" t="n">
        <v>32</v>
      </c>
      <c r="N207" s="12" t="n">
        <v>20.4</v>
      </c>
      <c r="O207" s="12" t="n">
        <v>20.4</v>
      </c>
      <c r="P207" s="13" t="n">
        <v>17</v>
      </c>
      <c r="Q207" s="12"/>
      <c r="R207" s="14" t="n">
        <v>0.025</v>
      </c>
      <c r="S207" s="6" t="n">
        <v>30</v>
      </c>
      <c r="T207" s="6"/>
      <c r="U207" s="15" t="n">
        <f aca="false">(S207*R207+0.5*(1-(P207/N207)^2)+(1-(P207/O207)^2)^2)*(O207/P207)^4</f>
        <v>2.0656</v>
      </c>
      <c r="V207" s="14"/>
      <c r="W207" s="14"/>
      <c r="X207" s="10" t="s">
        <v>47</v>
      </c>
      <c r="Y207" s="16"/>
      <c r="Z207" s="17" t="s">
        <v>48</v>
      </c>
      <c r="AA207" s="6"/>
      <c r="AB207" s="18" t="n">
        <f aca="false">IF(O207="","",$D$3*PI()*(O207/1000)^2/4*3600)</f>
        <v>1.7649970182692</v>
      </c>
      <c r="AC207" s="19" t="n">
        <f aca="false">IF(OR(U207="",NOT(ISNUMBER(U207))),"",U207*$D$3^2/(2*$H$3))</f>
        <v>0.236880733944954</v>
      </c>
      <c r="AD207" s="20" t="n">
        <f aca="false">IF(OR(U207="",NOT(ISNUMBER(U207))),"",U207*$D$3^2/2*$F$3)</f>
        <v>2323.8</v>
      </c>
      <c r="AE207" s="19" t="str">
        <f aca="false">IF(OR(V207="",NOT(ISNUMBER(V207))),"",V207*$D$3^2/(2*$H$3))</f>
        <v/>
      </c>
      <c r="AF207" s="20" t="str">
        <f aca="false">IF(OR(V207="",NOT(ISNUMBER(V207))),"",V207*$D$3^2/2*$F$3)</f>
        <v/>
      </c>
      <c r="AG207" s="19" t="str">
        <f aca="false">IF(OR(W207="",NOT(ISNUMBER(W207))),"",W207*$D$3^2/(2*$H$3))</f>
        <v/>
      </c>
      <c r="AH207" s="20" t="str">
        <f aca="false">IF(OR(W207="",NOT(ISNUMBER(W207))),"",W207*$D$3^2/2*$F$3)</f>
        <v/>
      </c>
    </row>
    <row r="208" customFormat="false" ht="15" hidden="false" customHeight="false" outlineLevel="0" collapsed="false">
      <c r="A208" s="10" t="s">
        <v>495</v>
      </c>
      <c r="B208" s="11" t="s">
        <v>41</v>
      </c>
      <c r="C208" s="6" t="s">
        <v>381</v>
      </c>
      <c r="D208" s="6" t="s">
        <v>496</v>
      </c>
      <c r="E208" s="6" t="s">
        <v>497</v>
      </c>
      <c r="F208" s="6" t="s">
        <v>181</v>
      </c>
      <c r="G208" s="6" t="n">
        <v>25</v>
      </c>
      <c r="H208" s="6"/>
      <c r="I208" s="6" t="s">
        <v>111</v>
      </c>
      <c r="J208" s="6" t="n">
        <v>10</v>
      </c>
      <c r="K208" s="6" t="s">
        <v>46</v>
      </c>
      <c r="L208" s="6" t="n">
        <v>65</v>
      </c>
      <c r="M208" s="6" t="n">
        <v>32</v>
      </c>
      <c r="N208" s="12" t="n">
        <v>20.4</v>
      </c>
      <c r="O208" s="12" t="n">
        <v>20.4</v>
      </c>
      <c r="P208" s="13" t="n">
        <v>17</v>
      </c>
      <c r="Q208" s="12"/>
      <c r="R208" s="14" t="n">
        <v>0.025</v>
      </c>
      <c r="S208" s="6" t="n">
        <v>30</v>
      </c>
      <c r="T208" s="6"/>
      <c r="U208" s="15" t="n">
        <f aca="false">(S208*R208+0.5*(1-(P208/N208)^2)+(1-(P208/O208)^2)^2)*(O208/P208)^4</f>
        <v>2.0656</v>
      </c>
      <c r="V208" s="14"/>
      <c r="W208" s="14"/>
      <c r="X208" s="10" t="s">
        <v>47</v>
      </c>
      <c r="Y208" s="16"/>
      <c r="Z208" s="17" t="s">
        <v>48</v>
      </c>
      <c r="AA208" s="6"/>
      <c r="AB208" s="18" t="n">
        <f aca="false">IF(O208="","",$D$3*PI()*(O208/1000)^2/4*3600)</f>
        <v>1.7649970182692</v>
      </c>
      <c r="AC208" s="19" t="n">
        <f aca="false">IF(OR(U208="",NOT(ISNUMBER(U208))),"",U208*$D$3^2/(2*$H$3))</f>
        <v>0.236880733944954</v>
      </c>
      <c r="AD208" s="20" t="n">
        <f aca="false">IF(OR(U208="",NOT(ISNUMBER(U208))),"",U208*$D$3^2/2*$F$3)</f>
        <v>2323.8</v>
      </c>
      <c r="AE208" s="19" t="str">
        <f aca="false">IF(OR(V208="",NOT(ISNUMBER(V208))),"",V208*$D$3^2/(2*$H$3))</f>
        <v/>
      </c>
      <c r="AF208" s="20" t="str">
        <f aca="false">IF(OR(V208="",NOT(ISNUMBER(V208))),"",V208*$D$3^2/2*$F$3)</f>
        <v/>
      </c>
      <c r="AG208" s="19" t="str">
        <f aca="false">IF(OR(W208="",NOT(ISNUMBER(W208))),"",W208*$D$3^2/(2*$H$3))</f>
        <v/>
      </c>
      <c r="AH208" s="20" t="str">
        <f aca="false">IF(OR(W208="",NOT(ISNUMBER(W208))),"",W208*$D$3^2/2*$F$3)</f>
        <v/>
      </c>
    </row>
    <row r="209" customFormat="false" ht="15" hidden="false" customHeight="false" outlineLevel="0" collapsed="false">
      <c r="A209" s="10" t="s">
        <v>498</v>
      </c>
      <c r="B209" s="11" t="s">
        <v>41</v>
      </c>
      <c r="C209" s="6" t="s">
        <v>381</v>
      </c>
      <c r="D209" s="6" t="s">
        <v>499</v>
      </c>
      <c r="E209" s="6" t="s">
        <v>246</v>
      </c>
      <c r="F209" s="6" t="s">
        <v>247</v>
      </c>
      <c r="G209" s="6" t="n">
        <v>16</v>
      </c>
      <c r="H209" s="6" t="n">
        <v>16</v>
      </c>
      <c r="I209" s="6"/>
      <c r="J209" s="6" t="n">
        <v>16</v>
      </c>
      <c r="K209" s="6" t="s">
        <v>46</v>
      </c>
      <c r="L209" s="6" t="n">
        <v>49</v>
      </c>
      <c r="M209" s="6" t="n">
        <v>13</v>
      </c>
      <c r="N209" s="12" t="n">
        <v>12</v>
      </c>
      <c r="O209" s="12" t="n">
        <v>12</v>
      </c>
      <c r="P209" s="13" t="n">
        <v>10</v>
      </c>
      <c r="Q209" s="13" t="n">
        <v>10</v>
      </c>
      <c r="R209" s="14" t="n">
        <v>0.027</v>
      </c>
      <c r="S209" s="6" t="n">
        <v>20</v>
      </c>
      <c r="T209" s="6"/>
      <c r="U209" s="15" t="n">
        <f aca="false">(20*R209+0.5*(1-(P209/N209)^2)+(1-(P209/N209)^2)^2)*(N209/P209)^4</f>
        <v>1.630144</v>
      </c>
      <c r="V209" s="15" t="n">
        <f aca="false">(60*R209+0.5*(1-(Q209/N209)^2)+(1-(Q209/O209)^2)^2)*(O209/Q209)^4</f>
        <v>3.869632</v>
      </c>
      <c r="W209" s="14"/>
      <c r="X209" s="10" t="s">
        <v>248</v>
      </c>
      <c r="Y209" s="16"/>
      <c r="Z209" s="17" t="s">
        <v>48</v>
      </c>
      <c r="AA209" s="6"/>
      <c r="AB209" s="18" t="n">
        <f aca="false">IF(O209="","",$D$3*PI()*(O209/1000)^2/4*3600)</f>
        <v>0.610725611857856</v>
      </c>
      <c r="AC209" s="19" t="n">
        <f aca="false">IF(OR(U209="",NOT(ISNUMBER(U209))),"",U209*$D$3^2/(2*$H$3))</f>
        <v>0.186943119266055</v>
      </c>
      <c r="AD209" s="20" t="n">
        <f aca="false">IF(OR(U209="",NOT(ISNUMBER(U209))),"",U209*$D$3^2/2*$F$3)</f>
        <v>1833.912</v>
      </c>
      <c r="AE209" s="19" t="n">
        <f aca="false">IF(OR(V209="",NOT(ISNUMBER(V209))),"",V209*$D$3^2/(2*$H$3))</f>
        <v>0.443765137614679</v>
      </c>
      <c r="AF209" s="20" t="n">
        <f aca="false">IF(OR(V209="",NOT(ISNUMBER(V209))),"",V209*$D$3^2/2*$F$3)</f>
        <v>4353.336</v>
      </c>
      <c r="AG209" s="19" t="str">
        <f aca="false">IF(OR(W209="",NOT(ISNUMBER(W209))),"",W209*$D$3^2/(2*$H$3))</f>
        <v/>
      </c>
      <c r="AH209" s="20" t="str">
        <f aca="false">IF(OR(W209="",NOT(ISNUMBER(W209))),"",W209*$D$3^2/2*$F$3)</f>
        <v/>
      </c>
    </row>
    <row r="210" customFormat="false" ht="15" hidden="false" customHeight="false" outlineLevel="0" collapsed="false">
      <c r="A210" s="10" t="s">
        <v>500</v>
      </c>
      <c r="B210" s="11" t="s">
        <v>41</v>
      </c>
      <c r="C210" s="6" t="s">
        <v>381</v>
      </c>
      <c r="D210" s="6" t="s">
        <v>501</v>
      </c>
      <c r="E210" s="6" t="s">
        <v>246</v>
      </c>
      <c r="F210" s="6" t="s">
        <v>247</v>
      </c>
      <c r="G210" s="6" t="n">
        <v>20</v>
      </c>
      <c r="H210" s="6" t="n">
        <v>20</v>
      </c>
      <c r="I210" s="6"/>
      <c r="J210" s="6" t="n">
        <v>16</v>
      </c>
      <c r="K210" s="6" t="s">
        <v>46</v>
      </c>
      <c r="L210" s="6" t="n">
        <v>49</v>
      </c>
      <c r="M210" s="6" t="n">
        <v>13</v>
      </c>
      <c r="N210" s="12" t="n">
        <v>16</v>
      </c>
      <c r="O210" s="12" t="n">
        <v>16</v>
      </c>
      <c r="P210" s="13" t="n">
        <v>13</v>
      </c>
      <c r="Q210" s="13" t="n">
        <v>13</v>
      </c>
      <c r="R210" s="14" t="n">
        <v>0.027</v>
      </c>
      <c r="S210" s="6" t="n">
        <v>20</v>
      </c>
      <c r="T210" s="6"/>
      <c r="U210" s="15" t="n">
        <f aca="false">(20*R210+0.5*(1-(P210/N210)^2)+(1-(P210/N210)^2)^2)*(N210/P210)^4</f>
        <v>1.89399670879871</v>
      </c>
      <c r="V210" s="15" t="n">
        <f aca="false">(60*R210+0.5*(1-(Q210/N210)^2)+(1-(Q210/O210)^2)^2)*(O210/Q210)^4</f>
        <v>4.37216203914429</v>
      </c>
      <c r="W210" s="14"/>
      <c r="X210" s="10" t="s">
        <v>248</v>
      </c>
      <c r="Y210" s="16"/>
      <c r="Z210" s="17" t="s">
        <v>48</v>
      </c>
      <c r="AA210" s="6"/>
      <c r="AB210" s="18" t="n">
        <f aca="false">IF(O210="","",$D$3*PI()*(O210/1000)^2/4*3600)</f>
        <v>1.08573442108063</v>
      </c>
      <c r="AC210" s="19" t="n">
        <f aca="false">IF(OR(U210="",NOT(ISNUMBER(U210))),"",U210*$D$3^2/(2*$H$3))</f>
        <v>0.217201457431045</v>
      </c>
      <c r="AD210" s="20" t="n">
        <f aca="false">IF(OR(U210="",NOT(ISNUMBER(U210))),"",U210*$D$3^2/2*$F$3)</f>
        <v>2130.74629739855</v>
      </c>
      <c r="AE210" s="19" t="n">
        <f aca="false">IF(OR(V210="",NOT(ISNUMBER(V210))),"",V210*$D$3^2/(2*$H$3))</f>
        <v>0.501394729259666</v>
      </c>
      <c r="AF210" s="20" t="n">
        <f aca="false">IF(OR(V210="",NOT(ISNUMBER(V210))),"",V210*$D$3^2/2*$F$3)</f>
        <v>4918.68229403732</v>
      </c>
      <c r="AG210" s="19" t="str">
        <f aca="false">IF(OR(W210="",NOT(ISNUMBER(W210))),"",W210*$D$3^2/(2*$H$3))</f>
        <v/>
      </c>
      <c r="AH210" s="20" t="str">
        <f aca="false">IF(OR(W210="",NOT(ISNUMBER(W210))),"",W210*$D$3^2/2*$F$3)</f>
        <v/>
      </c>
    </row>
    <row r="211" customFormat="false" ht="15" hidden="false" customHeight="false" outlineLevel="0" collapsed="false">
      <c r="A211" s="10" t="s">
        <v>502</v>
      </c>
      <c r="B211" s="11" t="s">
        <v>41</v>
      </c>
      <c r="C211" s="6" t="s">
        <v>381</v>
      </c>
      <c r="D211" s="6" t="s">
        <v>503</v>
      </c>
      <c r="E211" s="6" t="s">
        <v>246</v>
      </c>
      <c r="F211" s="6" t="s">
        <v>247</v>
      </c>
      <c r="G211" s="6" t="n">
        <v>25</v>
      </c>
      <c r="H211" s="6" t="n">
        <v>25</v>
      </c>
      <c r="I211" s="6"/>
      <c r="J211" s="6" t="n">
        <v>16</v>
      </c>
      <c r="K211" s="6" t="s">
        <v>46</v>
      </c>
      <c r="L211" s="6" t="n">
        <v>58</v>
      </c>
      <c r="M211" s="6" t="n">
        <v>16</v>
      </c>
      <c r="N211" s="12" t="n">
        <v>20.4</v>
      </c>
      <c r="O211" s="12" t="n">
        <v>20.4</v>
      </c>
      <c r="P211" s="13" t="n">
        <v>17</v>
      </c>
      <c r="Q211" s="13" t="n">
        <v>17</v>
      </c>
      <c r="R211" s="14" t="n">
        <v>0.025</v>
      </c>
      <c r="S211" s="6" t="n">
        <v>20</v>
      </c>
      <c r="T211" s="6"/>
      <c r="U211" s="15" t="n">
        <f aca="false">(20*R211+0.5*(1-(P211/N211)^2)+(1-(P211/N211)^2)^2)*(N211/P211)^4</f>
        <v>1.5472</v>
      </c>
      <c r="V211" s="15" t="n">
        <f aca="false">(60*R211+0.5*(1-(Q211/N211)^2)+(1-(Q211/O211)^2)^2)*(O211/Q211)^4</f>
        <v>3.6208</v>
      </c>
      <c r="W211" s="14"/>
      <c r="X211" s="10" t="s">
        <v>248</v>
      </c>
      <c r="Y211" s="16"/>
      <c r="Z211" s="17" t="s">
        <v>48</v>
      </c>
      <c r="AA211" s="6"/>
      <c r="AB211" s="18" t="n">
        <f aca="false">IF(O211="","",$D$3*PI()*(O211/1000)^2/4*3600)</f>
        <v>1.7649970182692</v>
      </c>
      <c r="AC211" s="19" t="n">
        <f aca="false">IF(OR(U211="",NOT(ISNUMBER(U211))),"",U211*$D$3^2/(2*$H$3))</f>
        <v>0.17743119266055</v>
      </c>
      <c r="AD211" s="20" t="n">
        <f aca="false">IF(OR(U211="",NOT(ISNUMBER(U211))),"",U211*$D$3^2/2*$F$3)</f>
        <v>1740.6</v>
      </c>
      <c r="AE211" s="19" t="n">
        <f aca="false">IF(OR(V211="",NOT(ISNUMBER(V211))),"",V211*$D$3^2/(2*$H$3))</f>
        <v>0.415229357798165</v>
      </c>
      <c r="AF211" s="20" t="n">
        <f aca="false">IF(OR(V211="",NOT(ISNUMBER(V211))),"",V211*$D$3^2/2*$F$3)</f>
        <v>4073.4</v>
      </c>
      <c r="AG211" s="19" t="str">
        <f aca="false">IF(OR(W211="",NOT(ISNUMBER(W211))),"",W211*$D$3^2/(2*$H$3))</f>
        <v/>
      </c>
      <c r="AH211" s="20" t="str">
        <f aca="false">IF(OR(W211="",NOT(ISNUMBER(W211))),"",W211*$D$3^2/2*$F$3)</f>
        <v/>
      </c>
    </row>
    <row r="212" customFormat="false" ht="15" hidden="false" customHeight="false" outlineLevel="0" collapsed="false">
      <c r="A212" s="10" t="s">
        <v>504</v>
      </c>
      <c r="B212" s="11" t="s">
        <v>41</v>
      </c>
      <c r="C212" s="6" t="s">
        <v>381</v>
      </c>
      <c r="D212" s="6" t="s">
        <v>505</v>
      </c>
      <c r="E212" s="6" t="s">
        <v>246</v>
      </c>
      <c r="F212" s="6" t="s">
        <v>247</v>
      </c>
      <c r="G212" s="6" t="n">
        <v>32</v>
      </c>
      <c r="H212" s="6" t="n">
        <v>32</v>
      </c>
      <c r="I212" s="6"/>
      <c r="J212" s="6" t="n">
        <v>16</v>
      </c>
      <c r="K212" s="6" t="s">
        <v>46</v>
      </c>
      <c r="L212" s="6" t="n">
        <v>81</v>
      </c>
      <c r="M212" s="6" t="n">
        <v>18</v>
      </c>
      <c r="N212" s="12" t="n">
        <v>26.2</v>
      </c>
      <c r="O212" s="12" t="n">
        <v>26.2</v>
      </c>
      <c r="P212" s="13" t="n">
        <v>22</v>
      </c>
      <c r="Q212" s="13" t="n">
        <v>22</v>
      </c>
      <c r="R212" s="14" t="n">
        <v>0.023</v>
      </c>
      <c r="S212" s="6" t="n">
        <v>20</v>
      </c>
      <c r="T212" s="6"/>
      <c r="U212" s="15" t="n">
        <f aca="false">(20*R212+0.5*(1-(P212/N212)^2)+(1-(P212/N212)^2)^2)*(N212/P212)^4</f>
        <v>1.39682805245543</v>
      </c>
      <c r="V212" s="15" t="n">
        <f aca="false">(60*R212+0.5*(1-(Q212/N212)^2)+(1-(Q212/O212)^2)^2)*(O212/Q212)^4</f>
        <v>3.24738421200738</v>
      </c>
      <c r="W212" s="14"/>
      <c r="X212" s="10" t="s">
        <v>248</v>
      </c>
      <c r="Y212" s="16"/>
      <c r="Z212" s="17" t="s">
        <v>48</v>
      </c>
      <c r="AA212" s="6"/>
      <c r="AB212" s="18" t="n">
        <f aca="false">IF(O212="","",$D$3*PI()*(O212/1000)^2/4*3600)</f>
        <v>2.91129506252574</v>
      </c>
      <c r="AC212" s="19" t="n">
        <f aca="false">IF(OR(U212="",NOT(ISNUMBER(U212))),"",U212*$D$3^2/(2*$H$3))</f>
        <v>0.160186703263238</v>
      </c>
      <c r="AD212" s="20" t="n">
        <f aca="false">IF(OR(U212="",NOT(ISNUMBER(U212))),"",U212*$D$3^2/2*$F$3)</f>
        <v>1571.43155901236</v>
      </c>
      <c r="AE212" s="19" t="n">
        <f aca="false">IF(OR(V212="",NOT(ISNUMBER(V212))),"",V212*$D$3^2/(2*$H$3))</f>
        <v>0.372406446331121</v>
      </c>
      <c r="AF212" s="20" t="n">
        <f aca="false">IF(OR(V212="",NOT(ISNUMBER(V212))),"",V212*$D$3^2/2*$F$3)</f>
        <v>3653.3072385083</v>
      </c>
      <c r="AG212" s="19" t="str">
        <f aca="false">IF(OR(W212="",NOT(ISNUMBER(W212))),"",W212*$D$3^2/(2*$H$3))</f>
        <v/>
      </c>
      <c r="AH212" s="20" t="str">
        <f aca="false">IF(OR(W212="",NOT(ISNUMBER(W212))),"",W212*$D$3^2/2*$F$3)</f>
        <v/>
      </c>
    </row>
    <row r="213" customFormat="false" ht="15" hidden="false" customHeight="false" outlineLevel="0" collapsed="false">
      <c r="A213" s="10" t="s">
        <v>506</v>
      </c>
      <c r="B213" s="11" t="s">
        <v>41</v>
      </c>
      <c r="C213" s="6" t="s">
        <v>381</v>
      </c>
      <c r="D213" s="6" t="s">
        <v>507</v>
      </c>
      <c r="E213" s="6" t="s">
        <v>246</v>
      </c>
      <c r="F213" s="6" t="s">
        <v>247</v>
      </c>
      <c r="G213" s="6" t="n">
        <v>40</v>
      </c>
      <c r="H213" s="6" t="n">
        <v>40</v>
      </c>
      <c r="I213" s="6"/>
      <c r="J213" s="6" t="n">
        <v>16</v>
      </c>
      <c r="K213" s="6" t="s">
        <v>46</v>
      </c>
      <c r="L213" s="6" t="n">
        <v>92</v>
      </c>
      <c r="M213" s="6" t="n">
        <v>24</v>
      </c>
      <c r="N213" s="12" t="n">
        <v>32.6</v>
      </c>
      <c r="O213" s="12" t="n">
        <v>32.6</v>
      </c>
      <c r="P213" s="13" t="n">
        <v>28</v>
      </c>
      <c r="Q213" s="13" t="n">
        <v>28</v>
      </c>
      <c r="R213" s="14" t="n">
        <v>0.022</v>
      </c>
      <c r="S213" s="6" t="n">
        <v>20</v>
      </c>
      <c r="T213" s="6"/>
      <c r="U213" s="15" t="n">
        <f aca="false">(20*R213+0.5*(1-(P213/N213)^2)+(1-(P213/N213)^2)^2)*(N213/P213)^4</f>
        <v>1.17593663145564</v>
      </c>
      <c r="V213" s="15" t="n">
        <f aca="false">(60*R213+0.5*(1-(Q213/N213)^2)+(1-(Q213/O213)^2)^2)*(O213/Q213)^4</f>
        <v>2.79297731679509</v>
      </c>
      <c r="W213" s="14"/>
      <c r="X213" s="10" t="s">
        <v>248</v>
      </c>
      <c r="Y213" s="16"/>
      <c r="Z213" s="17" t="s">
        <v>48</v>
      </c>
      <c r="AA213" s="6"/>
      <c r="AB213" s="18" t="n">
        <f aca="false">IF(O213="","",$D$3*PI()*(O213/1000)^2/4*3600)</f>
        <v>4.50732466151427</v>
      </c>
      <c r="AC213" s="19" t="n">
        <f aca="false">IF(OR(U213="",NOT(ISNUMBER(U213))),"",U213*$D$3^2/(2*$H$3))</f>
        <v>0.134855118286198</v>
      </c>
      <c r="AD213" s="20" t="n">
        <f aca="false">IF(OR(U213="",NOT(ISNUMBER(U213))),"",U213*$D$3^2/2*$F$3)</f>
        <v>1322.9287103876</v>
      </c>
      <c r="AE213" s="19" t="n">
        <f aca="false">IF(OR(V213="",NOT(ISNUMBER(V213))),"",V213*$D$3^2/(2*$H$3))</f>
        <v>0.320295563852647</v>
      </c>
      <c r="AF213" s="20" t="n">
        <f aca="false">IF(OR(V213="",NOT(ISNUMBER(V213))),"",V213*$D$3^2/2*$F$3)</f>
        <v>3142.09948139447</v>
      </c>
      <c r="AG213" s="19" t="str">
        <f aca="false">IF(OR(W213="",NOT(ISNUMBER(W213))),"",W213*$D$3^2/(2*$H$3))</f>
        <v/>
      </c>
      <c r="AH213" s="20" t="str">
        <f aca="false">IF(OR(W213="",NOT(ISNUMBER(W213))),"",W213*$D$3^2/2*$F$3)</f>
        <v/>
      </c>
    </row>
    <row r="214" customFormat="false" ht="15" hidden="false" customHeight="false" outlineLevel="0" collapsed="false">
      <c r="A214" s="10" t="s">
        <v>508</v>
      </c>
      <c r="B214" s="11" t="s">
        <v>41</v>
      </c>
      <c r="C214" s="6" t="s">
        <v>381</v>
      </c>
      <c r="D214" s="6" t="s">
        <v>509</v>
      </c>
      <c r="E214" s="6" t="s">
        <v>246</v>
      </c>
      <c r="F214" s="6" t="s">
        <v>247</v>
      </c>
      <c r="G214" s="6" t="n">
        <v>50</v>
      </c>
      <c r="H214" s="6" t="n">
        <v>50</v>
      </c>
      <c r="I214" s="6"/>
      <c r="J214" s="6" t="n">
        <v>16</v>
      </c>
      <c r="K214" s="6" t="s">
        <v>46</v>
      </c>
      <c r="L214" s="6" t="n">
        <v>108</v>
      </c>
      <c r="M214" s="6" t="n">
        <v>28</v>
      </c>
      <c r="N214" s="12" t="n">
        <v>40.8</v>
      </c>
      <c r="O214" s="12" t="n">
        <v>40.8</v>
      </c>
      <c r="P214" s="13" t="n">
        <v>35</v>
      </c>
      <c r="Q214" s="13" t="n">
        <v>35</v>
      </c>
      <c r="R214" s="14" t="n">
        <v>0.021</v>
      </c>
      <c r="S214" s="6" t="n">
        <v>20</v>
      </c>
      <c r="T214" s="6"/>
      <c r="U214" s="15" t="n">
        <f aca="false">(20*R214+0.5*(1-(P214/N214)^2)+(1-(P214/N214)^2)^2)*(N214/P214)^4</f>
        <v>1.14821194691012</v>
      </c>
      <c r="V214" s="15" t="n">
        <f aca="false">(60*R214+0.5*(1-(Q214/N214)^2)+(1-(Q214/O214)^2)^2)*(O214/Q214)^4</f>
        <v>2.69934038796901</v>
      </c>
      <c r="W214" s="14"/>
      <c r="X214" s="10" t="s">
        <v>248</v>
      </c>
      <c r="Y214" s="16"/>
      <c r="Z214" s="17" t="s">
        <v>48</v>
      </c>
      <c r="AA214" s="6"/>
      <c r="AB214" s="18" t="n">
        <f aca="false">IF(O214="","",$D$3*PI()*(O214/1000)^2/4*3600)</f>
        <v>7.05998807307681</v>
      </c>
      <c r="AC214" s="19" t="n">
        <f aca="false">IF(OR(U214="",NOT(ISNUMBER(U214))),"",U214*$D$3^2/(2*$H$3))</f>
        <v>0.131675681985106</v>
      </c>
      <c r="AD214" s="20" t="n">
        <f aca="false">IF(OR(U214="",NOT(ISNUMBER(U214))),"",U214*$D$3^2/2*$F$3)</f>
        <v>1291.73844027389</v>
      </c>
      <c r="AE214" s="19" t="n">
        <f aca="false">IF(OR(V214="",NOT(ISNUMBER(V214))),"",V214*$D$3^2/(2*$H$3))</f>
        <v>0.309557383941401</v>
      </c>
      <c r="AF214" s="20" t="n">
        <f aca="false">IF(OR(V214="",NOT(ISNUMBER(V214))),"",V214*$D$3^2/2*$F$3)</f>
        <v>3036.75793646514</v>
      </c>
      <c r="AG214" s="19" t="str">
        <f aca="false">IF(OR(W214="",NOT(ISNUMBER(W214))),"",W214*$D$3^2/(2*$H$3))</f>
        <v/>
      </c>
      <c r="AH214" s="20" t="str">
        <f aca="false">IF(OR(W214="",NOT(ISNUMBER(W214))),"",W214*$D$3^2/2*$F$3)</f>
        <v/>
      </c>
    </row>
    <row r="215" customFormat="false" ht="15" hidden="false" customHeight="false" outlineLevel="0" collapsed="false">
      <c r="A215" s="10" t="s">
        <v>510</v>
      </c>
      <c r="B215" s="11" t="s">
        <v>41</v>
      </c>
      <c r="C215" s="6" t="s">
        <v>381</v>
      </c>
      <c r="D215" s="6" t="s">
        <v>511</v>
      </c>
      <c r="E215" s="6" t="s">
        <v>246</v>
      </c>
      <c r="F215" s="6" t="s">
        <v>247</v>
      </c>
      <c r="G215" s="6" t="n">
        <v>63</v>
      </c>
      <c r="H215" s="6" t="n">
        <v>63</v>
      </c>
      <c r="I215" s="6"/>
      <c r="J215" s="6" t="n">
        <v>16</v>
      </c>
      <c r="K215" s="6" t="s">
        <v>46</v>
      </c>
      <c r="L215" s="6" t="n">
        <v>125</v>
      </c>
      <c r="M215" s="6" t="n">
        <v>32</v>
      </c>
      <c r="N215" s="12" t="n">
        <v>51.4</v>
      </c>
      <c r="O215" s="12" t="n">
        <v>51.4</v>
      </c>
      <c r="P215" s="13" t="n">
        <v>45</v>
      </c>
      <c r="Q215" s="13" t="n">
        <v>45</v>
      </c>
      <c r="R215" s="14" t="n">
        <v>0.019</v>
      </c>
      <c r="S215" s="6" t="n">
        <v>20</v>
      </c>
      <c r="T215" s="6"/>
      <c r="U215" s="15" t="n">
        <f aca="false">(20*R215+0.5*(1-(P215/N215)^2)+(1-(P215/N215)^2)^2)*(N215/P215)^4</f>
        <v>0.938396821510867</v>
      </c>
      <c r="V215" s="15" t="n">
        <f aca="false">(60*R215+0.5*(1-(Q215/N215)^2)+(1-(Q215/O215)^2)^2)*(O215/Q215)^4</f>
        <v>2.23204449902734</v>
      </c>
      <c r="W215" s="14"/>
      <c r="X215" s="10" t="s">
        <v>248</v>
      </c>
      <c r="Y215" s="16"/>
      <c r="Z215" s="17" t="s">
        <v>48</v>
      </c>
      <c r="AA215" s="6"/>
      <c r="AB215" s="18" t="n">
        <f aca="false">IF(O215="","",$D$3*PI()*(O215/1000)^2/4*3600)</f>
        <v>11.2049488715554</v>
      </c>
      <c r="AC215" s="19" t="n">
        <f aca="false">IF(OR(U215="",NOT(ISNUMBER(U215))),"",U215*$D$3^2/(2*$H$3))</f>
        <v>0.107614314393448</v>
      </c>
      <c r="AD215" s="20" t="n">
        <f aca="false">IF(OR(U215="",NOT(ISNUMBER(U215))),"",U215*$D$3^2/2*$F$3)</f>
        <v>1055.69642419973</v>
      </c>
      <c r="AE215" s="19" t="n">
        <f aca="false">IF(OR(V215="",NOT(ISNUMBER(V215))),"",V215*$D$3^2/(2*$H$3))</f>
        <v>0.25596840585176</v>
      </c>
      <c r="AF215" s="20" t="n">
        <f aca="false">IF(OR(V215="",NOT(ISNUMBER(V215))),"",V215*$D$3^2/2*$F$3)</f>
        <v>2511.05006140576</v>
      </c>
      <c r="AG215" s="19" t="str">
        <f aca="false">IF(OR(W215="",NOT(ISNUMBER(W215))),"",W215*$D$3^2/(2*$H$3))</f>
        <v/>
      </c>
      <c r="AH215" s="20" t="str">
        <f aca="false">IF(OR(W215="",NOT(ISNUMBER(W215))),"",W215*$D$3^2/2*$F$3)</f>
        <v/>
      </c>
    </row>
    <row r="216" customFormat="false" ht="15" hidden="false" customHeight="false" outlineLevel="0" collapsed="false">
      <c r="A216" s="10" t="s">
        <v>512</v>
      </c>
      <c r="B216" s="11" t="s">
        <v>41</v>
      </c>
      <c r="C216" s="6" t="s">
        <v>381</v>
      </c>
      <c r="D216" s="6" t="s">
        <v>513</v>
      </c>
      <c r="E216" s="6" t="s">
        <v>246</v>
      </c>
      <c r="F216" s="6" t="s">
        <v>247</v>
      </c>
      <c r="G216" s="6" t="n">
        <v>75</v>
      </c>
      <c r="H216" s="6" t="n">
        <v>75</v>
      </c>
      <c r="I216" s="6"/>
      <c r="J216" s="6" t="n">
        <v>10</v>
      </c>
      <c r="K216" s="6" t="s">
        <v>46</v>
      </c>
      <c r="L216" s="6" t="n">
        <v>140</v>
      </c>
      <c r="M216" s="6" t="n">
        <v>41</v>
      </c>
      <c r="N216" s="12" t="n">
        <v>61.4</v>
      </c>
      <c r="O216" s="12" t="n">
        <v>61.4</v>
      </c>
      <c r="P216" s="13" t="n">
        <v>54</v>
      </c>
      <c r="Q216" s="13" t="n">
        <v>54</v>
      </c>
      <c r="R216" s="14" t="n">
        <v>0.018</v>
      </c>
      <c r="S216" s="6" t="n">
        <v>20</v>
      </c>
      <c r="T216" s="6"/>
      <c r="U216" s="15" t="n">
        <f aca="false">(20*R216+0.5*(1-(P216/N216)^2)+(1-(P216/N216)^2)^2)*(N216/P216)^4</f>
        <v>0.876800132443677</v>
      </c>
      <c r="V216" s="15" t="n">
        <f aca="false">(60*R216+0.5*(1-(Q216/N216)^2)+(1-(Q216/O216)^2)^2)*(O216/Q216)^4</f>
        <v>2.08025814202894</v>
      </c>
      <c r="W216" s="14"/>
      <c r="X216" s="10" t="s">
        <v>248</v>
      </c>
      <c r="Y216" s="16"/>
      <c r="Z216" s="17" t="s">
        <v>48</v>
      </c>
      <c r="AA216" s="6"/>
      <c r="AB216" s="18" t="n">
        <f aca="false">IF(O216="","",$D$3*PI()*(O216/1000)^2/4*3600)</f>
        <v>15.988966164442</v>
      </c>
      <c r="AC216" s="19" t="n">
        <f aca="false">IF(OR(U216="",NOT(ISNUMBER(U216))),"",U216*$D$3^2/(2*$H$3))</f>
        <v>0.100550473904091</v>
      </c>
      <c r="AD216" s="20" t="n">
        <f aca="false">IF(OR(U216="",NOT(ISNUMBER(U216))),"",U216*$D$3^2/2*$F$3)</f>
        <v>986.400148999136</v>
      </c>
      <c r="AE216" s="19" t="n">
        <f aca="false">IF(OR(V216="",NOT(ISNUMBER(V216))),"",V216*$D$3^2/(2*$H$3))</f>
        <v>0.238561713535428</v>
      </c>
      <c r="AF216" s="20" t="n">
        <f aca="false">IF(OR(V216="",NOT(ISNUMBER(V216))),"",V216*$D$3^2/2*$F$3)</f>
        <v>2340.29040978255</v>
      </c>
      <c r="AG216" s="19" t="str">
        <f aca="false">IF(OR(W216="",NOT(ISNUMBER(W216))),"",W216*$D$3^2/(2*$H$3))</f>
        <v/>
      </c>
      <c r="AH216" s="20" t="str">
        <f aca="false">IF(OR(W216="",NOT(ISNUMBER(W216))),"",W216*$D$3^2/2*$F$3)</f>
        <v/>
      </c>
    </row>
    <row r="217" customFormat="false" ht="15" hidden="false" customHeight="false" outlineLevel="0" collapsed="false">
      <c r="A217" s="10" t="s">
        <v>514</v>
      </c>
      <c r="B217" s="11" t="s">
        <v>41</v>
      </c>
      <c r="C217" s="6" t="s">
        <v>381</v>
      </c>
      <c r="D217" s="6" t="s">
        <v>515</v>
      </c>
      <c r="E217" s="6" t="s">
        <v>246</v>
      </c>
      <c r="F217" s="6" t="s">
        <v>247</v>
      </c>
      <c r="G217" s="6" t="n">
        <v>90</v>
      </c>
      <c r="H217" s="6" t="n">
        <v>90</v>
      </c>
      <c r="I217" s="6"/>
      <c r="J217" s="6" t="n">
        <v>10</v>
      </c>
      <c r="K217" s="6" t="s">
        <v>46</v>
      </c>
      <c r="L217" s="6" t="n">
        <v>156</v>
      </c>
      <c r="M217" s="6" t="n">
        <v>53</v>
      </c>
      <c r="N217" s="12" t="n">
        <v>73.6</v>
      </c>
      <c r="O217" s="12" t="n">
        <v>73.6</v>
      </c>
      <c r="P217" s="13" t="n">
        <v>66</v>
      </c>
      <c r="Q217" s="13" t="n">
        <v>66</v>
      </c>
      <c r="R217" s="14" t="n">
        <v>0.018</v>
      </c>
      <c r="S217" s="6" t="n">
        <v>20</v>
      </c>
      <c r="T217" s="6"/>
      <c r="U217" s="15" t="n">
        <f aca="false">(20*R217+0.5*(1-(P217/N217)^2)+(1-(P217/N217)^2)^2)*(N217/P217)^4</f>
        <v>0.767487310146291</v>
      </c>
      <c r="V217" s="15" t="n">
        <f aca="false">(60*R217+0.5*(1-(Q217/N217)^2)+(1-(Q217/O217)^2)^2)*(O217/Q217)^4</f>
        <v>1.88093036737523</v>
      </c>
      <c r="W217" s="14"/>
      <c r="X217" s="10" t="s">
        <v>248</v>
      </c>
      <c r="Y217" s="16"/>
      <c r="Z217" s="17" t="s">
        <v>48</v>
      </c>
      <c r="AA217" s="6"/>
      <c r="AB217" s="18" t="n">
        <f aca="false">IF(O217="","",$D$3*PI()*(O217/1000)^2/4*3600)</f>
        <v>22.9741403500662</v>
      </c>
      <c r="AC217" s="19" t="n">
        <f aca="false">IF(OR(U217="",NOT(ISNUMBER(U217))),"",U217*$D$3^2/(2*$H$3))</f>
        <v>0.0880145997874187</v>
      </c>
      <c r="AD217" s="20" t="n">
        <f aca="false">IF(OR(U217="",NOT(ISNUMBER(U217))),"",U217*$D$3^2/2*$F$3)</f>
        <v>863.423223914577</v>
      </c>
      <c r="AE217" s="19" t="n">
        <f aca="false">IF(OR(V217="",NOT(ISNUMBER(V217))),"",V217*$D$3^2/(2*$H$3))</f>
        <v>0.215703023781563</v>
      </c>
      <c r="AF217" s="20" t="n">
        <f aca="false">IF(OR(V217="",NOT(ISNUMBER(V217))),"",V217*$D$3^2/2*$F$3)</f>
        <v>2116.04666329713</v>
      </c>
      <c r="AG217" s="19" t="str">
        <f aca="false">IF(OR(W217="",NOT(ISNUMBER(W217))),"",W217*$D$3^2/(2*$H$3))</f>
        <v/>
      </c>
      <c r="AH217" s="20" t="str">
        <f aca="false">IF(OR(W217="",NOT(ISNUMBER(W217))),"",W217*$D$3^2/2*$F$3)</f>
        <v/>
      </c>
    </row>
    <row r="218" customFormat="false" ht="15" hidden="false" customHeight="false" outlineLevel="0" collapsed="false">
      <c r="A218" s="10" t="s">
        <v>516</v>
      </c>
      <c r="B218" s="11" t="s">
        <v>41</v>
      </c>
      <c r="C218" s="6" t="s">
        <v>381</v>
      </c>
      <c r="D218" s="6" t="s">
        <v>517</v>
      </c>
      <c r="E218" s="6" t="s">
        <v>246</v>
      </c>
      <c r="F218" s="6" t="s">
        <v>247</v>
      </c>
      <c r="G218" s="6" t="n">
        <v>110</v>
      </c>
      <c r="H218" s="6" t="n">
        <v>110</v>
      </c>
      <c r="I218" s="6"/>
      <c r="J218" s="6" t="n">
        <v>10</v>
      </c>
      <c r="K218" s="6" t="s">
        <v>46</v>
      </c>
      <c r="L218" s="6" t="n">
        <v>176</v>
      </c>
      <c r="M218" s="6" t="n">
        <v>63</v>
      </c>
      <c r="N218" s="12" t="n">
        <v>90</v>
      </c>
      <c r="O218" s="12" t="n">
        <v>90</v>
      </c>
      <c r="P218" s="13" t="n">
        <v>81</v>
      </c>
      <c r="Q218" s="13" t="n">
        <v>81</v>
      </c>
      <c r="R218" s="14" t="n">
        <v>0.017</v>
      </c>
      <c r="S218" s="6" t="n">
        <v>20</v>
      </c>
      <c r="T218" s="6"/>
      <c r="U218" s="15" t="n">
        <f aca="false">(20*R218+0.5*(1-(P218/N218)^2)+(1-(P218/N218)^2)^2)*(N218/P218)^4</f>
        <v>0.718030787989636</v>
      </c>
      <c r="V218" s="15" t="n">
        <f aca="false">(60*R218+0.5*(1-(Q218/N218)^2)+(1-(Q218/O218)^2)^2)*(O218/Q218)^4</f>
        <v>1.75445816186557</v>
      </c>
      <c r="W218" s="14"/>
      <c r="X218" s="10" t="s">
        <v>248</v>
      </c>
      <c r="Y218" s="16"/>
      <c r="Z218" s="17" t="s">
        <v>48</v>
      </c>
      <c r="AA218" s="6"/>
      <c r="AB218" s="18" t="n">
        <f aca="false">IF(O218="","",$D$3*PI()*(O218/1000)^2/4*3600)</f>
        <v>34.3533156670044</v>
      </c>
      <c r="AC218" s="19" t="n">
        <f aca="false">IF(OR(U218="",NOT(ISNUMBER(U218))),"",U218*$D$3^2/(2*$H$3))</f>
        <v>0.0823429802740408</v>
      </c>
      <c r="AD218" s="20" t="n">
        <f aca="false">IF(OR(U218="",NOT(ISNUMBER(U218))),"",U218*$D$3^2/2*$F$3)</f>
        <v>807.78463648834</v>
      </c>
      <c r="AE218" s="19" t="n">
        <f aca="false">IF(OR(V218="",NOT(ISNUMBER(V218))),"",V218*$D$3^2/(2*$H$3))</f>
        <v>0.201199330489171</v>
      </c>
      <c r="AF218" s="20" t="n">
        <f aca="false">IF(OR(V218="",NOT(ISNUMBER(V218))),"",V218*$D$3^2/2*$F$3)</f>
        <v>1973.76543209877</v>
      </c>
      <c r="AG218" s="19" t="str">
        <f aca="false">IF(OR(W218="",NOT(ISNUMBER(W218))),"",W218*$D$3^2/(2*$H$3))</f>
        <v/>
      </c>
      <c r="AH218" s="20" t="str">
        <f aca="false">IF(OR(W218="",NOT(ISNUMBER(W218))),"",W218*$D$3^2/2*$F$3)</f>
        <v/>
      </c>
    </row>
    <row r="219" customFormat="false" ht="15" hidden="false" customHeight="false" outlineLevel="0" collapsed="false">
      <c r="A219" s="10" t="s">
        <v>518</v>
      </c>
      <c r="B219" s="11" t="s">
        <v>41</v>
      </c>
      <c r="C219" s="6" t="s">
        <v>381</v>
      </c>
      <c r="D219" s="6" t="s">
        <v>519</v>
      </c>
      <c r="E219" s="6" t="s">
        <v>297</v>
      </c>
      <c r="F219" s="6" t="s">
        <v>247</v>
      </c>
      <c r="G219" s="6" t="n">
        <v>16</v>
      </c>
      <c r="H219" s="6" t="n">
        <v>16</v>
      </c>
      <c r="I219" s="6" t="s">
        <v>403</v>
      </c>
      <c r="J219" s="6" t="n">
        <v>10</v>
      </c>
      <c r="K219" s="6" t="s">
        <v>46</v>
      </c>
      <c r="L219" s="6" t="n">
        <v>49</v>
      </c>
      <c r="M219" s="6" t="n">
        <v>13</v>
      </c>
      <c r="N219" s="12" t="n">
        <v>12</v>
      </c>
      <c r="O219" s="12" t="n">
        <v>12</v>
      </c>
      <c r="P219" s="13" t="n">
        <v>10</v>
      </c>
      <c r="Q219" s="13" t="n">
        <v>10</v>
      </c>
      <c r="R219" s="14" t="n">
        <v>0.027</v>
      </c>
      <c r="S219" s="6" t="n">
        <v>20</v>
      </c>
      <c r="T219" s="6"/>
      <c r="U219" s="15" t="n">
        <f aca="false">(20*R219+0.5*(1-(P219/N219)^2)+(1-(P219/N219)^2)^2)*(N219/P219)^4</f>
        <v>1.630144</v>
      </c>
      <c r="V219" s="15" t="n">
        <f aca="false">(60*R219+0.5*(1-(Q219/N219)^2)+(1-(Q219/O219)^2)^2)*(O219/Q219)^4</f>
        <v>3.869632</v>
      </c>
      <c r="W219" s="14"/>
      <c r="X219" s="10" t="s">
        <v>248</v>
      </c>
      <c r="Y219" s="16"/>
      <c r="Z219" s="17" t="s">
        <v>48</v>
      </c>
      <c r="AA219" s="6"/>
      <c r="AB219" s="18" t="n">
        <f aca="false">IF(O219="","",$D$3*PI()*(O219/1000)^2/4*3600)</f>
        <v>0.610725611857856</v>
      </c>
      <c r="AC219" s="19" t="n">
        <f aca="false">IF(OR(U219="",NOT(ISNUMBER(U219))),"",U219*$D$3^2/(2*$H$3))</f>
        <v>0.186943119266055</v>
      </c>
      <c r="AD219" s="20" t="n">
        <f aca="false">IF(OR(U219="",NOT(ISNUMBER(U219))),"",U219*$D$3^2/2*$F$3)</f>
        <v>1833.912</v>
      </c>
      <c r="AE219" s="19" t="n">
        <f aca="false">IF(OR(V219="",NOT(ISNUMBER(V219))),"",V219*$D$3^2/(2*$H$3))</f>
        <v>0.443765137614679</v>
      </c>
      <c r="AF219" s="20" t="n">
        <f aca="false">IF(OR(V219="",NOT(ISNUMBER(V219))),"",V219*$D$3^2/2*$F$3)</f>
        <v>4353.336</v>
      </c>
      <c r="AG219" s="19" t="str">
        <f aca="false">IF(OR(W219="",NOT(ISNUMBER(W219))),"",W219*$D$3^2/(2*$H$3))</f>
        <v/>
      </c>
      <c r="AH219" s="20" t="str">
        <f aca="false">IF(OR(W219="",NOT(ISNUMBER(W219))),"",W219*$D$3^2/2*$F$3)</f>
        <v/>
      </c>
    </row>
    <row r="220" customFormat="false" ht="15" hidden="false" customHeight="false" outlineLevel="0" collapsed="false">
      <c r="A220" s="10" t="s">
        <v>520</v>
      </c>
      <c r="B220" s="11" t="s">
        <v>41</v>
      </c>
      <c r="C220" s="6" t="s">
        <v>381</v>
      </c>
      <c r="D220" s="6" t="s">
        <v>521</v>
      </c>
      <c r="E220" s="6" t="s">
        <v>297</v>
      </c>
      <c r="F220" s="6" t="s">
        <v>247</v>
      </c>
      <c r="G220" s="6" t="n">
        <v>16</v>
      </c>
      <c r="H220" s="6" t="n">
        <v>16</v>
      </c>
      <c r="I220" s="6" t="s">
        <v>108</v>
      </c>
      <c r="J220" s="6" t="n">
        <v>10</v>
      </c>
      <c r="K220" s="6" t="s">
        <v>46</v>
      </c>
      <c r="L220" s="6" t="n">
        <v>49</v>
      </c>
      <c r="M220" s="6" t="n">
        <v>13</v>
      </c>
      <c r="N220" s="12" t="n">
        <v>12</v>
      </c>
      <c r="O220" s="12" t="n">
        <v>12</v>
      </c>
      <c r="P220" s="13" t="n">
        <v>10</v>
      </c>
      <c r="Q220" s="13" t="n">
        <v>10</v>
      </c>
      <c r="R220" s="14" t="n">
        <v>0.027</v>
      </c>
      <c r="S220" s="6" t="n">
        <v>20</v>
      </c>
      <c r="T220" s="6"/>
      <c r="U220" s="15" t="n">
        <f aca="false">(20*R220+0.5*(1-(P220/N220)^2)+(1-(P220/N220)^2)^2)*(N220/P220)^4</f>
        <v>1.630144</v>
      </c>
      <c r="V220" s="15" t="n">
        <f aca="false">(60*R220+0.5*(1-(Q220/N220)^2)+(1-(Q220/O220)^2)^2)*(O220/Q220)^4</f>
        <v>3.869632</v>
      </c>
      <c r="W220" s="14"/>
      <c r="X220" s="10" t="s">
        <v>248</v>
      </c>
      <c r="Y220" s="16"/>
      <c r="Z220" s="17" t="s">
        <v>48</v>
      </c>
      <c r="AA220" s="6"/>
      <c r="AB220" s="18" t="n">
        <f aca="false">IF(O220="","",$D$3*PI()*(O220/1000)^2/4*3600)</f>
        <v>0.610725611857856</v>
      </c>
      <c r="AC220" s="19" t="n">
        <f aca="false">IF(OR(U220="",NOT(ISNUMBER(U220))),"",U220*$D$3^2/(2*$H$3))</f>
        <v>0.186943119266055</v>
      </c>
      <c r="AD220" s="20" t="n">
        <f aca="false">IF(OR(U220="",NOT(ISNUMBER(U220))),"",U220*$D$3^2/2*$F$3)</f>
        <v>1833.912</v>
      </c>
      <c r="AE220" s="19" t="n">
        <f aca="false">IF(OR(V220="",NOT(ISNUMBER(V220))),"",V220*$D$3^2/(2*$H$3))</f>
        <v>0.443765137614679</v>
      </c>
      <c r="AF220" s="20" t="n">
        <f aca="false">IF(OR(V220="",NOT(ISNUMBER(V220))),"",V220*$D$3^2/2*$F$3)</f>
        <v>4353.336</v>
      </c>
      <c r="AG220" s="19" t="str">
        <f aca="false">IF(OR(W220="",NOT(ISNUMBER(W220))),"",W220*$D$3^2/(2*$H$3))</f>
        <v/>
      </c>
      <c r="AH220" s="20" t="str">
        <f aca="false">IF(OR(W220="",NOT(ISNUMBER(W220))),"",W220*$D$3^2/2*$F$3)</f>
        <v/>
      </c>
    </row>
    <row r="221" customFormat="false" ht="15" hidden="false" customHeight="false" outlineLevel="0" collapsed="false">
      <c r="A221" s="10" t="s">
        <v>522</v>
      </c>
      <c r="B221" s="11" t="s">
        <v>41</v>
      </c>
      <c r="C221" s="6" t="s">
        <v>381</v>
      </c>
      <c r="D221" s="6" t="s">
        <v>523</v>
      </c>
      <c r="E221" s="6" t="s">
        <v>297</v>
      </c>
      <c r="F221" s="6" t="s">
        <v>247</v>
      </c>
      <c r="G221" s="6" t="n">
        <v>20</v>
      </c>
      <c r="H221" s="6" t="n">
        <v>20</v>
      </c>
      <c r="I221" s="6" t="s">
        <v>108</v>
      </c>
      <c r="J221" s="6" t="n">
        <v>10</v>
      </c>
      <c r="K221" s="6" t="s">
        <v>46</v>
      </c>
      <c r="L221" s="6" t="n">
        <v>49</v>
      </c>
      <c r="M221" s="6" t="n">
        <v>13</v>
      </c>
      <c r="N221" s="12" t="n">
        <v>16</v>
      </c>
      <c r="O221" s="12" t="n">
        <v>16</v>
      </c>
      <c r="P221" s="13" t="n">
        <v>13</v>
      </c>
      <c r="Q221" s="13" t="n">
        <v>13</v>
      </c>
      <c r="R221" s="14" t="n">
        <v>0.027</v>
      </c>
      <c r="S221" s="6" t="n">
        <v>20</v>
      </c>
      <c r="T221" s="6"/>
      <c r="U221" s="15" t="n">
        <f aca="false">(20*R221+0.5*(1-(P221/N221)^2)+(1-(P221/N221)^2)^2)*(N221/P221)^4</f>
        <v>1.89399670879871</v>
      </c>
      <c r="V221" s="15" t="n">
        <f aca="false">(60*R221+0.5*(1-(Q221/N221)^2)+(1-(Q221/O221)^2)^2)*(O221/Q221)^4</f>
        <v>4.37216203914429</v>
      </c>
      <c r="W221" s="14"/>
      <c r="X221" s="10" t="s">
        <v>248</v>
      </c>
      <c r="Y221" s="16"/>
      <c r="Z221" s="17" t="s">
        <v>48</v>
      </c>
      <c r="AA221" s="6"/>
      <c r="AB221" s="18" t="n">
        <f aca="false">IF(O221="","",$D$3*PI()*(O221/1000)^2/4*3600)</f>
        <v>1.08573442108063</v>
      </c>
      <c r="AC221" s="19" t="n">
        <f aca="false">IF(OR(U221="",NOT(ISNUMBER(U221))),"",U221*$D$3^2/(2*$H$3))</f>
        <v>0.217201457431045</v>
      </c>
      <c r="AD221" s="20" t="n">
        <f aca="false">IF(OR(U221="",NOT(ISNUMBER(U221))),"",U221*$D$3^2/2*$F$3)</f>
        <v>2130.74629739855</v>
      </c>
      <c r="AE221" s="19" t="n">
        <f aca="false">IF(OR(V221="",NOT(ISNUMBER(V221))),"",V221*$D$3^2/(2*$H$3))</f>
        <v>0.501394729259666</v>
      </c>
      <c r="AF221" s="20" t="n">
        <f aca="false">IF(OR(V221="",NOT(ISNUMBER(V221))),"",V221*$D$3^2/2*$F$3)</f>
        <v>4918.68229403732</v>
      </c>
      <c r="AG221" s="19" t="str">
        <f aca="false">IF(OR(W221="",NOT(ISNUMBER(W221))),"",W221*$D$3^2/(2*$H$3))</f>
        <v/>
      </c>
      <c r="AH221" s="20" t="str">
        <f aca="false">IF(OR(W221="",NOT(ISNUMBER(W221))),"",W221*$D$3^2/2*$F$3)</f>
        <v/>
      </c>
    </row>
    <row r="222" customFormat="false" ht="15" hidden="false" customHeight="false" outlineLevel="0" collapsed="false">
      <c r="A222" s="10" t="s">
        <v>524</v>
      </c>
      <c r="B222" s="11" t="s">
        <v>41</v>
      </c>
      <c r="C222" s="6" t="s">
        <v>381</v>
      </c>
      <c r="D222" s="6" t="s">
        <v>525</v>
      </c>
      <c r="E222" s="6" t="s">
        <v>297</v>
      </c>
      <c r="F222" s="6" t="s">
        <v>247</v>
      </c>
      <c r="G222" s="6" t="n">
        <v>20</v>
      </c>
      <c r="H222" s="6" t="n">
        <v>20</v>
      </c>
      <c r="I222" s="6" t="s">
        <v>111</v>
      </c>
      <c r="J222" s="6" t="n">
        <v>10</v>
      </c>
      <c r="K222" s="6" t="s">
        <v>46</v>
      </c>
      <c r="L222" s="6" t="n">
        <v>49</v>
      </c>
      <c r="M222" s="6" t="n">
        <v>13</v>
      </c>
      <c r="N222" s="12" t="n">
        <v>16</v>
      </c>
      <c r="O222" s="12" t="n">
        <v>16</v>
      </c>
      <c r="P222" s="13" t="n">
        <v>13</v>
      </c>
      <c r="Q222" s="13" t="n">
        <v>13</v>
      </c>
      <c r="R222" s="14" t="n">
        <v>0.027</v>
      </c>
      <c r="S222" s="6" t="n">
        <v>20</v>
      </c>
      <c r="T222" s="6"/>
      <c r="U222" s="15" t="n">
        <f aca="false">(20*R222+0.5*(1-(P222/N222)^2)+(1-(P222/N222)^2)^2)*(N222/P222)^4</f>
        <v>1.89399670879871</v>
      </c>
      <c r="V222" s="15" t="n">
        <f aca="false">(60*R222+0.5*(1-(Q222/N222)^2)+(1-(Q222/O222)^2)^2)*(O222/Q222)^4</f>
        <v>4.37216203914429</v>
      </c>
      <c r="W222" s="14"/>
      <c r="X222" s="10" t="s">
        <v>248</v>
      </c>
      <c r="Y222" s="16"/>
      <c r="Z222" s="17" t="s">
        <v>48</v>
      </c>
      <c r="AA222" s="6"/>
      <c r="AB222" s="18" t="n">
        <f aca="false">IF(O222="","",$D$3*PI()*(O222/1000)^2/4*3600)</f>
        <v>1.08573442108063</v>
      </c>
      <c r="AC222" s="19" t="n">
        <f aca="false">IF(OR(U222="",NOT(ISNUMBER(U222))),"",U222*$D$3^2/(2*$H$3))</f>
        <v>0.217201457431045</v>
      </c>
      <c r="AD222" s="20" t="n">
        <f aca="false">IF(OR(U222="",NOT(ISNUMBER(U222))),"",U222*$D$3^2/2*$F$3)</f>
        <v>2130.74629739855</v>
      </c>
      <c r="AE222" s="19" t="n">
        <f aca="false">IF(OR(V222="",NOT(ISNUMBER(V222))),"",V222*$D$3^2/(2*$H$3))</f>
        <v>0.501394729259666</v>
      </c>
      <c r="AF222" s="20" t="n">
        <f aca="false">IF(OR(V222="",NOT(ISNUMBER(V222))),"",V222*$D$3^2/2*$F$3)</f>
        <v>4918.68229403732</v>
      </c>
      <c r="AG222" s="19" t="str">
        <f aca="false">IF(OR(W222="",NOT(ISNUMBER(W222))),"",W222*$D$3^2/(2*$H$3))</f>
        <v/>
      </c>
      <c r="AH222" s="20" t="str">
        <f aca="false">IF(OR(W222="",NOT(ISNUMBER(W222))),"",W222*$D$3^2/2*$F$3)</f>
        <v/>
      </c>
    </row>
    <row r="223" customFormat="false" ht="15" hidden="false" customHeight="false" outlineLevel="0" collapsed="false">
      <c r="A223" s="10" t="s">
        <v>526</v>
      </c>
      <c r="B223" s="11" t="s">
        <v>41</v>
      </c>
      <c r="C223" s="6" t="s">
        <v>381</v>
      </c>
      <c r="D223" s="6" t="s">
        <v>527</v>
      </c>
      <c r="E223" s="6" t="s">
        <v>297</v>
      </c>
      <c r="F223" s="6" t="s">
        <v>247</v>
      </c>
      <c r="G223" s="6" t="n">
        <v>25</v>
      </c>
      <c r="H223" s="6" t="n">
        <v>25</v>
      </c>
      <c r="I223" s="6" t="s">
        <v>108</v>
      </c>
      <c r="J223" s="6" t="n">
        <v>10</v>
      </c>
      <c r="K223" s="6" t="s">
        <v>46</v>
      </c>
      <c r="L223" s="6" t="n">
        <v>58</v>
      </c>
      <c r="M223" s="6" t="n">
        <v>16</v>
      </c>
      <c r="N223" s="12" t="n">
        <v>20.4</v>
      </c>
      <c r="O223" s="12" t="n">
        <v>20.4</v>
      </c>
      <c r="P223" s="13" t="n">
        <v>17</v>
      </c>
      <c r="Q223" s="13" t="n">
        <v>15.8</v>
      </c>
      <c r="R223" s="14" t="n">
        <v>0.025</v>
      </c>
      <c r="S223" s="6" t="n">
        <v>20</v>
      </c>
      <c r="T223" s="6"/>
      <c r="U223" s="15" t="n">
        <f aca="false">(20*R223+0.5*(1-(P223/N223)^2)+(1-(P223/N223)^2)^2)*(N223/P223)^4</f>
        <v>1.5472</v>
      </c>
      <c r="V223" s="15" t="n">
        <f aca="false">(60*R223+0.5*(1-(Q223/N223)^2)+(1-(Q223/O223)^2)^2)*(O223/Q223)^4</f>
        <v>5.16947112382128</v>
      </c>
      <c r="W223" s="14"/>
      <c r="X223" s="10" t="s">
        <v>248</v>
      </c>
      <c r="Y223" s="16"/>
      <c r="Z223" s="17" t="s">
        <v>48</v>
      </c>
      <c r="AA223" s="6"/>
      <c r="AB223" s="18" t="n">
        <f aca="false">IF(O223="","",$D$3*PI()*(O223/1000)^2/4*3600)</f>
        <v>1.7649970182692</v>
      </c>
      <c r="AC223" s="19" t="n">
        <f aca="false">IF(OR(U223="",NOT(ISNUMBER(U223))),"",U223*$D$3^2/(2*$H$3))</f>
        <v>0.17743119266055</v>
      </c>
      <c r="AD223" s="20" t="n">
        <f aca="false">IF(OR(U223="",NOT(ISNUMBER(U223))),"",U223*$D$3^2/2*$F$3)</f>
        <v>1740.6</v>
      </c>
      <c r="AE223" s="19" t="n">
        <f aca="false">IF(OR(V223="",NOT(ISNUMBER(V223))),"",V223*$D$3^2/(2*$H$3))</f>
        <v>0.592829257318954</v>
      </c>
      <c r="AF223" s="20" t="n">
        <f aca="false">IF(OR(V223="",NOT(ISNUMBER(V223))),"",V223*$D$3^2/2*$F$3)</f>
        <v>5815.65501429894</v>
      </c>
      <c r="AG223" s="19" t="str">
        <f aca="false">IF(OR(W223="",NOT(ISNUMBER(W223))),"",W223*$D$3^2/(2*$H$3))</f>
        <v/>
      </c>
      <c r="AH223" s="20" t="str">
        <f aca="false">IF(OR(W223="",NOT(ISNUMBER(W223))),"",W223*$D$3^2/2*$F$3)</f>
        <v/>
      </c>
    </row>
    <row r="224" customFormat="false" ht="15" hidden="false" customHeight="false" outlineLevel="0" collapsed="false">
      <c r="A224" s="10" t="s">
        <v>528</v>
      </c>
      <c r="B224" s="11" t="s">
        <v>41</v>
      </c>
      <c r="C224" s="6" t="s">
        <v>381</v>
      </c>
      <c r="D224" s="6" t="s">
        <v>529</v>
      </c>
      <c r="E224" s="6" t="s">
        <v>297</v>
      </c>
      <c r="F224" s="6" t="s">
        <v>247</v>
      </c>
      <c r="G224" s="6" t="n">
        <v>25</v>
      </c>
      <c r="H224" s="6" t="n">
        <v>25</v>
      </c>
      <c r="I224" s="6" t="s">
        <v>111</v>
      </c>
      <c r="J224" s="6" t="n">
        <v>10</v>
      </c>
      <c r="K224" s="6" t="s">
        <v>46</v>
      </c>
      <c r="L224" s="6" t="n">
        <v>58</v>
      </c>
      <c r="M224" s="6" t="n">
        <v>19</v>
      </c>
      <c r="N224" s="12" t="n">
        <v>20.4</v>
      </c>
      <c r="O224" s="12" t="n">
        <v>20.4</v>
      </c>
      <c r="P224" s="13" t="n">
        <v>17</v>
      </c>
      <c r="Q224" s="13" t="n">
        <v>17</v>
      </c>
      <c r="R224" s="14" t="n">
        <v>0.025</v>
      </c>
      <c r="S224" s="6" t="n">
        <v>20</v>
      </c>
      <c r="T224" s="6"/>
      <c r="U224" s="15" t="n">
        <f aca="false">(20*R224+0.5*(1-(P224/N224)^2)+(1-(P224/N224)^2)^2)*(N224/P224)^4</f>
        <v>1.5472</v>
      </c>
      <c r="V224" s="15" t="n">
        <f aca="false">(60*R224+0.5*(1-(Q224/N224)^2)+(1-(Q224/O224)^2)^2)*(O224/Q224)^4</f>
        <v>3.6208</v>
      </c>
      <c r="W224" s="14"/>
      <c r="X224" s="10" t="s">
        <v>248</v>
      </c>
      <c r="Y224" s="16"/>
      <c r="Z224" s="17" t="s">
        <v>48</v>
      </c>
      <c r="AA224" s="6"/>
      <c r="AB224" s="18" t="n">
        <f aca="false">IF(O224="","",$D$3*PI()*(O224/1000)^2/4*3600)</f>
        <v>1.7649970182692</v>
      </c>
      <c r="AC224" s="19" t="n">
        <f aca="false">IF(OR(U224="",NOT(ISNUMBER(U224))),"",U224*$D$3^2/(2*$H$3))</f>
        <v>0.17743119266055</v>
      </c>
      <c r="AD224" s="20" t="n">
        <f aca="false">IF(OR(U224="",NOT(ISNUMBER(U224))),"",U224*$D$3^2/2*$F$3)</f>
        <v>1740.6</v>
      </c>
      <c r="AE224" s="19" t="n">
        <f aca="false">IF(OR(V224="",NOT(ISNUMBER(V224))),"",V224*$D$3^2/(2*$H$3))</f>
        <v>0.415229357798165</v>
      </c>
      <c r="AF224" s="20" t="n">
        <f aca="false">IF(OR(V224="",NOT(ISNUMBER(V224))),"",V224*$D$3^2/2*$F$3)</f>
        <v>4073.4</v>
      </c>
      <c r="AG224" s="19" t="str">
        <f aca="false">IF(OR(W224="",NOT(ISNUMBER(W224))),"",W224*$D$3^2/(2*$H$3))</f>
        <v/>
      </c>
      <c r="AH224" s="20" t="str">
        <f aca="false">IF(OR(W224="",NOT(ISNUMBER(W224))),"",W224*$D$3^2/2*$F$3)</f>
        <v/>
      </c>
    </row>
    <row r="225" customFormat="false" ht="15" hidden="false" customHeight="false" outlineLevel="0" collapsed="false">
      <c r="A225" s="10" t="s">
        <v>530</v>
      </c>
      <c r="B225" s="11" t="s">
        <v>41</v>
      </c>
      <c r="C225" s="6" t="s">
        <v>381</v>
      </c>
      <c r="D225" s="6" t="s">
        <v>531</v>
      </c>
      <c r="E225" s="6" t="s">
        <v>297</v>
      </c>
      <c r="F225" s="6" t="s">
        <v>247</v>
      </c>
      <c r="G225" s="6" t="n">
        <v>25</v>
      </c>
      <c r="H225" s="6" t="n">
        <v>25</v>
      </c>
      <c r="I225" s="6" t="s">
        <v>118</v>
      </c>
      <c r="J225" s="6" t="n">
        <v>10</v>
      </c>
      <c r="K225" s="6" t="s">
        <v>46</v>
      </c>
      <c r="L225" s="6" t="n">
        <v>58</v>
      </c>
      <c r="M225" s="6" t="n">
        <v>19</v>
      </c>
      <c r="N225" s="12" t="n">
        <v>20.4</v>
      </c>
      <c r="O225" s="12" t="n">
        <v>20.4</v>
      </c>
      <c r="P225" s="13" t="n">
        <v>17</v>
      </c>
      <c r="Q225" s="13" t="n">
        <v>17</v>
      </c>
      <c r="R225" s="14" t="n">
        <v>0.025</v>
      </c>
      <c r="S225" s="6" t="n">
        <v>20</v>
      </c>
      <c r="T225" s="6"/>
      <c r="U225" s="15" t="n">
        <f aca="false">(20*R225+0.5*(1-(P225/N225)^2)+(1-(P225/N225)^2)^2)*(N225/P225)^4</f>
        <v>1.5472</v>
      </c>
      <c r="V225" s="15" t="n">
        <f aca="false">(60*R225+0.5*(1-(Q225/N225)^2)+(1-(Q225/O225)^2)^2)*(O225/Q225)^4</f>
        <v>3.6208</v>
      </c>
      <c r="W225" s="14"/>
      <c r="X225" s="10" t="s">
        <v>248</v>
      </c>
      <c r="Y225" s="16"/>
      <c r="Z225" s="17" t="s">
        <v>48</v>
      </c>
      <c r="AA225" s="6"/>
      <c r="AB225" s="18" t="n">
        <f aca="false">IF(O225="","",$D$3*PI()*(O225/1000)^2/4*3600)</f>
        <v>1.7649970182692</v>
      </c>
      <c r="AC225" s="19" t="n">
        <f aca="false">IF(OR(U225="",NOT(ISNUMBER(U225))),"",U225*$D$3^2/(2*$H$3))</f>
        <v>0.17743119266055</v>
      </c>
      <c r="AD225" s="20" t="n">
        <f aca="false">IF(OR(U225="",NOT(ISNUMBER(U225))),"",U225*$D$3^2/2*$F$3)</f>
        <v>1740.6</v>
      </c>
      <c r="AE225" s="19" t="n">
        <f aca="false">IF(OR(V225="",NOT(ISNUMBER(V225))),"",V225*$D$3^2/(2*$H$3))</f>
        <v>0.415229357798165</v>
      </c>
      <c r="AF225" s="20" t="n">
        <f aca="false">IF(OR(V225="",NOT(ISNUMBER(V225))),"",V225*$D$3^2/2*$F$3)</f>
        <v>4073.4</v>
      </c>
      <c r="AG225" s="19" t="str">
        <f aca="false">IF(OR(W225="",NOT(ISNUMBER(W225))),"",W225*$D$3^2/(2*$H$3))</f>
        <v/>
      </c>
      <c r="AH225" s="20" t="str">
        <f aca="false">IF(OR(W225="",NOT(ISNUMBER(W225))),"",W225*$D$3^2/2*$F$3)</f>
        <v/>
      </c>
    </row>
    <row r="226" customFormat="false" ht="15" hidden="false" customHeight="false" outlineLevel="0" collapsed="false">
      <c r="A226" s="10" t="s">
        <v>532</v>
      </c>
      <c r="B226" s="11" t="s">
        <v>41</v>
      </c>
      <c r="C226" s="6" t="s">
        <v>381</v>
      </c>
      <c r="D226" s="6" t="s">
        <v>533</v>
      </c>
      <c r="E226" s="6" t="s">
        <v>297</v>
      </c>
      <c r="F226" s="6" t="s">
        <v>247</v>
      </c>
      <c r="G226" s="6" t="n">
        <v>32</v>
      </c>
      <c r="H226" s="6" t="n">
        <v>32</v>
      </c>
      <c r="I226" s="6" t="s">
        <v>108</v>
      </c>
      <c r="J226" s="6" t="n">
        <v>10</v>
      </c>
      <c r="K226" s="6" t="s">
        <v>46</v>
      </c>
      <c r="L226" s="6" t="n">
        <v>81</v>
      </c>
      <c r="M226" s="6" t="n">
        <v>18</v>
      </c>
      <c r="N226" s="12" t="n">
        <v>26.2</v>
      </c>
      <c r="O226" s="12" t="n">
        <v>26.2</v>
      </c>
      <c r="P226" s="13" t="n">
        <v>22</v>
      </c>
      <c r="Q226" s="13" t="n">
        <v>15.8</v>
      </c>
      <c r="R226" s="14" t="n">
        <v>0.023</v>
      </c>
      <c r="S226" s="6" t="n">
        <v>20</v>
      </c>
      <c r="T226" s="6"/>
      <c r="U226" s="15" t="n">
        <f aca="false">(20*R226+0.5*(1-(P226/N226)^2)+(1-(P226/N226)^2)^2)*(N226/P226)^4</f>
        <v>1.39682805245543</v>
      </c>
      <c r="V226" s="15" t="n">
        <f aca="false">(60*R226+0.5*(1-(Q226/N226)^2)+(1-(Q226/O226)^2)^2)*(O226/Q226)^4</f>
        <v>15.9012596399992</v>
      </c>
      <c r="W226" s="14"/>
      <c r="X226" s="10" t="s">
        <v>248</v>
      </c>
      <c r="Y226" s="16"/>
      <c r="Z226" s="17" t="s">
        <v>48</v>
      </c>
      <c r="AA226" s="6"/>
      <c r="AB226" s="18" t="n">
        <f aca="false">IF(O226="","",$D$3*PI()*(O226/1000)^2/4*3600)</f>
        <v>2.91129506252574</v>
      </c>
      <c r="AC226" s="19" t="n">
        <f aca="false">IF(OR(U226="",NOT(ISNUMBER(U226))),"",U226*$D$3^2/(2*$H$3))</f>
        <v>0.160186703263238</v>
      </c>
      <c r="AD226" s="20" t="n">
        <f aca="false">IF(OR(U226="",NOT(ISNUMBER(U226))),"",U226*$D$3^2/2*$F$3)</f>
        <v>1571.43155901236</v>
      </c>
      <c r="AE226" s="19" t="n">
        <f aca="false">IF(OR(V226="",NOT(ISNUMBER(V226))),"",V226*$D$3^2/(2*$H$3))</f>
        <v>1.82353894954119</v>
      </c>
      <c r="AF226" s="20" t="n">
        <f aca="false">IF(OR(V226="",NOT(ISNUMBER(V226))),"",V226*$D$3^2/2*$F$3)</f>
        <v>17888.9170949991</v>
      </c>
      <c r="AG226" s="19" t="str">
        <f aca="false">IF(OR(W226="",NOT(ISNUMBER(W226))),"",W226*$D$3^2/(2*$H$3))</f>
        <v/>
      </c>
      <c r="AH226" s="20" t="str">
        <f aca="false">IF(OR(W226="",NOT(ISNUMBER(W226))),"",W226*$D$3^2/2*$F$3)</f>
        <v/>
      </c>
    </row>
    <row r="227" customFormat="false" ht="15" hidden="false" customHeight="false" outlineLevel="0" collapsed="false">
      <c r="A227" s="10" t="s">
        <v>534</v>
      </c>
      <c r="B227" s="11" t="s">
        <v>41</v>
      </c>
      <c r="C227" s="6" t="s">
        <v>381</v>
      </c>
      <c r="D227" s="6" t="s">
        <v>535</v>
      </c>
      <c r="E227" s="6" t="s">
        <v>297</v>
      </c>
      <c r="F227" s="6" t="s">
        <v>247</v>
      </c>
      <c r="G227" s="6" t="n">
        <v>32</v>
      </c>
      <c r="H227" s="6" t="n">
        <v>32</v>
      </c>
      <c r="I227" s="6" t="s">
        <v>111</v>
      </c>
      <c r="J227" s="6" t="n">
        <v>10</v>
      </c>
      <c r="K227" s="6" t="s">
        <v>46</v>
      </c>
      <c r="L227" s="6" t="n">
        <v>81</v>
      </c>
      <c r="M227" s="6" t="n">
        <v>18</v>
      </c>
      <c r="N227" s="12" t="n">
        <v>26.2</v>
      </c>
      <c r="O227" s="12" t="n">
        <v>26.2</v>
      </c>
      <c r="P227" s="13" t="n">
        <v>22</v>
      </c>
      <c r="Q227" s="13" t="n">
        <v>20.9</v>
      </c>
      <c r="R227" s="14" t="n">
        <v>0.023</v>
      </c>
      <c r="S227" s="6" t="n">
        <v>20</v>
      </c>
      <c r="T227" s="6"/>
      <c r="U227" s="15" t="n">
        <f aca="false">(20*R227+0.5*(1-(P227/N227)^2)+(1-(P227/N227)^2)^2)*(N227/P227)^4</f>
        <v>1.39682805245543</v>
      </c>
      <c r="V227" s="15" t="n">
        <f aca="false">(60*R227+0.5*(1-(Q227/N227)^2)+(1-(Q227/O227)^2)^2)*(O227/Q227)^4</f>
        <v>4.18362956062927</v>
      </c>
      <c r="W227" s="14"/>
      <c r="X227" s="10" t="s">
        <v>248</v>
      </c>
      <c r="Y227" s="16"/>
      <c r="Z227" s="17" t="s">
        <v>48</v>
      </c>
      <c r="AA227" s="6"/>
      <c r="AB227" s="18" t="n">
        <f aca="false">IF(O227="","",$D$3*PI()*(O227/1000)^2/4*3600)</f>
        <v>2.91129506252574</v>
      </c>
      <c r="AC227" s="19" t="n">
        <f aca="false">IF(OR(U227="",NOT(ISNUMBER(U227))),"",U227*$D$3^2/(2*$H$3))</f>
        <v>0.160186703263238</v>
      </c>
      <c r="AD227" s="20" t="n">
        <f aca="false">IF(OR(U227="",NOT(ISNUMBER(U227))),"",U227*$D$3^2/2*$F$3)</f>
        <v>1571.43155901236</v>
      </c>
      <c r="AE227" s="19" t="n">
        <f aca="false">IF(OR(V227="",NOT(ISNUMBER(V227))),"",V227*$D$3^2/(2*$H$3))</f>
        <v>0.479774032182256</v>
      </c>
      <c r="AF227" s="20" t="n">
        <f aca="false">IF(OR(V227="",NOT(ISNUMBER(V227))),"",V227*$D$3^2/2*$F$3)</f>
        <v>4706.58325570793</v>
      </c>
      <c r="AG227" s="19" t="str">
        <f aca="false">IF(OR(W227="",NOT(ISNUMBER(W227))),"",W227*$D$3^2/(2*$H$3))</f>
        <v/>
      </c>
      <c r="AH227" s="20" t="str">
        <f aca="false">IF(OR(W227="",NOT(ISNUMBER(W227))),"",W227*$D$3^2/2*$F$3)</f>
        <v/>
      </c>
    </row>
    <row r="228" customFormat="false" ht="15" hidden="false" customHeight="false" outlineLevel="0" collapsed="false">
      <c r="A228" s="10" t="s">
        <v>536</v>
      </c>
      <c r="B228" s="11" t="s">
        <v>41</v>
      </c>
      <c r="C228" s="6" t="s">
        <v>381</v>
      </c>
      <c r="D228" s="6" t="s">
        <v>537</v>
      </c>
      <c r="E228" s="6" t="s">
        <v>297</v>
      </c>
      <c r="F228" s="6" t="s">
        <v>247</v>
      </c>
      <c r="G228" s="6" t="n">
        <v>32</v>
      </c>
      <c r="H228" s="6" t="n">
        <v>32</v>
      </c>
      <c r="I228" s="6" t="s">
        <v>118</v>
      </c>
      <c r="J228" s="6" t="n">
        <v>10</v>
      </c>
      <c r="K228" s="6" t="s">
        <v>46</v>
      </c>
      <c r="L228" s="6" t="n">
        <v>81</v>
      </c>
      <c r="M228" s="6" t="n">
        <v>18</v>
      </c>
      <c r="N228" s="12" t="n">
        <v>26.2</v>
      </c>
      <c r="O228" s="12" t="n">
        <v>26.2</v>
      </c>
      <c r="P228" s="13" t="n">
        <v>22</v>
      </c>
      <c r="Q228" s="13" t="n">
        <v>22</v>
      </c>
      <c r="R228" s="14" t="n">
        <v>0.023</v>
      </c>
      <c r="S228" s="6" t="n">
        <v>20</v>
      </c>
      <c r="T228" s="6"/>
      <c r="U228" s="15" t="n">
        <f aca="false">(20*R228+0.5*(1-(P228/N228)^2)+(1-(P228/N228)^2)^2)*(N228/P228)^4</f>
        <v>1.39682805245543</v>
      </c>
      <c r="V228" s="15" t="n">
        <f aca="false">(60*R228+0.5*(1-(Q228/N228)^2)+(1-(Q228/O228)^2)^2)*(O228/Q228)^4</f>
        <v>3.24738421200738</v>
      </c>
      <c r="W228" s="14"/>
      <c r="X228" s="10" t="s">
        <v>248</v>
      </c>
      <c r="Y228" s="16"/>
      <c r="Z228" s="17" t="s">
        <v>48</v>
      </c>
      <c r="AA228" s="6"/>
      <c r="AB228" s="18" t="n">
        <f aca="false">IF(O228="","",$D$3*PI()*(O228/1000)^2/4*3600)</f>
        <v>2.91129506252574</v>
      </c>
      <c r="AC228" s="19" t="n">
        <f aca="false">IF(OR(U228="",NOT(ISNUMBER(U228))),"",U228*$D$3^2/(2*$H$3))</f>
        <v>0.160186703263238</v>
      </c>
      <c r="AD228" s="20" t="n">
        <f aca="false">IF(OR(U228="",NOT(ISNUMBER(U228))),"",U228*$D$3^2/2*$F$3)</f>
        <v>1571.43155901236</v>
      </c>
      <c r="AE228" s="19" t="n">
        <f aca="false">IF(OR(V228="",NOT(ISNUMBER(V228))),"",V228*$D$3^2/(2*$H$3))</f>
        <v>0.372406446331121</v>
      </c>
      <c r="AF228" s="20" t="n">
        <f aca="false">IF(OR(V228="",NOT(ISNUMBER(V228))),"",V228*$D$3^2/2*$F$3)</f>
        <v>3653.3072385083</v>
      </c>
      <c r="AG228" s="19" t="str">
        <f aca="false">IF(OR(W228="",NOT(ISNUMBER(W228))),"",W228*$D$3^2/(2*$H$3))</f>
        <v/>
      </c>
      <c r="AH228" s="20" t="str">
        <f aca="false">IF(OR(W228="",NOT(ISNUMBER(W228))),"",W228*$D$3^2/2*$F$3)</f>
        <v/>
      </c>
    </row>
    <row r="229" customFormat="false" ht="15" hidden="false" customHeight="false" outlineLevel="0" collapsed="false">
      <c r="A229" s="10" t="s">
        <v>538</v>
      </c>
      <c r="B229" s="11" t="s">
        <v>41</v>
      </c>
      <c r="C229" s="6" t="s">
        <v>381</v>
      </c>
      <c r="D229" s="6" t="s">
        <v>539</v>
      </c>
      <c r="E229" s="6" t="s">
        <v>297</v>
      </c>
      <c r="F229" s="6" t="s">
        <v>247</v>
      </c>
      <c r="G229" s="6" t="n">
        <v>40</v>
      </c>
      <c r="H229" s="6" t="n">
        <v>40</v>
      </c>
      <c r="I229" s="6" t="s">
        <v>127</v>
      </c>
      <c r="J229" s="6" t="n">
        <v>10</v>
      </c>
      <c r="K229" s="6" t="s">
        <v>46</v>
      </c>
      <c r="L229" s="6" t="n">
        <v>92</v>
      </c>
      <c r="M229" s="6" t="n">
        <v>24</v>
      </c>
      <c r="N229" s="12" t="n">
        <v>32.6</v>
      </c>
      <c r="O229" s="12" t="n">
        <v>32.6</v>
      </c>
      <c r="P229" s="13" t="n">
        <v>28</v>
      </c>
      <c r="Q229" s="13" t="n">
        <v>28</v>
      </c>
      <c r="R229" s="14" t="n">
        <v>0.022</v>
      </c>
      <c r="S229" s="6" t="n">
        <v>20</v>
      </c>
      <c r="T229" s="6"/>
      <c r="U229" s="15" t="n">
        <f aca="false">(20*R229+0.5*(1-(P229/N229)^2)+(1-(P229/N229)^2)^2)*(N229/P229)^4</f>
        <v>1.17593663145564</v>
      </c>
      <c r="V229" s="15" t="n">
        <f aca="false">(60*R229+0.5*(1-(Q229/N229)^2)+(1-(Q229/O229)^2)^2)*(O229/Q229)^4</f>
        <v>2.79297731679509</v>
      </c>
      <c r="W229" s="14"/>
      <c r="X229" s="10" t="s">
        <v>248</v>
      </c>
      <c r="Y229" s="16"/>
      <c r="Z229" s="17" t="s">
        <v>48</v>
      </c>
      <c r="AA229" s="6"/>
      <c r="AB229" s="18" t="n">
        <f aca="false">IF(O229="","",$D$3*PI()*(O229/1000)^2/4*3600)</f>
        <v>4.50732466151427</v>
      </c>
      <c r="AC229" s="19" t="n">
        <f aca="false">IF(OR(U229="",NOT(ISNUMBER(U229))),"",U229*$D$3^2/(2*$H$3))</f>
        <v>0.134855118286198</v>
      </c>
      <c r="AD229" s="20" t="n">
        <f aca="false">IF(OR(U229="",NOT(ISNUMBER(U229))),"",U229*$D$3^2/2*$F$3)</f>
        <v>1322.9287103876</v>
      </c>
      <c r="AE229" s="19" t="n">
        <f aca="false">IF(OR(V229="",NOT(ISNUMBER(V229))),"",V229*$D$3^2/(2*$H$3))</f>
        <v>0.320295563852647</v>
      </c>
      <c r="AF229" s="20" t="n">
        <f aca="false">IF(OR(V229="",NOT(ISNUMBER(V229))),"",V229*$D$3^2/2*$F$3)</f>
        <v>3142.09948139447</v>
      </c>
      <c r="AG229" s="19" t="str">
        <f aca="false">IF(OR(W229="",NOT(ISNUMBER(W229))),"",W229*$D$3^2/(2*$H$3))</f>
        <v/>
      </c>
      <c r="AH229" s="20" t="str">
        <f aca="false">IF(OR(W229="",NOT(ISNUMBER(W229))),"",W229*$D$3^2/2*$F$3)</f>
        <v/>
      </c>
    </row>
    <row r="230" customFormat="false" ht="15" hidden="false" customHeight="false" outlineLevel="0" collapsed="false">
      <c r="A230" s="10" t="s">
        <v>540</v>
      </c>
      <c r="B230" s="11" t="s">
        <v>41</v>
      </c>
      <c r="C230" s="6" t="s">
        <v>381</v>
      </c>
      <c r="D230" s="6" t="s">
        <v>541</v>
      </c>
      <c r="E230" s="6" t="s">
        <v>297</v>
      </c>
      <c r="F230" s="6" t="s">
        <v>247</v>
      </c>
      <c r="G230" s="6" t="n">
        <v>50</v>
      </c>
      <c r="H230" s="6" t="n">
        <v>50</v>
      </c>
      <c r="I230" s="6" t="s">
        <v>118</v>
      </c>
      <c r="J230" s="6" t="n">
        <v>10</v>
      </c>
      <c r="K230" s="6" t="s">
        <v>46</v>
      </c>
      <c r="L230" s="6" t="n">
        <v>108</v>
      </c>
      <c r="M230" s="6" t="n">
        <v>28</v>
      </c>
      <c r="N230" s="12" t="n">
        <v>40.8</v>
      </c>
      <c r="O230" s="12" t="n">
        <v>40.8</v>
      </c>
      <c r="P230" s="13" t="n">
        <v>35</v>
      </c>
      <c r="Q230" s="13" t="n">
        <v>26.6</v>
      </c>
      <c r="R230" s="14" t="n">
        <v>0.021</v>
      </c>
      <c r="S230" s="6" t="n">
        <v>20</v>
      </c>
      <c r="T230" s="6"/>
      <c r="U230" s="15" t="n">
        <f aca="false">(20*R230+0.5*(1-(P230/N230)^2)+(1-(P230/N230)^2)^2)*(N230/P230)^4</f>
        <v>1.14821194691012</v>
      </c>
      <c r="V230" s="15" t="n">
        <f aca="false">(60*R230+0.5*(1-(Q230/N230)^2)+(1-(Q230/O230)^2)^2)*(O230/Q230)^4</f>
        <v>10.3948548573654</v>
      </c>
      <c r="W230" s="14"/>
      <c r="X230" s="10" t="s">
        <v>248</v>
      </c>
      <c r="Y230" s="16"/>
      <c r="Z230" s="17" t="s">
        <v>48</v>
      </c>
      <c r="AA230" s="6"/>
      <c r="AB230" s="18" t="n">
        <f aca="false">IF(O230="","",$D$3*PI()*(O230/1000)^2/4*3600)</f>
        <v>7.05998807307681</v>
      </c>
      <c r="AC230" s="19" t="n">
        <f aca="false">IF(OR(U230="",NOT(ISNUMBER(U230))),"",U230*$D$3^2/(2*$H$3))</f>
        <v>0.131675681985106</v>
      </c>
      <c r="AD230" s="20" t="n">
        <f aca="false">IF(OR(U230="",NOT(ISNUMBER(U230))),"",U230*$D$3^2/2*$F$3)</f>
        <v>1291.73844027389</v>
      </c>
      <c r="AE230" s="19" t="n">
        <f aca="false">IF(OR(V230="",NOT(ISNUMBER(V230))),"",V230*$D$3^2/(2*$H$3))</f>
        <v>1.19207051116576</v>
      </c>
      <c r="AF230" s="20" t="n">
        <f aca="false">IF(OR(V230="",NOT(ISNUMBER(V230))),"",V230*$D$3^2/2*$F$3)</f>
        <v>11694.2117145361</v>
      </c>
      <c r="AG230" s="19" t="str">
        <f aca="false">IF(OR(W230="",NOT(ISNUMBER(W230))),"",W230*$D$3^2/(2*$H$3))</f>
        <v/>
      </c>
      <c r="AH230" s="20" t="str">
        <f aca="false">IF(OR(W230="",NOT(ISNUMBER(W230))),"",W230*$D$3^2/2*$F$3)</f>
        <v/>
      </c>
    </row>
    <row r="231" customFormat="false" ht="15" hidden="false" customHeight="false" outlineLevel="0" collapsed="false">
      <c r="A231" s="10" t="s">
        <v>542</v>
      </c>
      <c r="B231" s="11" t="s">
        <v>41</v>
      </c>
      <c r="C231" s="6" t="s">
        <v>381</v>
      </c>
      <c r="D231" s="6" t="s">
        <v>543</v>
      </c>
      <c r="E231" s="6" t="s">
        <v>297</v>
      </c>
      <c r="F231" s="6" t="s">
        <v>247</v>
      </c>
      <c r="G231" s="6" t="n">
        <v>50</v>
      </c>
      <c r="H231" s="6" t="n">
        <v>50</v>
      </c>
      <c r="I231" s="6" t="s">
        <v>130</v>
      </c>
      <c r="J231" s="6" t="n">
        <v>10</v>
      </c>
      <c r="K231" s="6" t="s">
        <v>46</v>
      </c>
      <c r="L231" s="6" t="n">
        <v>108</v>
      </c>
      <c r="M231" s="6" t="n">
        <v>28</v>
      </c>
      <c r="N231" s="12" t="n">
        <v>40.8</v>
      </c>
      <c r="O231" s="12" t="n">
        <v>40.8</v>
      </c>
      <c r="P231" s="13" t="n">
        <v>35</v>
      </c>
      <c r="Q231" s="13" t="n">
        <v>35</v>
      </c>
      <c r="R231" s="14" t="n">
        <v>0.021</v>
      </c>
      <c r="S231" s="6" t="n">
        <v>20</v>
      </c>
      <c r="T231" s="6"/>
      <c r="U231" s="15" t="n">
        <f aca="false">(20*R231+0.5*(1-(P231/N231)^2)+(1-(P231/N231)^2)^2)*(N231/P231)^4</f>
        <v>1.14821194691012</v>
      </c>
      <c r="V231" s="15" t="n">
        <f aca="false">(60*R231+0.5*(1-(Q231/N231)^2)+(1-(Q231/O231)^2)^2)*(O231/Q231)^4</f>
        <v>2.69934038796901</v>
      </c>
      <c r="W231" s="14"/>
      <c r="X231" s="10" t="s">
        <v>248</v>
      </c>
      <c r="Y231" s="16"/>
      <c r="Z231" s="17" t="s">
        <v>48</v>
      </c>
      <c r="AA231" s="6"/>
      <c r="AB231" s="18" t="n">
        <f aca="false">IF(O231="","",$D$3*PI()*(O231/1000)^2/4*3600)</f>
        <v>7.05998807307681</v>
      </c>
      <c r="AC231" s="19" t="n">
        <f aca="false">IF(OR(U231="",NOT(ISNUMBER(U231))),"",U231*$D$3^2/(2*$H$3))</f>
        <v>0.131675681985106</v>
      </c>
      <c r="AD231" s="20" t="n">
        <f aca="false">IF(OR(U231="",NOT(ISNUMBER(U231))),"",U231*$D$3^2/2*$F$3)</f>
        <v>1291.73844027389</v>
      </c>
      <c r="AE231" s="19" t="n">
        <f aca="false">IF(OR(V231="",NOT(ISNUMBER(V231))),"",V231*$D$3^2/(2*$H$3))</f>
        <v>0.309557383941401</v>
      </c>
      <c r="AF231" s="20" t="n">
        <f aca="false">IF(OR(V231="",NOT(ISNUMBER(V231))),"",V231*$D$3^2/2*$F$3)</f>
        <v>3036.75793646514</v>
      </c>
      <c r="AG231" s="19" t="str">
        <f aca="false">IF(OR(W231="",NOT(ISNUMBER(W231))),"",W231*$D$3^2/(2*$H$3))</f>
        <v/>
      </c>
      <c r="AH231" s="20" t="str">
        <f aca="false">IF(OR(W231="",NOT(ISNUMBER(W231))),"",W231*$D$3^2/2*$F$3)</f>
        <v/>
      </c>
    </row>
    <row r="232" customFormat="false" ht="15" hidden="false" customHeight="false" outlineLevel="0" collapsed="false">
      <c r="A232" s="10" t="s">
        <v>544</v>
      </c>
      <c r="B232" s="11" t="s">
        <v>41</v>
      </c>
      <c r="C232" s="6" t="s">
        <v>381</v>
      </c>
      <c r="D232" s="6" t="s">
        <v>545</v>
      </c>
      <c r="E232" s="6" t="s">
        <v>297</v>
      </c>
      <c r="F232" s="6" t="s">
        <v>247</v>
      </c>
      <c r="G232" s="6" t="n">
        <v>50</v>
      </c>
      <c r="H232" s="6" t="n">
        <v>50</v>
      </c>
      <c r="I232" s="6" t="s">
        <v>133</v>
      </c>
      <c r="J232" s="6" t="n">
        <v>10</v>
      </c>
      <c r="K232" s="6" t="s">
        <v>46</v>
      </c>
      <c r="L232" s="6" t="n">
        <v>140</v>
      </c>
      <c r="M232" s="6" t="n">
        <v>28</v>
      </c>
      <c r="N232" s="12" t="n">
        <v>40.8</v>
      </c>
      <c r="O232" s="12" t="n">
        <v>40.8</v>
      </c>
      <c r="P232" s="13" t="n">
        <v>35</v>
      </c>
      <c r="Q232" s="13" t="n">
        <v>35</v>
      </c>
      <c r="R232" s="14" t="n">
        <v>0.021</v>
      </c>
      <c r="S232" s="6" t="n">
        <v>20</v>
      </c>
      <c r="T232" s="6"/>
      <c r="U232" s="15" t="n">
        <f aca="false">(20*R232+0.5*(1-(P232/N232)^2)+(1-(P232/N232)^2)^2)*(N232/P232)^4</f>
        <v>1.14821194691012</v>
      </c>
      <c r="V232" s="15" t="n">
        <f aca="false">(60*R232+0.5*(1-(Q232/N232)^2)+(1-(Q232/O232)^2)^2)*(O232/Q232)^4</f>
        <v>2.69934038796901</v>
      </c>
      <c r="W232" s="14"/>
      <c r="X232" s="10" t="s">
        <v>248</v>
      </c>
      <c r="Y232" s="16"/>
      <c r="Z232" s="17" t="s">
        <v>48</v>
      </c>
      <c r="AA232" s="6"/>
      <c r="AB232" s="18" t="n">
        <f aca="false">IF(O232="","",$D$3*PI()*(O232/1000)^2/4*3600)</f>
        <v>7.05998807307681</v>
      </c>
      <c r="AC232" s="19" t="n">
        <f aca="false">IF(OR(U232="",NOT(ISNUMBER(U232))),"",U232*$D$3^2/(2*$H$3))</f>
        <v>0.131675681985106</v>
      </c>
      <c r="AD232" s="20" t="n">
        <f aca="false">IF(OR(U232="",NOT(ISNUMBER(U232))),"",U232*$D$3^2/2*$F$3)</f>
        <v>1291.73844027389</v>
      </c>
      <c r="AE232" s="19" t="n">
        <f aca="false">IF(OR(V232="",NOT(ISNUMBER(V232))),"",V232*$D$3^2/(2*$H$3))</f>
        <v>0.309557383941401</v>
      </c>
      <c r="AF232" s="20" t="n">
        <f aca="false">IF(OR(V232="",NOT(ISNUMBER(V232))),"",V232*$D$3^2/2*$F$3)</f>
        <v>3036.75793646514</v>
      </c>
      <c r="AG232" s="19" t="str">
        <f aca="false">IF(OR(W232="",NOT(ISNUMBER(W232))),"",W232*$D$3^2/(2*$H$3))</f>
        <v/>
      </c>
      <c r="AH232" s="20" t="str">
        <f aca="false">IF(OR(W232="",NOT(ISNUMBER(W232))),"",W232*$D$3^2/2*$F$3)</f>
        <v/>
      </c>
    </row>
    <row r="233" customFormat="false" ht="15" hidden="false" customHeight="false" outlineLevel="0" collapsed="false">
      <c r="A233" s="10" t="s">
        <v>546</v>
      </c>
      <c r="B233" s="11" t="s">
        <v>41</v>
      </c>
      <c r="C233" s="6" t="s">
        <v>381</v>
      </c>
      <c r="D233" s="6" t="s">
        <v>547</v>
      </c>
      <c r="E233" s="6" t="s">
        <v>297</v>
      </c>
      <c r="F233" s="6" t="s">
        <v>247</v>
      </c>
      <c r="G233" s="6" t="n">
        <v>63</v>
      </c>
      <c r="H233" s="6" t="n">
        <v>63</v>
      </c>
      <c r="I233" s="6" t="s">
        <v>118</v>
      </c>
      <c r="J233" s="6" t="n">
        <v>10</v>
      </c>
      <c r="K233" s="6" t="s">
        <v>46</v>
      </c>
      <c r="L233" s="6" t="n">
        <v>125</v>
      </c>
      <c r="M233" s="6" t="n">
        <v>32</v>
      </c>
      <c r="N233" s="12" t="n">
        <v>51.4</v>
      </c>
      <c r="O233" s="12" t="n">
        <v>51.4</v>
      </c>
      <c r="P233" s="13" t="n">
        <v>45</v>
      </c>
      <c r="Q233" s="13" t="n">
        <v>26.6</v>
      </c>
      <c r="R233" s="14" t="n">
        <v>0.019</v>
      </c>
      <c r="S233" s="6" t="n">
        <v>20</v>
      </c>
      <c r="T233" s="6"/>
      <c r="U233" s="15" t="n">
        <f aca="false">(20*R233+0.5*(1-(P233/N233)^2)+(1-(P233/N233)^2)^2)*(N233/P233)^4</f>
        <v>0.938396821510867</v>
      </c>
      <c r="V233" s="15" t="n">
        <f aca="false">(60*R233+0.5*(1-(Q233/N233)^2)+(1-(Q233/O233)^2)^2)*(O233/Q233)^4</f>
        <v>28.4721960648342</v>
      </c>
      <c r="W233" s="14"/>
      <c r="X233" s="10" t="s">
        <v>248</v>
      </c>
      <c r="Y233" s="16"/>
      <c r="Z233" s="17" t="s">
        <v>48</v>
      </c>
      <c r="AA233" s="6"/>
      <c r="AB233" s="18" t="n">
        <f aca="false">IF(O233="","",$D$3*PI()*(O233/1000)^2/4*3600)</f>
        <v>11.2049488715554</v>
      </c>
      <c r="AC233" s="19" t="n">
        <f aca="false">IF(OR(U233="",NOT(ISNUMBER(U233))),"",U233*$D$3^2/(2*$H$3))</f>
        <v>0.107614314393448</v>
      </c>
      <c r="AD233" s="20" t="n">
        <f aca="false">IF(OR(U233="",NOT(ISNUMBER(U233))),"",U233*$D$3^2/2*$F$3)</f>
        <v>1055.69642419973</v>
      </c>
      <c r="AE233" s="19" t="n">
        <f aca="false">IF(OR(V233="",NOT(ISNUMBER(V233))),"",V233*$D$3^2/(2*$H$3))</f>
        <v>3.26516009917824</v>
      </c>
      <c r="AF233" s="20" t="n">
        <f aca="false">IF(OR(V233="",NOT(ISNUMBER(V233))),"",V233*$D$3^2/2*$F$3)</f>
        <v>32031.2205729385</v>
      </c>
      <c r="AG233" s="19" t="str">
        <f aca="false">IF(OR(W233="",NOT(ISNUMBER(W233))),"",W233*$D$3^2/(2*$H$3))</f>
        <v/>
      </c>
      <c r="AH233" s="20" t="str">
        <f aca="false">IF(OR(W233="",NOT(ISNUMBER(W233))),"",W233*$D$3^2/2*$F$3)</f>
        <v/>
      </c>
    </row>
    <row r="234" customFormat="false" ht="15" hidden="false" customHeight="false" outlineLevel="0" collapsed="false">
      <c r="A234" s="10" t="s">
        <v>548</v>
      </c>
      <c r="B234" s="11" t="s">
        <v>41</v>
      </c>
      <c r="C234" s="6" t="s">
        <v>381</v>
      </c>
      <c r="D234" s="6" t="s">
        <v>549</v>
      </c>
      <c r="E234" s="6" t="s">
        <v>297</v>
      </c>
      <c r="F234" s="6" t="s">
        <v>247</v>
      </c>
      <c r="G234" s="6" t="n">
        <v>63</v>
      </c>
      <c r="H234" s="6" t="n">
        <v>63</v>
      </c>
      <c r="I234" s="6" t="s">
        <v>130</v>
      </c>
      <c r="J234" s="6" t="n">
        <v>10</v>
      </c>
      <c r="K234" s="6" t="s">
        <v>46</v>
      </c>
      <c r="L234" s="6" t="n">
        <v>125</v>
      </c>
      <c r="M234" s="6" t="n">
        <v>32</v>
      </c>
      <c r="N234" s="12" t="n">
        <v>51.4</v>
      </c>
      <c r="O234" s="12" t="n">
        <v>51.4</v>
      </c>
      <c r="P234" s="13" t="n">
        <v>45</v>
      </c>
      <c r="Q234" s="13" t="n">
        <v>40.9</v>
      </c>
      <c r="R234" s="14" t="n">
        <v>0.019</v>
      </c>
      <c r="S234" s="6" t="n">
        <v>20</v>
      </c>
      <c r="T234" s="6"/>
      <c r="U234" s="15" t="n">
        <f aca="false">(20*R234+0.5*(1-(P234/N234)^2)+(1-(P234/N234)^2)^2)*(N234/P234)^4</f>
        <v>0.938396821510867</v>
      </c>
      <c r="V234" s="15" t="n">
        <f aca="false">(60*R234+0.5*(1-(Q234/N234)^2)+(1-(Q234/O234)^2)^2)*(O234/Q234)^4</f>
        <v>3.6367258268128</v>
      </c>
      <c r="W234" s="14"/>
      <c r="X234" s="10" t="s">
        <v>248</v>
      </c>
      <c r="Y234" s="16"/>
      <c r="Z234" s="17" t="s">
        <v>48</v>
      </c>
      <c r="AA234" s="6"/>
      <c r="AB234" s="18" t="n">
        <f aca="false">IF(O234="","",$D$3*PI()*(O234/1000)^2/4*3600)</f>
        <v>11.2049488715554</v>
      </c>
      <c r="AC234" s="19" t="n">
        <f aca="false">IF(OR(U234="",NOT(ISNUMBER(U234))),"",U234*$D$3^2/(2*$H$3))</f>
        <v>0.107614314393448</v>
      </c>
      <c r="AD234" s="20" t="n">
        <f aca="false">IF(OR(U234="",NOT(ISNUMBER(U234))),"",U234*$D$3^2/2*$F$3)</f>
        <v>1055.69642419973</v>
      </c>
      <c r="AE234" s="19" t="n">
        <f aca="false">IF(OR(V234="",NOT(ISNUMBER(V234))),"",V234*$D$3^2/(2*$H$3))</f>
        <v>0.417055714084037</v>
      </c>
      <c r="AF234" s="20" t="n">
        <f aca="false">IF(OR(V234="",NOT(ISNUMBER(V234))),"",V234*$D$3^2/2*$F$3)</f>
        <v>4091.3165551644</v>
      </c>
      <c r="AG234" s="19" t="str">
        <f aca="false">IF(OR(W234="",NOT(ISNUMBER(W234))),"",W234*$D$3^2/(2*$H$3))</f>
        <v/>
      </c>
      <c r="AH234" s="20" t="str">
        <f aca="false">IF(OR(W234="",NOT(ISNUMBER(W234))),"",W234*$D$3^2/2*$F$3)</f>
        <v/>
      </c>
    </row>
    <row r="235" customFormat="false" ht="15" hidden="false" customHeight="false" outlineLevel="0" collapsed="false">
      <c r="A235" s="10" t="s">
        <v>550</v>
      </c>
      <c r="B235" s="11" t="s">
        <v>41</v>
      </c>
      <c r="C235" s="6" t="s">
        <v>381</v>
      </c>
      <c r="D235" s="6" t="s">
        <v>551</v>
      </c>
      <c r="E235" s="6" t="s">
        <v>297</v>
      </c>
      <c r="F235" s="6" t="s">
        <v>247</v>
      </c>
      <c r="G235" s="6" t="n">
        <v>63</v>
      </c>
      <c r="H235" s="6" t="n">
        <v>63</v>
      </c>
      <c r="I235" s="6" t="s">
        <v>133</v>
      </c>
      <c r="J235" s="6" t="n">
        <v>10</v>
      </c>
      <c r="K235" s="6" t="s">
        <v>46</v>
      </c>
      <c r="L235" s="6" t="n">
        <v>125</v>
      </c>
      <c r="M235" s="6" t="n">
        <v>32</v>
      </c>
      <c r="N235" s="12" t="n">
        <v>51.4</v>
      </c>
      <c r="O235" s="12" t="n">
        <v>51.4</v>
      </c>
      <c r="P235" s="13" t="n">
        <v>45</v>
      </c>
      <c r="Q235" s="13" t="n">
        <v>45</v>
      </c>
      <c r="R235" s="14" t="n">
        <v>0.019</v>
      </c>
      <c r="S235" s="6" t="n">
        <v>20</v>
      </c>
      <c r="T235" s="6"/>
      <c r="U235" s="15" t="n">
        <f aca="false">(20*R235+0.5*(1-(P235/N235)^2)+(1-(P235/N235)^2)^2)*(N235/P235)^4</f>
        <v>0.938396821510867</v>
      </c>
      <c r="V235" s="15" t="n">
        <f aca="false">(60*R235+0.5*(1-(Q235/N235)^2)+(1-(Q235/O235)^2)^2)*(O235/Q235)^4</f>
        <v>2.23204449902734</v>
      </c>
      <c r="W235" s="14"/>
      <c r="X235" s="10" t="s">
        <v>248</v>
      </c>
      <c r="Y235" s="16"/>
      <c r="Z235" s="17" t="s">
        <v>48</v>
      </c>
      <c r="AA235" s="6"/>
      <c r="AB235" s="18" t="n">
        <f aca="false">IF(O235="","",$D$3*PI()*(O235/1000)^2/4*3600)</f>
        <v>11.2049488715554</v>
      </c>
      <c r="AC235" s="19" t="n">
        <f aca="false">IF(OR(U235="",NOT(ISNUMBER(U235))),"",U235*$D$3^2/(2*$H$3))</f>
        <v>0.107614314393448</v>
      </c>
      <c r="AD235" s="20" t="n">
        <f aca="false">IF(OR(U235="",NOT(ISNUMBER(U235))),"",U235*$D$3^2/2*$F$3)</f>
        <v>1055.69642419973</v>
      </c>
      <c r="AE235" s="19" t="n">
        <f aca="false">IF(OR(V235="",NOT(ISNUMBER(V235))),"",V235*$D$3^2/(2*$H$3))</f>
        <v>0.25596840585176</v>
      </c>
      <c r="AF235" s="20" t="n">
        <f aca="false">IF(OR(V235="",NOT(ISNUMBER(V235))),"",V235*$D$3^2/2*$F$3)</f>
        <v>2511.05006140576</v>
      </c>
      <c r="AG235" s="19" t="str">
        <f aca="false">IF(OR(W235="",NOT(ISNUMBER(W235))),"",W235*$D$3^2/(2*$H$3))</f>
        <v/>
      </c>
      <c r="AH235" s="20" t="str">
        <f aca="false">IF(OR(W235="",NOT(ISNUMBER(W235))),"",W235*$D$3^2/2*$F$3)</f>
        <v/>
      </c>
    </row>
    <row r="236" customFormat="false" ht="15" hidden="false" customHeight="false" outlineLevel="0" collapsed="false">
      <c r="A236" s="10" t="s">
        <v>552</v>
      </c>
      <c r="B236" s="11" t="s">
        <v>41</v>
      </c>
      <c r="C236" s="6" t="s">
        <v>381</v>
      </c>
      <c r="D236" s="6" t="s">
        <v>553</v>
      </c>
      <c r="E236" s="6" t="s">
        <v>297</v>
      </c>
      <c r="F236" s="6" t="s">
        <v>247</v>
      </c>
      <c r="G236" s="6" t="n">
        <v>75</v>
      </c>
      <c r="H236" s="6" t="n">
        <v>75</v>
      </c>
      <c r="I236" s="6" t="s">
        <v>136</v>
      </c>
      <c r="J236" s="6" t="n">
        <v>10</v>
      </c>
      <c r="K236" s="6" t="s">
        <v>46</v>
      </c>
      <c r="L236" s="6" t="n">
        <v>140</v>
      </c>
      <c r="M236" s="6" t="n">
        <v>41</v>
      </c>
      <c r="N236" s="12" t="n">
        <v>61.4</v>
      </c>
      <c r="O236" s="12" t="n">
        <v>61.4</v>
      </c>
      <c r="P236" s="13" t="n">
        <v>54</v>
      </c>
      <c r="Q236" s="13" t="n">
        <v>54</v>
      </c>
      <c r="R236" s="14" t="n">
        <v>0.018</v>
      </c>
      <c r="S236" s="6" t="n">
        <v>20</v>
      </c>
      <c r="T236" s="6"/>
      <c r="U236" s="15" t="n">
        <f aca="false">(20*R236+0.5*(1-(P236/N236)^2)+(1-(P236/N236)^2)^2)*(N236/P236)^4</f>
        <v>0.876800132443677</v>
      </c>
      <c r="V236" s="15" t="n">
        <f aca="false">(60*R236+0.5*(1-(Q236/N236)^2)+(1-(Q236/O236)^2)^2)*(O236/Q236)^4</f>
        <v>2.08025814202894</v>
      </c>
      <c r="W236" s="14"/>
      <c r="X236" s="10" t="s">
        <v>248</v>
      </c>
      <c r="Y236" s="16"/>
      <c r="Z236" s="17" t="s">
        <v>48</v>
      </c>
      <c r="AA236" s="6"/>
      <c r="AB236" s="18" t="n">
        <f aca="false">IF(O236="","",$D$3*PI()*(O236/1000)^2/4*3600)</f>
        <v>15.988966164442</v>
      </c>
      <c r="AC236" s="19" t="n">
        <f aca="false">IF(OR(U236="",NOT(ISNUMBER(U236))),"",U236*$D$3^2/(2*$H$3))</f>
        <v>0.100550473904091</v>
      </c>
      <c r="AD236" s="20" t="n">
        <f aca="false">IF(OR(U236="",NOT(ISNUMBER(U236))),"",U236*$D$3^2/2*$F$3)</f>
        <v>986.400148999136</v>
      </c>
      <c r="AE236" s="19" t="n">
        <f aca="false">IF(OR(V236="",NOT(ISNUMBER(V236))),"",V236*$D$3^2/(2*$H$3))</f>
        <v>0.238561713535428</v>
      </c>
      <c r="AF236" s="20" t="n">
        <f aca="false">IF(OR(V236="",NOT(ISNUMBER(V236))),"",V236*$D$3^2/2*$F$3)</f>
        <v>2340.29040978255</v>
      </c>
      <c r="AG236" s="19" t="str">
        <f aca="false">IF(OR(W236="",NOT(ISNUMBER(W236))),"",W236*$D$3^2/(2*$H$3))</f>
        <v/>
      </c>
      <c r="AH236" s="20" t="str">
        <f aca="false">IF(OR(W236="",NOT(ISNUMBER(W236))),"",W236*$D$3^2/2*$F$3)</f>
        <v/>
      </c>
    </row>
    <row r="237" customFormat="false" ht="15" hidden="false" customHeight="false" outlineLevel="0" collapsed="false">
      <c r="A237" s="10" t="s">
        <v>554</v>
      </c>
      <c r="B237" s="11" t="s">
        <v>41</v>
      </c>
      <c r="C237" s="6" t="s">
        <v>381</v>
      </c>
      <c r="D237" s="6" t="s">
        <v>555</v>
      </c>
      <c r="E237" s="6" t="s">
        <v>297</v>
      </c>
      <c r="F237" s="6" t="s">
        <v>247</v>
      </c>
      <c r="G237" s="6" t="n">
        <v>90</v>
      </c>
      <c r="H237" s="6" t="n">
        <v>90</v>
      </c>
      <c r="I237" s="6" t="s">
        <v>139</v>
      </c>
      <c r="J237" s="6" t="n">
        <v>10</v>
      </c>
      <c r="K237" s="6" t="s">
        <v>46</v>
      </c>
      <c r="L237" s="6" t="n">
        <v>156</v>
      </c>
      <c r="M237" s="6" t="n">
        <v>53</v>
      </c>
      <c r="N237" s="12" t="n">
        <v>73.6</v>
      </c>
      <c r="O237" s="12" t="n">
        <v>73.6</v>
      </c>
      <c r="P237" s="13" t="n">
        <v>66</v>
      </c>
      <c r="Q237" s="13" t="n">
        <v>66</v>
      </c>
      <c r="R237" s="14" t="n">
        <v>0.018</v>
      </c>
      <c r="S237" s="6" t="n">
        <v>20</v>
      </c>
      <c r="T237" s="6"/>
      <c r="U237" s="15" t="n">
        <f aca="false">(20*R237+0.5*(1-(P237/N237)^2)+(1-(P237/N237)^2)^2)*(N237/P237)^4</f>
        <v>0.767487310146291</v>
      </c>
      <c r="V237" s="15" t="n">
        <f aca="false">(60*R237+0.5*(1-(Q237/N237)^2)+(1-(Q237/O237)^2)^2)*(O237/Q237)^4</f>
        <v>1.88093036737523</v>
      </c>
      <c r="W237" s="14"/>
      <c r="X237" s="10" t="s">
        <v>248</v>
      </c>
      <c r="Y237" s="16"/>
      <c r="Z237" s="17" t="s">
        <v>48</v>
      </c>
      <c r="AA237" s="6"/>
      <c r="AB237" s="18" t="n">
        <f aca="false">IF(O237="","",$D$3*PI()*(O237/1000)^2/4*3600)</f>
        <v>22.9741403500662</v>
      </c>
      <c r="AC237" s="19" t="n">
        <f aca="false">IF(OR(U237="",NOT(ISNUMBER(U237))),"",U237*$D$3^2/(2*$H$3))</f>
        <v>0.0880145997874187</v>
      </c>
      <c r="AD237" s="20" t="n">
        <f aca="false">IF(OR(U237="",NOT(ISNUMBER(U237))),"",U237*$D$3^2/2*$F$3)</f>
        <v>863.423223914577</v>
      </c>
      <c r="AE237" s="19" t="n">
        <f aca="false">IF(OR(V237="",NOT(ISNUMBER(V237))),"",V237*$D$3^2/(2*$H$3))</f>
        <v>0.215703023781563</v>
      </c>
      <c r="AF237" s="20" t="n">
        <f aca="false">IF(OR(V237="",NOT(ISNUMBER(V237))),"",V237*$D$3^2/2*$F$3)</f>
        <v>2116.04666329713</v>
      </c>
      <c r="AG237" s="19" t="str">
        <f aca="false">IF(OR(W237="",NOT(ISNUMBER(W237))),"",W237*$D$3^2/(2*$H$3))</f>
        <v/>
      </c>
      <c r="AH237" s="20" t="str">
        <f aca="false">IF(OR(W237="",NOT(ISNUMBER(W237))),"",W237*$D$3^2/2*$F$3)</f>
        <v/>
      </c>
    </row>
    <row r="238" customFormat="false" ht="15" hidden="false" customHeight="false" outlineLevel="0" collapsed="false">
      <c r="A238" s="10" t="s">
        <v>556</v>
      </c>
      <c r="B238" s="11" t="s">
        <v>41</v>
      </c>
      <c r="C238" s="6" t="s">
        <v>381</v>
      </c>
      <c r="D238" s="6" t="s">
        <v>557</v>
      </c>
      <c r="E238" s="6" t="s">
        <v>297</v>
      </c>
      <c r="F238" s="6" t="s">
        <v>247</v>
      </c>
      <c r="G238" s="6" t="n">
        <v>110</v>
      </c>
      <c r="H238" s="6" t="n">
        <v>110</v>
      </c>
      <c r="I238" s="6" t="s">
        <v>139</v>
      </c>
      <c r="J238" s="6" t="n">
        <v>10</v>
      </c>
      <c r="K238" s="6" t="s">
        <v>46</v>
      </c>
      <c r="L238" s="6" t="n">
        <v>176</v>
      </c>
      <c r="M238" s="6" t="n">
        <v>63</v>
      </c>
      <c r="N238" s="12" t="n">
        <v>90</v>
      </c>
      <c r="O238" s="12" t="n">
        <v>90</v>
      </c>
      <c r="P238" s="13" t="n">
        <v>81</v>
      </c>
      <c r="Q238" s="13" t="n">
        <v>77.9</v>
      </c>
      <c r="R238" s="14" t="n">
        <v>0.017</v>
      </c>
      <c r="S238" s="6" t="n">
        <v>20</v>
      </c>
      <c r="T238" s="6"/>
      <c r="U238" s="15" t="n">
        <f aca="false">(20*R238+0.5*(1-(P238/N238)^2)+(1-(P238/N238)^2)^2)*(N238/P238)^4</f>
        <v>0.718030787989636</v>
      </c>
      <c r="V238" s="15" t="n">
        <f aca="false">(60*R238+0.5*(1-(Q238/N238)^2)+(1-(Q238/O238)^2)^2)*(O238/Q238)^4</f>
        <v>2.15278223797806</v>
      </c>
      <c r="W238" s="14"/>
      <c r="X238" s="10" t="s">
        <v>248</v>
      </c>
      <c r="Y238" s="16"/>
      <c r="Z238" s="17" t="s">
        <v>48</v>
      </c>
      <c r="AA238" s="6"/>
      <c r="AB238" s="18" t="n">
        <f aca="false">IF(O238="","",$D$3*PI()*(O238/1000)^2/4*3600)</f>
        <v>34.3533156670044</v>
      </c>
      <c r="AC238" s="19" t="n">
        <f aca="false">IF(OR(U238="",NOT(ISNUMBER(U238))),"",U238*$D$3^2/(2*$H$3))</f>
        <v>0.0823429802740408</v>
      </c>
      <c r="AD238" s="20" t="n">
        <f aca="false">IF(OR(U238="",NOT(ISNUMBER(U238))),"",U238*$D$3^2/2*$F$3)</f>
        <v>807.78463648834</v>
      </c>
      <c r="AE238" s="19" t="n">
        <f aca="false">IF(OR(V238="",NOT(ISNUMBER(V238))),"",V238*$D$3^2/(2*$H$3))</f>
        <v>0.246878697015833</v>
      </c>
      <c r="AF238" s="20" t="n">
        <f aca="false">IF(OR(V238="",NOT(ISNUMBER(V238))),"",V238*$D$3^2/2*$F$3)</f>
        <v>2421.88001772532</v>
      </c>
      <c r="AG238" s="19" t="str">
        <f aca="false">IF(OR(W238="",NOT(ISNUMBER(W238))),"",W238*$D$3^2/(2*$H$3))</f>
        <v/>
      </c>
      <c r="AH238" s="20" t="str">
        <f aca="false">IF(OR(W238="",NOT(ISNUMBER(W238))),"",W238*$D$3^2/2*$F$3)</f>
        <v/>
      </c>
    </row>
    <row r="239" customFormat="false" ht="15" hidden="false" customHeight="false" outlineLevel="0" collapsed="false">
      <c r="A239" s="10" t="s">
        <v>558</v>
      </c>
      <c r="B239" s="11" t="s">
        <v>41</v>
      </c>
      <c r="C239" s="6" t="s">
        <v>381</v>
      </c>
      <c r="D239" s="6" t="s">
        <v>559</v>
      </c>
      <c r="E239" s="6" t="s">
        <v>297</v>
      </c>
      <c r="F239" s="6" t="s">
        <v>247</v>
      </c>
      <c r="G239" s="6" t="n">
        <v>110</v>
      </c>
      <c r="H239" s="6" t="n">
        <v>110</v>
      </c>
      <c r="I239" s="6" t="s">
        <v>142</v>
      </c>
      <c r="J239" s="6" t="n">
        <v>10</v>
      </c>
      <c r="K239" s="6" t="s">
        <v>46</v>
      </c>
      <c r="L239" s="6" t="n">
        <v>176</v>
      </c>
      <c r="M239" s="6" t="n">
        <v>63</v>
      </c>
      <c r="N239" s="12" t="n">
        <v>90</v>
      </c>
      <c r="O239" s="12" t="n">
        <v>90</v>
      </c>
      <c r="P239" s="13" t="n">
        <v>81</v>
      </c>
      <c r="Q239" s="13" t="n">
        <v>81</v>
      </c>
      <c r="R239" s="14" t="n">
        <v>0.017</v>
      </c>
      <c r="S239" s="6" t="n">
        <v>20</v>
      </c>
      <c r="T239" s="6"/>
      <c r="U239" s="15" t="n">
        <f aca="false">(20*R239+0.5*(1-(P239/N239)^2)+(1-(P239/N239)^2)^2)*(N239/P239)^4</f>
        <v>0.718030787989636</v>
      </c>
      <c r="V239" s="15" t="n">
        <f aca="false">(60*R239+0.5*(1-(Q239/N239)^2)+(1-(Q239/O239)^2)^2)*(O239/Q239)^4</f>
        <v>1.75445816186557</v>
      </c>
      <c r="W239" s="14"/>
      <c r="X239" s="10" t="s">
        <v>248</v>
      </c>
      <c r="Y239" s="16"/>
      <c r="Z239" s="17" t="s">
        <v>48</v>
      </c>
      <c r="AA239" s="6"/>
      <c r="AB239" s="18" t="n">
        <f aca="false">IF(O239="","",$D$3*PI()*(O239/1000)^2/4*3600)</f>
        <v>34.3533156670044</v>
      </c>
      <c r="AC239" s="19" t="n">
        <f aca="false">IF(OR(U239="",NOT(ISNUMBER(U239))),"",U239*$D$3^2/(2*$H$3))</f>
        <v>0.0823429802740408</v>
      </c>
      <c r="AD239" s="20" t="n">
        <f aca="false">IF(OR(U239="",NOT(ISNUMBER(U239))),"",U239*$D$3^2/2*$F$3)</f>
        <v>807.78463648834</v>
      </c>
      <c r="AE239" s="19" t="n">
        <f aca="false">IF(OR(V239="",NOT(ISNUMBER(V239))),"",V239*$D$3^2/(2*$H$3))</f>
        <v>0.201199330489171</v>
      </c>
      <c r="AF239" s="20" t="n">
        <f aca="false">IF(OR(V239="",NOT(ISNUMBER(V239))),"",V239*$D$3^2/2*$F$3)</f>
        <v>1973.76543209877</v>
      </c>
      <c r="AG239" s="19" t="str">
        <f aca="false">IF(OR(W239="",NOT(ISNUMBER(W239))),"",W239*$D$3^2/(2*$H$3))</f>
        <v/>
      </c>
      <c r="AH239" s="20" t="str">
        <f aca="false">IF(OR(W239="",NOT(ISNUMBER(W239))),"",W239*$D$3^2/2*$F$3)</f>
        <v/>
      </c>
    </row>
    <row r="240" customFormat="false" ht="15" hidden="false" customHeight="false" outlineLevel="0" collapsed="false">
      <c r="A240" s="10" t="s">
        <v>560</v>
      </c>
      <c r="B240" s="11" t="s">
        <v>41</v>
      </c>
      <c r="C240" s="6" t="s">
        <v>381</v>
      </c>
      <c r="D240" s="6" t="s">
        <v>561</v>
      </c>
      <c r="E240" s="6" t="s">
        <v>290</v>
      </c>
      <c r="F240" s="6" t="s">
        <v>247</v>
      </c>
      <c r="G240" s="6" t="n">
        <v>16</v>
      </c>
      <c r="H240" s="6" t="n">
        <v>16</v>
      </c>
      <c r="I240" s="6" t="s">
        <v>403</v>
      </c>
      <c r="J240" s="6" t="n">
        <v>10</v>
      </c>
      <c r="K240" s="6" t="s">
        <v>46</v>
      </c>
      <c r="L240" s="6" t="n">
        <v>49</v>
      </c>
      <c r="M240" s="6" t="n">
        <v>13</v>
      </c>
      <c r="N240" s="12" t="n">
        <v>12</v>
      </c>
      <c r="O240" s="12" t="n">
        <v>12</v>
      </c>
      <c r="P240" s="13" t="n">
        <v>10</v>
      </c>
      <c r="Q240" s="13" t="n">
        <v>10</v>
      </c>
      <c r="R240" s="14" t="n">
        <v>0.027</v>
      </c>
      <c r="S240" s="6" t="n">
        <v>20</v>
      </c>
      <c r="T240" s="6"/>
      <c r="U240" s="15" t="n">
        <f aca="false">(20*R240+0.5*(1-(P240/N240)^2)+(1-(P240/N240)^2)^2)*(N240/P240)^4</f>
        <v>1.630144</v>
      </c>
      <c r="V240" s="15" t="n">
        <f aca="false">(60*R240+0.5*(1-(Q240/N240)^2)+(1-(Q240/O240)^2)^2)*(O240/Q240)^4</f>
        <v>3.869632</v>
      </c>
      <c r="W240" s="14"/>
      <c r="X240" s="10" t="s">
        <v>248</v>
      </c>
      <c r="Y240" s="16"/>
      <c r="Z240" s="17" t="s">
        <v>48</v>
      </c>
      <c r="AA240" s="6"/>
      <c r="AB240" s="18" t="n">
        <f aca="false">IF(O240="","",$D$3*PI()*(O240/1000)^2/4*3600)</f>
        <v>0.610725611857856</v>
      </c>
      <c r="AC240" s="19" t="n">
        <f aca="false">IF(OR(U240="",NOT(ISNUMBER(U240))),"",U240*$D$3^2/(2*$H$3))</f>
        <v>0.186943119266055</v>
      </c>
      <c r="AD240" s="20" t="n">
        <f aca="false">IF(OR(U240="",NOT(ISNUMBER(U240))),"",U240*$D$3^2/2*$F$3)</f>
        <v>1833.912</v>
      </c>
      <c r="AE240" s="19" t="n">
        <f aca="false">IF(OR(V240="",NOT(ISNUMBER(V240))),"",V240*$D$3^2/(2*$H$3))</f>
        <v>0.443765137614679</v>
      </c>
      <c r="AF240" s="20" t="n">
        <f aca="false">IF(OR(V240="",NOT(ISNUMBER(V240))),"",V240*$D$3^2/2*$F$3)</f>
        <v>4353.336</v>
      </c>
      <c r="AG240" s="19" t="str">
        <f aca="false">IF(OR(W240="",NOT(ISNUMBER(W240))),"",W240*$D$3^2/(2*$H$3))</f>
        <v/>
      </c>
      <c r="AH240" s="20" t="str">
        <f aca="false">IF(OR(W240="",NOT(ISNUMBER(W240))),"",W240*$D$3^2/2*$F$3)</f>
        <v/>
      </c>
    </row>
    <row r="241" customFormat="false" ht="15" hidden="false" customHeight="false" outlineLevel="0" collapsed="false">
      <c r="A241" s="10" t="s">
        <v>562</v>
      </c>
      <c r="B241" s="11" t="s">
        <v>41</v>
      </c>
      <c r="C241" s="6" t="s">
        <v>381</v>
      </c>
      <c r="D241" s="6" t="s">
        <v>563</v>
      </c>
      <c r="E241" s="6" t="s">
        <v>290</v>
      </c>
      <c r="F241" s="6" t="s">
        <v>247</v>
      </c>
      <c r="G241" s="6" t="n">
        <v>16</v>
      </c>
      <c r="H241" s="6" t="n">
        <v>16</v>
      </c>
      <c r="I241" s="6" t="s">
        <v>108</v>
      </c>
      <c r="J241" s="6" t="n">
        <v>10</v>
      </c>
      <c r="K241" s="6" t="s">
        <v>46</v>
      </c>
      <c r="L241" s="6" t="n">
        <v>49</v>
      </c>
      <c r="M241" s="6" t="n">
        <v>13</v>
      </c>
      <c r="N241" s="12" t="n">
        <v>12</v>
      </c>
      <c r="O241" s="12" t="n">
        <v>12</v>
      </c>
      <c r="P241" s="13" t="n">
        <v>10</v>
      </c>
      <c r="Q241" s="13" t="n">
        <v>10</v>
      </c>
      <c r="R241" s="14" t="n">
        <v>0.027</v>
      </c>
      <c r="S241" s="6" t="n">
        <v>20</v>
      </c>
      <c r="T241" s="6"/>
      <c r="U241" s="15" t="n">
        <f aca="false">(20*R241+0.5*(1-(P241/N241)^2)+(1-(P241/N241)^2)^2)*(N241/P241)^4</f>
        <v>1.630144</v>
      </c>
      <c r="V241" s="15" t="n">
        <f aca="false">(60*R241+0.5*(1-(Q241/N241)^2)+(1-(Q241/O241)^2)^2)*(O241/Q241)^4</f>
        <v>3.869632</v>
      </c>
      <c r="W241" s="14"/>
      <c r="X241" s="10" t="s">
        <v>248</v>
      </c>
      <c r="Y241" s="16"/>
      <c r="Z241" s="17" t="s">
        <v>48</v>
      </c>
      <c r="AA241" s="6"/>
      <c r="AB241" s="18" t="n">
        <f aca="false">IF(O241="","",$D$3*PI()*(O241/1000)^2/4*3600)</f>
        <v>0.610725611857856</v>
      </c>
      <c r="AC241" s="19" t="n">
        <f aca="false">IF(OR(U241="",NOT(ISNUMBER(U241))),"",U241*$D$3^2/(2*$H$3))</f>
        <v>0.186943119266055</v>
      </c>
      <c r="AD241" s="20" t="n">
        <f aca="false">IF(OR(U241="",NOT(ISNUMBER(U241))),"",U241*$D$3^2/2*$F$3)</f>
        <v>1833.912</v>
      </c>
      <c r="AE241" s="19" t="n">
        <f aca="false">IF(OR(V241="",NOT(ISNUMBER(V241))),"",V241*$D$3^2/(2*$H$3))</f>
        <v>0.443765137614679</v>
      </c>
      <c r="AF241" s="20" t="n">
        <f aca="false">IF(OR(V241="",NOT(ISNUMBER(V241))),"",V241*$D$3^2/2*$F$3)</f>
        <v>4353.336</v>
      </c>
      <c r="AG241" s="19" t="str">
        <f aca="false">IF(OR(W241="",NOT(ISNUMBER(W241))),"",W241*$D$3^2/(2*$H$3))</f>
        <v/>
      </c>
      <c r="AH241" s="20" t="str">
        <f aca="false">IF(OR(W241="",NOT(ISNUMBER(W241))),"",W241*$D$3^2/2*$F$3)</f>
        <v/>
      </c>
    </row>
    <row r="242" customFormat="false" ht="15" hidden="false" customHeight="false" outlineLevel="0" collapsed="false">
      <c r="A242" s="10" t="s">
        <v>564</v>
      </c>
      <c r="B242" s="11" t="s">
        <v>41</v>
      </c>
      <c r="C242" s="6" t="s">
        <v>381</v>
      </c>
      <c r="D242" s="6" t="s">
        <v>565</v>
      </c>
      <c r="E242" s="6" t="s">
        <v>290</v>
      </c>
      <c r="F242" s="6" t="s">
        <v>247</v>
      </c>
      <c r="G242" s="6" t="n">
        <v>20</v>
      </c>
      <c r="H242" s="6" t="n">
        <v>20</v>
      </c>
      <c r="I242" s="6" t="s">
        <v>108</v>
      </c>
      <c r="J242" s="6" t="n">
        <v>10</v>
      </c>
      <c r="K242" s="6" t="s">
        <v>46</v>
      </c>
      <c r="L242" s="6" t="n">
        <v>49</v>
      </c>
      <c r="M242" s="6" t="n">
        <v>13</v>
      </c>
      <c r="N242" s="12" t="n">
        <v>16</v>
      </c>
      <c r="O242" s="12" t="n">
        <v>16</v>
      </c>
      <c r="P242" s="13" t="n">
        <v>13</v>
      </c>
      <c r="Q242" s="13" t="n">
        <v>13</v>
      </c>
      <c r="R242" s="14" t="n">
        <v>0.027</v>
      </c>
      <c r="S242" s="6" t="n">
        <v>20</v>
      </c>
      <c r="T242" s="6"/>
      <c r="U242" s="15" t="n">
        <f aca="false">(20*R242+0.5*(1-(P242/N242)^2)+(1-(P242/N242)^2)^2)*(N242/P242)^4</f>
        <v>1.89399670879871</v>
      </c>
      <c r="V242" s="15" t="n">
        <f aca="false">(60*R242+0.5*(1-(Q242/N242)^2)+(1-(Q242/O242)^2)^2)*(O242/Q242)^4</f>
        <v>4.37216203914429</v>
      </c>
      <c r="W242" s="14"/>
      <c r="X242" s="10" t="s">
        <v>248</v>
      </c>
      <c r="Y242" s="16"/>
      <c r="Z242" s="17" t="s">
        <v>48</v>
      </c>
      <c r="AA242" s="6"/>
      <c r="AB242" s="18" t="n">
        <f aca="false">IF(O242="","",$D$3*PI()*(O242/1000)^2/4*3600)</f>
        <v>1.08573442108063</v>
      </c>
      <c r="AC242" s="19" t="n">
        <f aca="false">IF(OR(U242="",NOT(ISNUMBER(U242))),"",U242*$D$3^2/(2*$H$3))</f>
        <v>0.217201457431045</v>
      </c>
      <c r="AD242" s="20" t="n">
        <f aca="false">IF(OR(U242="",NOT(ISNUMBER(U242))),"",U242*$D$3^2/2*$F$3)</f>
        <v>2130.74629739855</v>
      </c>
      <c r="AE242" s="19" t="n">
        <f aca="false">IF(OR(V242="",NOT(ISNUMBER(V242))),"",V242*$D$3^2/(2*$H$3))</f>
        <v>0.501394729259666</v>
      </c>
      <c r="AF242" s="20" t="n">
        <f aca="false">IF(OR(V242="",NOT(ISNUMBER(V242))),"",V242*$D$3^2/2*$F$3)</f>
        <v>4918.68229403732</v>
      </c>
      <c r="AG242" s="19" t="str">
        <f aca="false">IF(OR(W242="",NOT(ISNUMBER(W242))),"",W242*$D$3^2/(2*$H$3))</f>
        <v/>
      </c>
      <c r="AH242" s="20" t="str">
        <f aca="false">IF(OR(W242="",NOT(ISNUMBER(W242))),"",W242*$D$3^2/2*$F$3)</f>
        <v/>
      </c>
    </row>
    <row r="243" customFormat="false" ht="15" hidden="false" customHeight="false" outlineLevel="0" collapsed="false">
      <c r="A243" s="10" t="s">
        <v>566</v>
      </c>
      <c r="B243" s="11" t="s">
        <v>41</v>
      </c>
      <c r="C243" s="6" t="s">
        <v>381</v>
      </c>
      <c r="D243" s="6" t="s">
        <v>567</v>
      </c>
      <c r="E243" s="6" t="s">
        <v>290</v>
      </c>
      <c r="F243" s="6" t="s">
        <v>247</v>
      </c>
      <c r="G243" s="6" t="n">
        <v>20</v>
      </c>
      <c r="H243" s="6" t="n">
        <v>20</v>
      </c>
      <c r="I243" s="6" t="s">
        <v>111</v>
      </c>
      <c r="J243" s="6" t="n">
        <v>10</v>
      </c>
      <c r="K243" s="6" t="s">
        <v>46</v>
      </c>
      <c r="L243" s="6" t="n">
        <v>49</v>
      </c>
      <c r="M243" s="6" t="n">
        <v>13</v>
      </c>
      <c r="N243" s="12" t="n">
        <v>16</v>
      </c>
      <c r="O243" s="12" t="n">
        <v>16</v>
      </c>
      <c r="P243" s="13" t="n">
        <v>13</v>
      </c>
      <c r="Q243" s="13" t="n">
        <v>13</v>
      </c>
      <c r="R243" s="14" t="n">
        <v>0.027</v>
      </c>
      <c r="S243" s="6" t="n">
        <v>20</v>
      </c>
      <c r="T243" s="6"/>
      <c r="U243" s="15" t="n">
        <f aca="false">(20*R243+0.5*(1-(P243/N243)^2)+(1-(P243/N243)^2)^2)*(N243/P243)^4</f>
        <v>1.89399670879871</v>
      </c>
      <c r="V243" s="15" t="n">
        <f aca="false">(60*R243+0.5*(1-(Q243/N243)^2)+(1-(Q243/O243)^2)^2)*(O243/Q243)^4</f>
        <v>4.37216203914429</v>
      </c>
      <c r="W243" s="14"/>
      <c r="X243" s="10" t="s">
        <v>248</v>
      </c>
      <c r="Y243" s="16"/>
      <c r="Z243" s="17" t="s">
        <v>48</v>
      </c>
      <c r="AA243" s="6"/>
      <c r="AB243" s="18" t="n">
        <f aca="false">IF(O243="","",$D$3*PI()*(O243/1000)^2/4*3600)</f>
        <v>1.08573442108063</v>
      </c>
      <c r="AC243" s="19" t="n">
        <f aca="false">IF(OR(U243="",NOT(ISNUMBER(U243))),"",U243*$D$3^2/(2*$H$3))</f>
        <v>0.217201457431045</v>
      </c>
      <c r="AD243" s="20" t="n">
        <f aca="false">IF(OR(U243="",NOT(ISNUMBER(U243))),"",U243*$D$3^2/2*$F$3)</f>
        <v>2130.74629739855</v>
      </c>
      <c r="AE243" s="19" t="n">
        <f aca="false">IF(OR(V243="",NOT(ISNUMBER(V243))),"",V243*$D$3^2/(2*$H$3))</f>
        <v>0.501394729259666</v>
      </c>
      <c r="AF243" s="20" t="n">
        <f aca="false">IF(OR(V243="",NOT(ISNUMBER(V243))),"",V243*$D$3^2/2*$F$3)</f>
        <v>4918.68229403732</v>
      </c>
      <c r="AG243" s="19" t="str">
        <f aca="false">IF(OR(W243="",NOT(ISNUMBER(W243))),"",W243*$D$3^2/(2*$H$3))</f>
        <v/>
      </c>
      <c r="AH243" s="20" t="str">
        <f aca="false">IF(OR(W243="",NOT(ISNUMBER(W243))),"",W243*$D$3^2/2*$F$3)</f>
        <v/>
      </c>
    </row>
    <row r="244" customFormat="false" ht="15" hidden="false" customHeight="false" outlineLevel="0" collapsed="false">
      <c r="A244" s="10" t="s">
        <v>568</v>
      </c>
      <c r="B244" s="11" t="s">
        <v>41</v>
      </c>
      <c r="C244" s="6" t="s">
        <v>381</v>
      </c>
      <c r="D244" s="6" t="s">
        <v>569</v>
      </c>
      <c r="E244" s="6" t="s">
        <v>290</v>
      </c>
      <c r="F244" s="6" t="s">
        <v>247</v>
      </c>
      <c r="G244" s="6" t="n">
        <v>25</v>
      </c>
      <c r="H244" s="6" t="n">
        <v>25</v>
      </c>
      <c r="I244" s="6" t="s">
        <v>108</v>
      </c>
      <c r="J244" s="6" t="n">
        <v>10</v>
      </c>
      <c r="K244" s="6" t="s">
        <v>46</v>
      </c>
      <c r="L244" s="6" t="n">
        <v>58</v>
      </c>
      <c r="M244" s="6" t="n">
        <v>16</v>
      </c>
      <c r="N244" s="12" t="n">
        <v>20.4</v>
      </c>
      <c r="O244" s="12" t="n">
        <v>20.4</v>
      </c>
      <c r="P244" s="13" t="n">
        <v>17</v>
      </c>
      <c r="Q244" s="13" t="n">
        <v>15.8</v>
      </c>
      <c r="R244" s="14" t="n">
        <v>0.025</v>
      </c>
      <c r="S244" s="6" t="n">
        <v>20</v>
      </c>
      <c r="T244" s="6"/>
      <c r="U244" s="15" t="n">
        <f aca="false">(20*R244+0.5*(1-(P244/N244)^2)+(1-(P244/N244)^2)^2)*(N244/P244)^4</f>
        <v>1.5472</v>
      </c>
      <c r="V244" s="15" t="n">
        <f aca="false">(60*R244+0.5*(1-(Q244/N244)^2)+(1-(Q244/O244)^2)^2)*(O244/Q244)^4</f>
        <v>5.16947112382128</v>
      </c>
      <c r="W244" s="14"/>
      <c r="X244" s="10" t="s">
        <v>248</v>
      </c>
      <c r="Y244" s="16"/>
      <c r="Z244" s="17" t="s">
        <v>48</v>
      </c>
      <c r="AA244" s="6"/>
      <c r="AB244" s="18" t="n">
        <f aca="false">IF(O244="","",$D$3*PI()*(O244/1000)^2/4*3600)</f>
        <v>1.7649970182692</v>
      </c>
      <c r="AC244" s="19" t="n">
        <f aca="false">IF(OR(U244="",NOT(ISNUMBER(U244))),"",U244*$D$3^2/(2*$H$3))</f>
        <v>0.17743119266055</v>
      </c>
      <c r="AD244" s="20" t="n">
        <f aca="false">IF(OR(U244="",NOT(ISNUMBER(U244))),"",U244*$D$3^2/2*$F$3)</f>
        <v>1740.6</v>
      </c>
      <c r="AE244" s="19" t="n">
        <f aca="false">IF(OR(V244="",NOT(ISNUMBER(V244))),"",V244*$D$3^2/(2*$H$3))</f>
        <v>0.592829257318954</v>
      </c>
      <c r="AF244" s="20" t="n">
        <f aca="false">IF(OR(V244="",NOT(ISNUMBER(V244))),"",V244*$D$3^2/2*$F$3)</f>
        <v>5815.65501429894</v>
      </c>
      <c r="AG244" s="19" t="str">
        <f aca="false">IF(OR(W244="",NOT(ISNUMBER(W244))),"",W244*$D$3^2/(2*$H$3))</f>
        <v/>
      </c>
      <c r="AH244" s="20" t="str">
        <f aca="false">IF(OR(W244="",NOT(ISNUMBER(W244))),"",W244*$D$3^2/2*$F$3)</f>
        <v/>
      </c>
    </row>
    <row r="245" customFormat="false" ht="15" hidden="false" customHeight="false" outlineLevel="0" collapsed="false">
      <c r="A245" s="10" t="s">
        <v>570</v>
      </c>
      <c r="B245" s="11" t="s">
        <v>41</v>
      </c>
      <c r="C245" s="6" t="s">
        <v>381</v>
      </c>
      <c r="D245" s="6" t="s">
        <v>571</v>
      </c>
      <c r="E245" s="6" t="s">
        <v>290</v>
      </c>
      <c r="F245" s="6" t="s">
        <v>247</v>
      </c>
      <c r="G245" s="6" t="n">
        <v>25</v>
      </c>
      <c r="H245" s="6" t="n">
        <v>25</v>
      </c>
      <c r="I245" s="6" t="s">
        <v>111</v>
      </c>
      <c r="J245" s="6" t="n">
        <v>10</v>
      </c>
      <c r="K245" s="6" t="s">
        <v>46</v>
      </c>
      <c r="L245" s="6" t="n">
        <v>58</v>
      </c>
      <c r="M245" s="6" t="n">
        <v>16</v>
      </c>
      <c r="N245" s="12" t="n">
        <v>20.4</v>
      </c>
      <c r="O245" s="12" t="n">
        <v>20.4</v>
      </c>
      <c r="P245" s="13" t="n">
        <v>17</v>
      </c>
      <c r="Q245" s="13" t="n">
        <v>17</v>
      </c>
      <c r="R245" s="14" t="n">
        <v>0.025</v>
      </c>
      <c r="S245" s="6" t="n">
        <v>20</v>
      </c>
      <c r="T245" s="6"/>
      <c r="U245" s="15" t="n">
        <f aca="false">(20*R245+0.5*(1-(P245/N245)^2)+(1-(P245/N245)^2)^2)*(N245/P245)^4</f>
        <v>1.5472</v>
      </c>
      <c r="V245" s="15" t="n">
        <f aca="false">(60*R245+0.5*(1-(Q245/N245)^2)+(1-(Q245/O245)^2)^2)*(O245/Q245)^4</f>
        <v>3.6208</v>
      </c>
      <c r="W245" s="14"/>
      <c r="X245" s="10" t="s">
        <v>248</v>
      </c>
      <c r="Y245" s="16"/>
      <c r="Z245" s="17" t="s">
        <v>48</v>
      </c>
      <c r="AA245" s="6"/>
      <c r="AB245" s="18" t="n">
        <f aca="false">IF(O245="","",$D$3*PI()*(O245/1000)^2/4*3600)</f>
        <v>1.7649970182692</v>
      </c>
      <c r="AC245" s="19" t="n">
        <f aca="false">IF(OR(U245="",NOT(ISNUMBER(U245))),"",U245*$D$3^2/(2*$H$3))</f>
        <v>0.17743119266055</v>
      </c>
      <c r="AD245" s="20" t="n">
        <f aca="false">IF(OR(U245="",NOT(ISNUMBER(U245))),"",U245*$D$3^2/2*$F$3)</f>
        <v>1740.6</v>
      </c>
      <c r="AE245" s="19" t="n">
        <f aca="false">IF(OR(V245="",NOT(ISNUMBER(V245))),"",V245*$D$3^2/(2*$H$3))</f>
        <v>0.415229357798165</v>
      </c>
      <c r="AF245" s="20" t="n">
        <f aca="false">IF(OR(V245="",NOT(ISNUMBER(V245))),"",V245*$D$3^2/2*$F$3)</f>
        <v>4073.4</v>
      </c>
      <c r="AG245" s="19" t="str">
        <f aca="false">IF(OR(W245="",NOT(ISNUMBER(W245))),"",W245*$D$3^2/(2*$H$3))</f>
        <v/>
      </c>
      <c r="AH245" s="20" t="str">
        <f aca="false">IF(OR(W245="",NOT(ISNUMBER(W245))),"",W245*$D$3^2/2*$F$3)</f>
        <v/>
      </c>
    </row>
    <row r="246" customFormat="false" ht="15" hidden="false" customHeight="false" outlineLevel="0" collapsed="false">
      <c r="A246" s="10" t="s">
        <v>572</v>
      </c>
      <c r="B246" s="11" t="s">
        <v>41</v>
      </c>
      <c r="C246" s="6" t="s">
        <v>381</v>
      </c>
      <c r="D246" s="6" t="s">
        <v>573</v>
      </c>
      <c r="E246" s="6" t="s">
        <v>290</v>
      </c>
      <c r="F246" s="6" t="s">
        <v>247</v>
      </c>
      <c r="G246" s="6" t="n">
        <v>32</v>
      </c>
      <c r="H246" s="6" t="n">
        <v>32</v>
      </c>
      <c r="I246" s="6" t="s">
        <v>108</v>
      </c>
      <c r="J246" s="6" t="n">
        <v>10</v>
      </c>
      <c r="K246" s="6" t="s">
        <v>46</v>
      </c>
      <c r="L246" s="6" t="n">
        <v>81</v>
      </c>
      <c r="M246" s="6" t="n">
        <v>18</v>
      </c>
      <c r="N246" s="12" t="n">
        <v>26.2</v>
      </c>
      <c r="O246" s="12" t="n">
        <v>26.2</v>
      </c>
      <c r="P246" s="13" t="n">
        <v>22</v>
      </c>
      <c r="Q246" s="13" t="n">
        <v>15.8</v>
      </c>
      <c r="R246" s="14" t="n">
        <v>0.023</v>
      </c>
      <c r="S246" s="6" t="n">
        <v>20</v>
      </c>
      <c r="T246" s="6"/>
      <c r="U246" s="15" t="n">
        <f aca="false">(20*R246+0.5*(1-(P246/N246)^2)+(1-(P246/N246)^2)^2)*(N246/P246)^4</f>
        <v>1.39682805245543</v>
      </c>
      <c r="V246" s="15" t="n">
        <f aca="false">(60*R246+0.5*(1-(Q246/N246)^2)+(1-(Q246/O246)^2)^2)*(O246/Q246)^4</f>
        <v>15.9012596399992</v>
      </c>
      <c r="W246" s="14"/>
      <c r="X246" s="10" t="s">
        <v>248</v>
      </c>
      <c r="Y246" s="16"/>
      <c r="Z246" s="17" t="s">
        <v>48</v>
      </c>
      <c r="AA246" s="6"/>
      <c r="AB246" s="18" t="n">
        <f aca="false">IF(O246="","",$D$3*PI()*(O246/1000)^2/4*3600)</f>
        <v>2.91129506252574</v>
      </c>
      <c r="AC246" s="19" t="n">
        <f aca="false">IF(OR(U246="",NOT(ISNUMBER(U246))),"",U246*$D$3^2/(2*$H$3))</f>
        <v>0.160186703263238</v>
      </c>
      <c r="AD246" s="20" t="n">
        <f aca="false">IF(OR(U246="",NOT(ISNUMBER(U246))),"",U246*$D$3^2/2*$F$3)</f>
        <v>1571.43155901236</v>
      </c>
      <c r="AE246" s="19" t="n">
        <f aca="false">IF(OR(V246="",NOT(ISNUMBER(V246))),"",V246*$D$3^2/(2*$H$3))</f>
        <v>1.82353894954119</v>
      </c>
      <c r="AF246" s="20" t="n">
        <f aca="false">IF(OR(V246="",NOT(ISNUMBER(V246))),"",V246*$D$3^2/2*$F$3)</f>
        <v>17888.9170949991</v>
      </c>
      <c r="AG246" s="19" t="str">
        <f aca="false">IF(OR(W246="",NOT(ISNUMBER(W246))),"",W246*$D$3^2/(2*$H$3))</f>
        <v/>
      </c>
      <c r="AH246" s="20" t="str">
        <f aca="false">IF(OR(W246="",NOT(ISNUMBER(W246))),"",W246*$D$3^2/2*$F$3)</f>
        <v/>
      </c>
    </row>
    <row r="247" customFormat="false" ht="15" hidden="false" customHeight="false" outlineLevel="0" collapsed="false">
      <c r="A247" s="10" t="s">
        <v>574</v>
      </c>
      <c r="B247" s="11" t="s">
        <v>41</v>
      </c>
      <c r="C247" s="6" t="s">
        <v>381</v>
      </c>
      <c r="D247" s="6" t="s">
        <v>575</v>
      </c>
      <c r="E247" s="6" t="s">
        <v>290</v>
      </c>
      <c r="F247" s="6" t="s">
        <v>247</v>
      </c>
      <c r="G247" s="6" t="n">
        <v>32</v>
      </c>
      <c r="H247" s="6" t="n">
        <v>32</v>
      </c>
      <c r="I247" s="6" t="s">
        <v>118</v>
      </c>
      <c r="J247" s="6" t="n">
        <v>10</v>
      </c>
      <c r="K247" s="6" t="s">
        <v>46</v>
      </c>
      <c r="L247" s="6" t="n">
        <v>81</v>
      </c>
      <c r="M247" s="6" t="n">
        <v>18</v>
      </c>
      <c r="N247" s="12" t="n">
        <v>26.2</v>
      </c>
      <c r="O247" s="12" t="n">
        <v>26.2</v>
      </c>
      <c r="P247" s="13" t="n">
        <v>22</v>
      </c>
      <c r="Q247" s="13" t="n">
        <v>22</v>
      </c>
      <c r="R247" s="14" t="n">
        <v>0.023</v>
      </c>
      <c r="S247" s="6" t="n">
        <v>20</v>
      </c>
      <c r="T247" s="6"/>
      <c r="U247" s="15" t="n">
        <f aca="false">(20*R247+0.5*(1-(P247/N247)^2)+(1-(P247/N247)^2)^2)*(N247/P247)^4</f>
        <v>1.39682805245543</v>
      </c>
      <c r="V247" s="15" t="n">
        <f aca="false">(60*R247+0.5*(1-(Q247/N247)^2)+(1-(Q247/O247)^2)^2)*(O247/Q247)^4</f>
        <v>3.24738421200738</v>
      </c>
      <c r="W247" s="14"/>
      <c r="X247" s="10" t="s">
        <v>248</v>
      </c>
      <c r="Y247" s="16"/>
      <c r="Z247" s="17" t="s">
        <v>48</v>
      </c>
      <c r="AA247" s="6"/>
      <c r="AB247" s="18" t="n">
        <f aca="false">IF(O247="","",$D$3*PI()*(O247/1000)^2/4*3600)</f>
        <v>2.91129506252574</v>
      </c>
      <c r="AC247" s="19" t="n">
        <f aca="false">IF(OR(U247="",NOT(ISNUMBER(U247))),"",U247*$D$3^2/(2*$H$3))</f>
        <v>0.160186703263238</v>
      </c>
      <c r="AD247" s="20" t="n">
        <f aca="false">IF(OR(U247="",NOT(ISNUMBER(U247))),"",U247*$D$3^2/2*$F$3)</f>
        <v>1571.43155901236</v>
      </c>
      <c r="AE247" s="19" t="n">
        <f aca="false">IF(OR(V247="",NOT(ISNUMBER(V247))),"",V247*$D$3^2/(2*$H$3))</f>
        <v>0.372406446331121</v>
      </c>
      <c r="AF247" s="20" t="n">
        <f aca="false">IF(OR(V247="",NOT(ISNUMBER(V247))),"",V247*$D$3^2/2*$F$3)</f>
        <v>3653.3072385083</v>
      </c>
      <c r="AG247" s="19" t="str">
        <f aca="false">IF(OR(W247="",NOT(ISNUMBER(W247))),"",W247*$D$3^2/(2*$H$3))</f>
        <v/>
      </c>
      <c r="AH247" s="20" t="str">
        <f aca="false">IF(OR(W247="",NOT(ISNUMBER(W247))),"",W247*$D$3^2/2*$F$3)</f>
        <v/>
      </c>
    </row>
    <row r="248" customFormat="false" ht="15" hidden="false" customHeight="false" outlineLevel="0" collapsed="false">
      <c r="A248" s="10" t="s">
        <v>576</v>
      </c>
      <c r="B248" s="11" t="s">
        <v>41</v>
      </c>
      <c r="C248" s="6" t="s">
        <v>381</v>
      </c>
      <c r="D248" s="6" t="s">
        <v>577</v>
      </c>
      <c r="E248" s="6" t="s">
        <v>290</v>
      </c>
      <c r="F248" s="6" t="s">
        <v>247</v>
      </c>
      <c r="G248" s="6" t="n">
        <v>40</v>
      </c>
      <c r="H248" s="6" t="n">
        <v>40</v>
      </c>
      <c r="I248" s="6" t="s">
        <v>127</v>
      </c>
      <c r="J248" s="6" t="n">
        <v>10</v>
      </c>
      <c r="K248" s="6" t="s">
        <v>46</v>
      </c>
      <c r="L248" s="6" t="n">
        <v>92</v>
      </c>
      <c r="M248" s="6" t="n">
        <v>24</v>
      </c>
      <c r="N248" s="12" t="n">
        <v>32.6</v>
      </c>
      <c r="O248" s="12" t="n">
        <v>32.6</v>
      </c>
      <c r="P248" s="13" t="n">
        <v>28</v>
      </c>
      <c r="Q248" s="13" t="n">
        <v>28</v>
      </c>
      <c r="R248" s="14" t="n">
        <v>0.022</v>
      </c>
      <c r="S248" s="6" t="n">
        <v>20</v>
      </c>
      <c r="T248" s="6"/>
      <c r="U248" s="15" t="n">
        <f aca="false">(20*R248+0.5*(1-(P248/N248)^2)+(1-(P248/N248)^2)^2)*(N248/P248)^4</f>
        <v>1.17593663145564</v>
      </c>
      <c r="V248" s="15" t="n">
        <f aca="false">(60*R248+0.5*(1-(Q248/N248)^2)+(1-(Q248/O248)^2)^2)*(O248/Q248)^4</f>
        <v>2.79297731679509</v>
      </c>
      <c r="W248" s="14"/>
      <c r="X248" s="10" t="s">
        <v>248</v>
      </c>
      <c r="Y248" s="16"/>
      <c r="Z248" s="17" t="s">
        <v>48</v>
      </c>
      <c r="AA248" s="6"/>
      <c r="AB248" s="18" t="n">
        <f aca="false">IF(O248="","",$D$3*PI()*(O248/1000)^2/4*3600)</f>
        <v>4.50732466151427</v>
      </c>
      <c r="AC248" s="19" t="n">
        <f aca="false">IF(OR(U248="",NOT(ISNUMBER(U248))),"",U248*$D$3^2/(2*$H$3))</f>
        <v>0.134855118286198</v>
      </c>
      <c r="AD248" s="20" t="n">
        <f aca="false">IF(OR(U248="",NOT(ISNUMBER(U248))),"",U248*$D$3^2/2*$F$3)</f>
        <v>1322.9287103876</v>
      </c>
      <c r="AE248" s="19" t="n">
        <f aca="false">IF(OR(V248="",NOT(ISNUMBER(V248))),"",V248*$D$3^2/(2*$H$3))</f>
        <v>0.320295563852647</v>
      </c>
      <c r="AF248" s="20" t="n">
        <f aca="false">IF(OR(V248="",NOT(ISNUMBER(V248))),"",V248*$D$3^2/2*$F$3)</f>
        <v>3142.09948139447</v>
      </c>
      <c r="AG248" s="19" t="str">
        <f aca="false">IF(OR(W248="",NOT(ISNUMBER(W248))),"",W248*$D$3^2/(2*$H$3))</f>
        <v/>
      </c>
      <c r="AH248" s="20" t="str">
        <f aca="false">IF(OR(W248="",NOT(ISNUMBER(W248))),"",W248*$D$3^2/2*$F$3)</f>
        <v/>
      </c>
    </row>
    <row r="249" customFormat="false" ht="15" hidden="false" customHeight="false" outlineLevel="0" collapsed="false">
      <c r="A249" s="10" t="s">
        <v>578</v>
      </c>
      <c r="B249" s="11" t="s">
        <v>41</v>
      </c>
      <c r="C249" s="6" t="s">
        <v>381</v>
      </c>
      <c r="D249" s="6" t="s">
        <v>579</v>
      </c>
      <c r="E249" s="6" t="s">
        <v>290</v>
      </c>
      <c r="F249" s="6" t="s">
        <v>247</v>
      </c>
      <c r="G249" s="6" t="n">
        <v>40</v>
      </c>
      <c r="H249" s="6" t="n">
        <v>40</v>
      </c>
      <c r="I249" s="6" t="s">
        <v>130</v>
      </c>
      <c r="J249" s="6" t="n">
        <v>10</v>
      </c>
      <c r="K249" s="6" t="s">
        <v>46</v>
      </c>
      <c r="L249" s="6" t="n">
        <v>92</v>
      </c>
      <c r="M249" s="6" t="n">
        <v>24</v>
      </c>
      <c r="N249" s="12" t="n">
        <v>32.6</v>
      </c>
      <c r="O249" s="12" t="n">
        <v>32.6</v>
      </c>
      <c r="P249" s="13" t="n">
        <v>28</v>
      </c>
      <c r="Q249" s="13" t="n">
        <v>28</v>
      </c>
      <c r="R249" s="14" t="n">
        <v>0.022</v>
      </c>
      <c r="S249" s="6" t="n">
        <v>20</v>
      </c>
      <c r="T249" s="6"/>
      <c r="U249" s="15" t="n">
        <f aca="false">(20*R249+0.5*(1-(P249/N249)^2)+(1-(P249/N249)^2)^2)*(N249/P249)^4</f>
        <v>1.17593663145564</v>
      </c>
      <c r="V249" s="15" t="n">
        <f aca="false">(60*R249+0.5*(1-(Q249/N249)^2)+(1-(Q249/O249)^2)^2)*(O249/Q249)^4</f>
        <v>2.79297731679509</v>
      </c>
      <c r="W249" s="14"/>
      <c r="X249" s="10" t="s">
        <v>248</v>
      </c>
      <c r="Y249" s="16"/>
      <c r="Z249" s="17" t="s">
        <v>48</v>
      </c>
      <c r="AA249" s="6"/>
      <c r="AB249" s="18" t="n">
        <f aca="false">IF(O249="","",$D$3*PI()*(O249/1000)^2/4*3600)</f>
        <v>4.50732466151427</v>
      </c>
      <c r="AC249" s="19" t="n">
        <f aca="false">IF(OR(U249="",NOT(ISNUMBER(U249))),"",U249*$D$3^2/(2*$H$3))</f>
        <v>0.134855118286198</v>
      </c>
      <c r="AD249" s="20" t="n">
        <f aca="false">IF(OR(U249="",NOT(ISNUMBER(U249))),"",U249*$D$3^2/2*$F$3)</f>
        <v>1322.9287103876</v>
      </c>
      <c r="AE249" s="19" t="n">
        <f aca="false">IF(OR(V249="",NOT(ISNUMBER(V249))),"",V249*$D$3^2/(2*$H$3))</f>
        <v>0.320295563852647</v>
      </c>
      <c r="AF249" s="20" t="n">
        <f aca="false">IF(OR(V249="",NOT(ISNUMBER(V249))),"",V249*$D$3^2/2*$F$3)</f>
        <v>3142.09948139447</v>
      </c>
      <c r="AG249" s="19" t="str">
        <f aca="false">IF(OR(W249="",NOT(ISNUMBER(W249))),"",W249*$D$3^2/(2*$H$3))</f>
        <v/>
      </c>
      <c r="AH249" s="20" t="str">
        <f aca="false">IF(OR(W249="",NOT(ISNUMBER(W249))),"",W249*$D$3^2/2*$F$3)</f>
        <v/>
      </c>
    </row>
    <row r="250" customFormat="false" ht="15" hidden="false" customHeight="false" outlineLevel="0" collapsed="false">
      <c r="A250" s="10" t="s">
        <v>580</v>
      </c>
      <c r="B250" s="11" t="s">
        <v>41</v>
      </c>
      <c r="C250" s="6" t="s">
        <v>381</v>
      </c>
      <c r="D250" s="6" t="s">
        <v>581</v>
      </c>
      <c r="E250" s="6" t="s">
        <v>290</v>
      </c>
      <c r="F250" s="6" t="s">
        <v>247</v>
      </c>
      <c r="G250" s="6" t="n">
        <v>50</v>
      </c>
      <c r="H250" s="6" t="n">
        <v>50</v>
      </c>
      <c r="I250" s="6" t="s">
        <v>130</v>
      </c>
      <c r="J250" s="6" t="n">
        <v>10</v>
      </c>
      <c r="K250" s="6" t="s">
        <v>46</v>
      </c>
      <c r="L250" s="6" t="n">
        <v>108</v>
      </c>
      <c r="M250" s="6" t="n">
        <v>28</v>
      </c>
      <c r="N250" s="12" t="n">
        <v>40.8</v>
      </c>
      <c r="O250" s="12" t="n">
        <v>40.8</v>
      </c>
      <c r="P250" s="13" t="n">
        <v>35</v>
      </c>
      <c r="Q250" s="13" t="n">
        <v>35</v>
      </c>
      <c r="R250" s="14" t="n">
        <v>0.021</v>
      </c>
      <c r="S250" s="6" t="n">
        <v>20</v>
      </c>
      <c r="T250" s="6"/>
      <c r="U250" s="15" t="n">
        <f aca="false">(20*R250+0.5*(1-(P250/N250)^2)+(1-(P250/N250)^2)^2)*(N250/P250)^4</f>
        <v>1.14821194691012</v>
      </c>
      <c r="V250" s="15" t="n">
        <f aca="false">(60*R250+0.5*(1-(Q250/N250)^2)+(1-(Q250/O250)^2)^2)*(O250/Q250)^4</f>
        <v>2.69934038796901</v>
      </c>
      <c r="W250" s="14"/>
      <c r="X250" s="10" t="s">
        <v>248</v>
      </c>
      <c r="Y250" s="16"/>
      <c r="Z250" s="17" t="s">
        <v>48</v>
      </c>
      <c r="AA250" s="6"/>
      <c r="AB250" s="18" t="n">
        <f aca="false">IF(O250="","",$D$3*PI()*(O250/1000)^2/4*3600)</f>
        <v>7.05998807307681</v>
      </c>
      <c r="AC250" s="19" t="n">
        <f aca="false">IF(OR(U250="",NOT(ISNUMBER(U250))),"",U250*$D$3^2/(2*$H$3))</f>
        <v>0.131675681985106</v>
      </c>
      <c r="AD250" s="20" t="n">
        <f aca="false">IF(OR(U250="",NOT(ISNUMBER(U250))),"",U250*$D$3^2/2*$F$3)</f>
        <v>1291.73844027389</v>
      </c>
      <c r="AE250" s="19" t="n">
        <f aca="false">IF(OR(V250="",NOT(ISNUMBER(V250))),"",V250*$D$3^2/(2*$H$3))</f>
        <v>0.309557383941401</v>
      </c>
      <c r="AF250" s="20" t="n">
        <f aca="false">IF(OR(V250="",NOT(ISNUMBER(V250))),"",V250*$D$3^2/2*$F$3)</f>
        <v>3036.75793646514</v>
      </c>
      <c r="AG250" s="19" t="str">
        <f aca="false">IF(OR(W250="",NOT(ISNUMBER(W250))),"",W250*$D$3^2/(2*$H$3))</f>
        <v/>
      </c>
      <c r="AH250" s="20" t="str">
        <f aca="false">IF(OR(W250="",NOT(ISNUMBER(W250))),"",W250*$D$3^2/2*$F$3)</f>
        <v/>
      </c>
    </row>
    <row r="251" customFormat="false" ht="15" hidden="false" customHeight="false" outlineLevel="0" collapsed="false">
      <c r="A251" s="10" t="s">
        <v>582</v>
      </c>
      <c r="B251" s="11" t="s">
        <v>41</v>
      </c>
      <c r="C251" s="6" t="s">
        <v>381</v>
      </c>
      <c r="D251" s="6" t="s">
        <v>583</v>
      </c>
      <c r="E251" s="6" t="s">
        <v>290</v>
      </c>
      <c r="F251" s="6" t="s">
        <v>247</v>
      </c>
      <c r="G251" s="6" t="n">
        <v>63</v>
      </c>
      <c r="H251" s="6" t="n">
        <v>63</v>
      </c>
      <c r="I251" s="6" t="s">
        <v>133</v>
      </c>
      <c r="J251" s="6" t="n">
        <v>10</v>
      </c>
      <c r="K251" s="6" t="s">
        <v>46</v>
      </c>
      <c r="L251" s="6" t="n">
        <v>125</v>
      </c>
      <c r="M251" s="6" t="n">
        <v>32</v>
      </c>
      <c r="N251" s="12" t="n">
        <v>51.4</v>
      </c>
      <c r="O251" s="12" t="n">
        <v>51.4</v>
      </c>
      <c r="P251" s="13" t="n">
        <v>45</v>
      </c>
      <c r="Q251" s="13" t="n">
        <v>45</v>
      </c>
      <c r="R251" s="14" t="n">
        <v>0.019</v>
      </c>
      <c r="S251" s="6" t="n">
        <v>20</v>
      </c>
      <c r="T251" s="6"/>
      <c r="U251" s="15" t="n">
        <f aca="false">(20*R251+0.5*(1-(P251/N251)^2)+(1-(P251/N251)^2)^2)*(N251/P251)^4</f>
        <v>0.938396821510867</v>
      </c>
      <c r="V251" s="15" t="n">
        <f aca="false">(60*R251+0.5*(1-(Q251/N251)^2)+(1-(Q251/O251)^2)^2)*(O251/Q251)^4</f>
        <v>2.23204449902734</v>
      </c>
      <c r="W251" s="14"/>
      <c r="X251" s="10" t="s">
        <v>248</v>
      </c>
      <c r="Y251" s="16"/>
      <c r="Z251" s="17" t="s">
        <v>48</v>
      </c>
      <c r="AA251" s="6"/>
      <c r="AB251" s="18" t="n">
        <f aca="false">IF(O251="","",$D$3*PI()*(O251/1000)^2/4*3600)</f>
        <v>11.2049488715554</v>
      </c>
      <c r="AC251" s="19" t="n">
        <f aca="false">IF(OR(U251="",NOT(ISNUMBER(U251))),"",U251*$D$3^2/(2*$H$3))</f>
        <v>0.107614314393448</v>
      </c>
      <c r="AD251" s="20" t="n">
        <f aca="false">IF(OR(U251="",NOT(ISNUMBER(U251))),"",U251*$D$3^2/2*$F$3)</f>
        <v>1055.69642419973</v>
      </c>
      <c r="AE251" s="19" t="n">
        <f aca="false">IF(OR(V251="",NOT(ISNUMBER(V251))),"",V251*$D$3^2/(2*$H$3))</f>
        <v>0.25596840585176</v>
      </c>
      <c r="AF251" s="20" t="n">
        <f aca="false">IF(OR(V251="",NOT(ISNUMBER(V251))),"",V251*$D$3^2/2*$F$3)</f>
        <v>2511.05006140576</v>
      </c>
      <c r="AG251" s="19" t="str">
        <f aca="false">IF(OR(W251="",NOT(ISNUMBER(W251))),"",W251*$D$3^2/(2*$H$3))</f>
        <v/>
      </c>
      <c r="AH251" s="20" t="str">
        <f aca="false">IF(OR(W251="",NOT(ISNUMBER(W251))),"",W251*$D$3^2/2*$F$3)</f>
        <v/>
      </c>
    </row>
    <row r="252" customFormat="false" ht="15" hidden="false" customHeight="false" outlineLevel="0" collapsed="false">
      <c r="A252" s="10" t="s">
        <v>584</v>
      </c>
      <c r="B252" s="11" t="s">
        <v>41</v>
      </c>
      <c r="C252" s="6" t="s">
        <v>381</v>
      </c>
      <c r="D252" s="6" t="s">
        <v>585</v>
      </c>
      <c r="E252" s="6" t="s">
        <v>290</v>
      </c>
      <c r="F252" s="6" t="s">
        <v>247</v>
      </c>
      <c r="G252" s="6" t="n">
        <v>75</v>
      </c>
      <c r="H252" s="6" t="n">
        <v>75</v>
      </c>
      <c r="I252" s="6" t="s">
        <v>136</v>
      </c>
      <c r="J252" s="6" t="n">
        <v>10</v>
      </c>
      <c r="K252" s="6" t="s">
        <v>46</v>
      </c>
      <c r="L252" s="6" t="n">
        <v>140</v>
      </c>
      <c r="M252" s="6" t="n">
        <v>41</v>
      </c>
      <c r="N252" s="12" t="n">
        <v>61.4</v>
      </c>
      <c r="O252" s="12" t="n">
        <v>61.4</v>
      </c>
      <c r="P252" s="13" t="n">
        <v>54</v>
      </c>
      <c r="Q252" s="13" t="n">
        <v>54</v>
      </c>
      <c r="R252" s="14" t="n">
        <v>0.018</v>
      </c>
      <c r="S252" s="6" t="n">
        <v>20</v>
      </c>
      <c r="T252" s="6"/>
      <c r="U252" s="15" t="n">
        <f aca="false">(20*R252+0.5*(1-(P252/N252)^2)+(1-(P252/N252)^2)^2)*(N252/P252)^4</f>
        <v>0.876800132443677</v>
      </c>
      <c r="V252" s="15" t="n">
        <f aca="false">(60*R252+0.5*(1-(Q252/N252)^2)+(1-(Q252/O252)^2)^2)*(O252/Q252)^4</f>
        <v>2.08025814202894</v>
      </c>
      <c r="W252" s="14"/>
      <c r="X252" s="10" t="s">
        <v>248</v>
      </c>
      <c r="Y252" s="16"/>
      <c r="Z252" s="17" t="s">
        <v>48</v>
      </c>
      <c r="AA252" s="6"/>
      <c r="AB252" s="18" t="n">
        <f aca="false">IF(O252="","",$D$3*PI()*(O252/1000)^2/4*3600)</f>
        <v>15.988966164442</v>
      </c>
      <c r="AC252" s="19" t="n">
        <f aca="false">IF(OR(U252="",NOT(ISNUMBER(U252))),"",U252*$D$3^2/(2*$H$3))</f>
        <v>0.100550473904091</v>
      </c>
      <c r="AD252" s="20" t="n">
        <f aca="false">IF(OR(U252="",NOT(ISNUMBER(U252))),"",U252*$D$3^2/2*$F$3)</f>
        <v>986.400148999136</v>
      </c>
      <c r="AE252" s="19" t="n">
        <f aca="false">IF(OR(V252="",NOT(ISNUMBER(V252))),"",V252*$D$3^2/(2*$H$3))</f>
        <v>0.238561713535428</v>
      </c>
      <c r="AF252" s="20" t="n">
        <f aca="false">IF(OR(V252="",NOT(ISNUMBER(V252))),"",V252*$D$3^2/2*$F$3)</f>
        <v>2340.29040978255</v>
      </c>
      <c r="AG252" s="19" t="str">
        <f aca="false">IF(OR(W252="",NOT(ISNUMBER(W252))),"",W252*$D$3^2/(2*$H$3))</f>
        <v/>
      </c>
      <c r="AH252" s="20" t="str">
        <f aca="false">IF(OR(W252="",NOT(ISNUMBER(W252))),"",W252*$D$3^2/2*$F$3)</f>
        <v/>
      </c>
    </row>
    <row r="253" customFormat="false" ht="15" hidden="false" customHeight="false" outlineLevel="0" collapsed="false">
      <c r="A253" s="10" t="s">
        <v>586</v>
      </c>
      <c r="B253" s="11" t="s">
        <v>41</v>
      </c>
      <c r="C253" s="6" t="s">
        <v>381</v>
      </c>
      <c r="D253" s="6" t="s">
        <v>587</v>
      </c>
      <c r="E253" s="6" t="s">
        <v>290</v>
      </c>
      <c r="F253" s="6" t="s">
        <v>247</v>
      </c>
      <c r="G253" s="6" t="n">
        <v>90</v>
      </c>
      <c r="H253" s="6" t="n">
        <v>90</v>
      </c>
      <c r="I253" s="6" t="s">
        <v>139</v>
      </c>
      <c r="J253" s="6" t="n">
        <v>10</v>
      </c>
      <c r="K253" s="6" t="s">
        <v>46</v>
      </c>
      <c r="L253" s="6" t="n">
        <v>156</v>
      </c>
      <c r="M253" s="6" t="n">
        <v>53</v>
      </c>
      <c r="N253" s="12" t="n">
        <v>73.6</v>
      </c>
      <c r="O253" s="12" t="n">
        <v>73.6</v>
      </c>
      <c r="P253" s="13" t="n">
        <v>66</v>
      </c>
      <c r="Q253" s="13" t="n">
        <v>66</v>
      </c>
      <c r="R253" s="14" t="n">
        <v>0.018</v>
      </c>
      <c r="S253" s="6" t="n">
        <v>20</v>
      </c>
      <c r="T253" s="6"/>
      <c r="U253" s="15" t="n">
        <f aca="false">(20*R253+0.5*(1-(P253/N253)^2)+(1-(P253/N253)^2)^2)*(N253/P253)^4</f>
        <v>0.767487310146291</v>
      </c>
      <c r="V253" s="15" t="n">
        <f aca="false">(60*R253+0.5*(1-(Q253/N253)^2)+(1-(Q253/O253)^2)^2)*(O253/Q253)^4</f>
        <v>1.88093036737523</v>
      </c>
      <c r="W253" s="14"/>
      <c r="X253" s="10" t="s">
        <v>248</v>
      </c>
      <c r="Y253" s="16"/>
      <c r="Z253" s="17" t="s">
        <v>48</v>
      </c>
      <c r="AA253" s="6"/>
      <c r="AB253" s="18" t="n">
        <f aca="false">IF(O253="","",$D$3*PI()*(O253/1000)^2/4*3600)</f>
        <v>22.9741403500662</v>
      </c>
      <c r="AC253" s="19" t="n">
        <f aca="false">IF(OR(U253="",NOT(ISNUMBER(U253))),"",U253*$D$3^2/(2*$H$3))</f>
        <v>0.0880145997874187</v>
      </c>
      <c r="AD253" s="20" t="n">
        <f aca="false">IF(OR(U253="",NOT(ISNUMBER(U253))),"",U253*$D$3^2/2*$F$3)</f>
        <v>863.423223914577</v>
      </c>
      <c r="AE253" s="19" t="n">
        <f aca="false">IF(OR(V253="",NOT(ISNUMBER(V253))),"",V253*$D$3^2/(2*$H$3))</f>
        <v>0.215703023781563</v>
      </c>
      <c r="AF253" s="20" t="n">
        <f aca="false">IF(OR(V253="",NOT(ISNUMBER(V253))),"",V253*$D$3^2/2*$F$3)</f>
        <v>2116.04666329713</v>
      </c>
      <c r="AG253" s="19" t="str">
        <f aca="false">IF(OR(W253="",NOT(ISNUMBER(W253))),"",W253*$D$3^2/(2*$H$3))</f>
        <v/>
      </c>
      <c r="AH253" s="20" t="str">
        <f aca="false">IF(OR(W253="",NOT(ISNUMBER(W253))),"",W253*$D$3^2/2*$F$3)</f>
        <v/>
      </c>
    </row>
    <row r="254" customFormat="false" ht="15" hidden="false" customHeight="false" outlineLevel="0" collapsed="false">
      <c r="A254" s="10" t="s">
        <v>588</v>
      </c>
      <c r="B254" s="11" t="s">
        <v>41</v>
      </c>
      <c r="C254" s="6" t="s">
        <v>381</v>
      </c>
      <c r="D254" s="6" t="s">
        <v>589</v>
      </c>
      <c r="E254" s="6" t="s">
        <v>290</v>
      </c>
      <c r="F254" s="6" t="s">
        <v>247</v>
      </c>
      <c r="G254" s="6" t="n">
        <v>90</v>
      </c>
      <c r="H254" s="6" t="n">
        <v>90</v>
      </c>
      <c r="I254" s="6" t="s">
        <v>142</v>
      </c>
      <c r="J254" s="6" t="n">
        <v>10</v>
      </c>
      <c r="K254" s="6" t="s">
        <v>46</v>
      </c>
      <c r="L254" s="6" t="n">
        <v>156</v>
      </c>
      <c r="M254" s="6" t="n">
        <v>53</v>
      </c>
      <c r="N254" s="12" t="n">
        <v>73.6</v>
      </c>
      <c r="O254" s="12" t="n">
        <v>73.6</v>
      </c>
      <c r="P254" s="13" t="n">
        <v>66</v>
      </c>
      <c r="Q254" s="13" t="n">
        <v>66</v>
      </c>
      <c r="R254" s="14" t="n">
        <v>0.018</v>
      </c>
      <c r="S254" s="6" t="n">
        <v>20</v>
      </c>
      <c r="T254" s="6"/>
      <c r="U254" s="15" t="n">
        <f aca="false">(20*R254+0.5*(1-(P254/N254)^2)+(1-(P254/N254)^2)^2)*(N254/P254)^4</f>
        <v>0.767487310146291</v>
      </c>
      <c r="V254" s="15" t="n">
        <f aca="false">(60*R254+0.5*(1-(Q254/N254)^2)+(1-(Q254/O254)^2)^2)*(O254/Q254)^4</f>
        <v>1.88093036737523</v>
      </c>
      <c r="W254" s="14"/>
      <c r="X254" s="10" t="s">
        <v>248</v>
      </c>
      <c r="Y254" s="16"/>
      <c r="Z254" s="17" t="s">
        <v>48</v>
      </c>
      <c r="AA254" s="6"/>
      <c r="AB254" s="18" t="n">
        <f aca="false">IF(O254="","",$D$3*PI()*(O254/1000)^2/4*3600)</f>
        <v>22.9741403500662</v>
      </c>
      <c r="AC254" s="19" t="n">
        <f aca="false">IF(OR(U254="",NOT(ISNUMBER(U254))),"",U254*$D$3^2/(2*$H$3))</f>
        <v>0.0880145997874187</v>
      </c>
      <c r="AD254" s="20" t="n">
        <f aca="false">IF(OR(U254="",NOT(ISNUMBER(U254))),"",U254*$D$3^2/2*$F$3)</f>
        <v>863.423223914577</v>
      </c>
      <c r="AE254" s="19" t="n">
        <f aca="false">IF(OR(V254="",NOT(ISNUMBER(V254))),"",V254*$D$3^2/(2*$H$3))</f>
        <v>0.215703023781563</v>
      </c>
      <c r="AF254" s="20" t="n">
        <f aca="false">IF(OR(V254="",NOT(ISNUMBER(V254))),"",V254*$D$3^2/2*$F$3)</f>
        <v>2116.04666329713</v>
      </c>
      <c r="AG254" s="19" t="str">
        <f aca="false">IF(OR(W254="",NOT(ISNUMBER(W254))),"",W254*$D$3^2/(2*$H$3))</f>
        <v/>
      </c>
      <c r="AH254" s="20" t="str">
        <f aca="false">IF(OR(W254="",NOT(ISNUMBER(W254))),"",W254*$D$3^2/2*$F$3)</f>
        <v/>
      </c>
    </row>
    <row r="255" customFormat="false" ht="15" hidden="false" customHeight="false" outlineLevel="0" collapsed="false">
      <c r="A255" s="10" t="s">
        <v>590</v>
      </c>
      <c r="B255" s="11" t="s">
        <v>41</v>
      </c>
      <c r="C255" s="6" t="s">
        <v>381</v>
      </c>
      <c r="D255" s="6" t="s">
        <v>591</v>
      </c>
      <c r="E255" s="6" t="s">
        <v>290</v>
      </c>
      <c r="F255" s="6" t="s">
        <v>247</v>
      </c>
      <c r="G255" s="6" t="n">
        <v>110</v>
      </c>
      <c r="H255" s="6" t="n">
        <v>110</v>
      </c>
      <c r="I255" s="6" t="s">
        <v>142</v>
      </c>
      <c r="J255" s="6" t="n">
        <v>10</v>
      </c>
      <c r="K255" s="6" t="s">
        <v>46</v>
      </c>
      <c r="L255" s="6" t="n">
        <v>176</v>
      </c>
      <c r="M255" s="6" t="n">
        <v>63</v>
      </c>
      <c r="N255" s="12" t="n">
        <v>90</v>
      </c>
      <c r="O255" s="12" t="n">
        <v>90</v>
      </c>
      <c r="P255" s="13" t="n">
        <v>81</v>
      </c>
      <c r="Q255" s="13" t="n">
        <v>81</v>
      </c>
      <c r="R255" s="14" t="n">
        <v>0.017</v>
      </c>
      <c r="S255" s="6" t="n">
        <v>20</v>
      </c>
      <c r="T255" s="6"/>
      <c r="U255" s="15" t="n">
        <f aca="false">(20*R255+0.5*(1-(P255/N255)^2)+(1-(P255/N255)^2)^2)*(N255/P255)^4</f>
        <v>0.718030787989636</v>
      </c>
      <c r="V255" s="15" t="n">
        <f aca="false">(60*R255+0.5*(1-(Q255/N255)^2)+(1-(Q255/O255)^2)^2)*(O255/Q255)^4</f>
        <v>1.75445816186557</v>
      </c>
      <c r="W255" s="14"/>
      <c r="X255" s="10" t="s">
        <v>248</v>
      </c>
      <c r="Y255" s="16"/>
      <c r="Z255" s="17" t="s">
        <v>48</v>
      </c>
      <c r="AA255" s="6"/>
      <c r="AB255" s="18" t="n">
        <f aca="false">IF(O255="","",$D$3*PI()*(O255/1000)^2/4*3600)</f>
        <v>34.3533156670044</v>
      </c>
      <c r="AC255" s="19" t="n">
        <f aca="false">IF(OR(U255="",NOT(ISNUMBER(U255))),"",U255*$D$3^2/(2*$H$3))</f>
        <v>0.0823429802740408</v>
      </c>
      <c r="AD255" s="20" t="n">
        <f aca="false">IF(OR(U255="",NOT(ISNUMBER(U255))),"",U255*$D$3^2/2*$F$3)</f>
        <v>807.78463648834</v>
      </c>
      <c r="AE255" s="19" t="n">
        <f aca="false">IF(OR(V255="",NOT(ISNUMBER(V255))),"",V255*$D$3^2/(2*$H$3))</f>
        <v>0.201199330489171</v>
      </c>
      <c r="AF255" s="20" t="n">
        <f aca="false">IF(OR(V255="",NOT(ISNUMBER(V255))),"",V255*$D$3^2/2*$F$3)</f>
        <v>1973.76543209877</v>
      </c>
      <c r="AG255" s="19" t="str">
        <f aca="false">IF(OR(W255="",NOT(ISNUMBER(W255))),"",W255*$D$3^2/(2*$H$3))</f>
        <v/>
      </c>
      <c r="AH255" s="20" t="str">
        <f aca="false">IF(OR(W255="",NOT(ISNUMBER(W255))),"",W255*$D$3^2/2*$F$3)</f>
        <v/>
      </c>
    </row>
    <row r="256" customFormat="false" ht="15" hidden="false" customHeight="false" outlineLevel="0" collapsed="false">
      <c r="A256" s="10" t="s">
        <v>592</v>
      </c>
      <c r="B256" s="11" t="s">
        <v>41</v>
      </c>
      <c r="C256" s="6" t="s">
        <v>381</v>
      </c>
      <c r="D256" s="6" t="s">
        <v>593</v>
      </c>
      <c r="E256" s="6" t="s">
        <v>268</v>
      </c>
      <c r="F256" s="6" t="s">
        <v>247</v>
      </c>
      <c r="G256" s="6" t="n">
        <v>20</v>
      </c>
      <c r="H256" s="6" t="n">
        <v>16</v>
      </c>
      <c r="I256" s="6"/>
      <c r="J256" s="6" t="n">
        <v>16</v>
      </c>
      <c r="K256" s="6" t="s">
        <v>46</v>
      </c>
      <c r="L256" s="6" t="n">
        <v>49</v>
      </c>
      <c r="M256" s="6" t="n">
        <v>13</v>
      </c>
      <c r="N256" s="12" t="n">
        <v>16</v>
      </c>
      <c r="O256" s="12" t="n">
        <v>12</v>
      </c>
      <c r="P256" s="13" t="n">
        <v>13</v>
      </c>
      <c r="Q256" s="13" t="n">
        <v>10</v>
      </c>
      <c r="R256" s="14" t="n">
        <v>0.027</v>
      </c>
      <c r="S256" s="6" t="n">
        <v>20</v>
      </c>
      <c r="T256" s="6"/>
      <c r="U256" s="15" t="n">
        <f aca="false">(20*R256+0.5*(1-(P256/N256)^2)+(1-(P256/N256)^2)^2)*(N256/P256)^4</f>
        <v>1.89399670879871</v>
      </c>
      <c r="V256" s="15" t="n">
        <f aca="false">(60*R256+0.5*(1-(Q256/N256)^2)+(1-(Q256/O256)^2)^2)*(O256/Q256)^4</f>
        <v>4.184632</v>
      </c>
      <c r="W256" s="14"/>
      <c r="X256" s="10" t="s">
        <v>248</v>
      </c>
      <c r="Y256" s="16"/>
      <c r="Z256" s="17" t="s">
        <v>48</v>
      </c>
      <c r="AA256" s="6"/>
      <c r="AB256" s="18" t="n">
        <f aca="false">IF(O256="","",$D$3*PI()*(O256/1000)^2/4*3600)</f>
        <v>0.610725611857856</v>
      </c>
      <c r="AC256" s="19" t="n">
        <f aca="false">IF(OR(U256="",NOT(ISNUMBER(U256))),"",U256*$D$3^2/(2*$H$3))</f>
        <v>0.217201457431045</v>
      </c>
      <c r="AD256" s="20" t="n">
        <f aca="false">IF(OR(U256="",NOT(ISNUMBER(U256))),"",U256*$D$3^2/2*$F$3)</f>
        <v>2130.74629739855</v>
      </c>
      <c r="AE256" s="19" t="n">
        <f aca="false">IF(OR(V256="",NOT(ISNUMBER(V256))),"",V256*$D$3^2/(2*$H$3))</f>
        <v>0.479888990825688</v>
      </c>
      <c r="AF256" s="20" t="n">
        <f aca="false">IF(OR(V256="",NOT(ISNUMBER(V256))),"",V256*$D$3^2/2*$F$3)</f>
        <v>4707.711</v>
      </c>
      <c r="AG256" s="19" t="str">
        <f aca="false">IF(OR(W256="",NOT(ISNUMBER(W256))),"",W256*$D$3^2/(2*$H$3))</f>
        <v/>
      </c>
      <c r="AH256" s="20" t="str">
        <f aca="false">IF(OR(W256="",NOT(ISNUMBER(W256))),"",W256*$D$3^2/2*$F$3)</f>
        <v/>
      </c>
    </row>
    <row r="257" customFormat="false" ht="15" hidden="false" customHeight="false" outlineLevel="0" collapsed="false">
      <c r="A257" s="10" t="s">
        <v>594</v>
      </c>
      <c r="B257" s="11" t="s">
        <v>41</v>
      </c>
      <c r="C257" s="6" t="s">
        <v>381</v>
      </c>
      <c r="D257" s="6" t="s">
        <v>595</v>
      </c>
      <c r="E257" s="6" t="s">
        <v>268</v>
      </c>
      <c r="F257" s="6" t="s">
        <v>247</v>
      </c>
      <c r="G257" s="6" t="n">
        <v>25</v>
      </c>
      <c r="H257" s="6" t="n">
        <v>20</v>
      </c>
      <c r="I257" s="6"/>
      <c r="J257" s="6" t="n">
        <v>16</v>
      </c>
      <c r="K257" s="6" t="s">
        <v>46</v>
      </c>
      <c r="L257" s="6" t="n">
        <v>58</v>
      </c>
      <c r="M257" s="6" t="n">
        <v>16</v>
      </c>
      <c r="N257" s="12" t="n">
        <v>20.4</v>
      </c>
      <c r="O257" s="12" t="n">
        <v>16</v>
      </c>
      <c r="P257" s="13" t="n">
        <v>17</v>
      </c>
      <c r="Q257" s="13" t="n">
        <v>13</v>
      </c>
      <c r="R257" s="14" t="n">
        <v>0.025</v>
      </c>
      <c r="S257" s="6" t="n">
        <v>20</v>
      </c>
      <c r="T257" s="6"/>
      <c r="U257" s="15" t="n">
        <f aca="false">(20*R257+0.5*(1-(P257/N257)^2)+(1-(P257/N257)^2)^2)*(N257/P257)^4</f>
        <v>1.5472</v>
      </c>
      <c r="V257" s="15" t="n">
        <f aca="false">(60*R257+0.5*(1-(Q257/N257)^2)+(1-(Q257/O257)^2)^2)*(O257/Q257)^4</f>
        <v>4.38829585909199</v>
      </c>
      <c r="W257" s="14"/>
      <c r="X257" s="10" t="s">
        <v>248</v>
      </c>
      <c r="Y257" s="16"/>
      <c r="Z257" s="17" t="s">
        <v>48</v>
      </c>
      <c r="AA257" s="6"/>
      <c r="AB257" s="18" t="n">
        <f aca="false">IF(O257="","",$D$3*PI()*(O257/1000)^2/4*3600)</f>
        <v>1.08573442108063</v>
      </c>
      <c r="AC257" s="19" t="n">
        <f aca="false">IF(OR(U257="",NOT(ISNUMBER(U257))),"",U257*$D$3^2/(2*$H$3))</f>
        <v>0.17743119266055</v>
      </c>
      <c r="AD257" s="20" t="n">
        <f aca="false">IF(OR(U257="",NOT(ISNUMBER(U257))),"",U257*$D$3^2/2*$F$3)</f>
        <v>1740.6</v>
      </c>
      <c r="AE257" s="19" t="n">
        <f aca="false">IF(OR(V257="",NOT(ISNUMBER(V257))),"",V257*$D$3^2/(2*$H$3))</f>
        <v>0.503244937969265</v>
      </c>
      <c r="AF257" s="20" t="n">
        <f aca="false">IF(OR(V257="",NOT(ISNUMBER(V257))),"",V257*$D$3^2/2*$F$3)</f>
        <v>4936.83284147849</v>
      </c>
      <c r="AG257" s="19" t="str">
        <f aca="false">IF(OR(W257="",NOT(ISNUMBER(W257))),"",W257*$D$3^2/(2*$H$3))</f>
        <v/>
      </c>
      <c r="AH257" s="20" t="str">
        <f aca="false">IF(OR(W257="",NOT(ISNUMBER(W257))),"",W257*$D$3^2/2*$F$3)</f>
        <v/>
      </c>
    </row>
    <row r="258" customFormat="false" ht="15" hidden="false" customHeight="false" outlineLevel="0" collapsed="false">
      <c r="A258" s="10" t="s">
        <v>596</v>
      </c>
      <c r="B258" s="11" t="s">
        <v>41</v>
      </c>
      <c r="C258" s="6" t="s">
        <v>381</v>
      </c>
      <c r="D258" s="6" t="s">
        <v>597</v>
      </c>
      <c r="E258" s="6" t="s">
        <v>268</v>
      </c>
      <c r="F258" s="6" t="s">
        <v>247</v>
      </c>
      <c r="G258" s="6" t="n">
        <v>32</v>
      </c>
      <c r="H258" s="6" t="n">
        <v>25</v>
      </c>
      <c r="I258" s="6"/>
      <c r="J258" s="6" t="n">
        <v>16</v>
      </c>
      <c r="K258" s="6" t="s">
        <v>46</v>
      </c>
      <c r="L258" s="6" t="n">
        <v>81</v>
      </c>
      <c r="M258" s="6" t="n">
        <v>18</v>
      </c>
      <c r="N258" s="12" t="n">
        <v>26.2</v>
      </c>
      <c r="O258" s="12" t="n">
        <v>20.4</v>
      </c>
      <c r="P258" s="13" t="n">
        <v>22</v>
      </c>
      <c r="Q258" s="13" t="n">
        <v>17</v>
      </c>
      <c r="R258" s="14" t="n">
        <v>0.023</v>
      </c>
      <c r="S258" s="6" t="n">
        <v>20</v>
      </c>
      <c r="T258" s="6"/>
      <c r="U258" s="15" t="n">
        <f aca="false">(20*R258+0.5*(1-(P258/N258)^2)+(1-(P258/N258)^2)^2)*(N258/P258)^4</f>
        <v>1.39682805245543</v>
      </c>
      <c r="V258" s="15" t="n">
        <f aca="false">(60*R258+0.5*(1-(Q258/N258)^2)+(1-(Q258/O258)^2)^2)*(O258/Q258)^4</f>
        <v>3.65546196888293</v>
      </c>
      <c r="W258" s="14"/>
      <c r="X258" s="10" t="s">
        <v>248</v>
      </c>
      <c r="Y258" s="16"/>
      <c r="Z258" s="17" t="s">
        <v>48</v>
      </c>
      <c r="AA258" s="6"/>
      <c r="AB258" s="18" t="n">
        <f aca="false">IF(O258="","",$D$3*PI()*(O258/1000)^2/4*3600)</f>
        <v>1.7649970182692</v>
      </c>
      <c r="AC258" s="19" t="n">
        <f aca="false">IF(OR(U258="",NOT(ISNUMBER(U258))),"",U258*$D$3^2/(2*$H$3))</f>
        <v>0.160186703263238</v>
      </c>
      <c r="AD258" s="20" t="n">
        <f aca="false">IF(OR(U258="",NOT(ISNUMBER(U258))),"",U258*$D$3^2/2*$F$3)</f>
        <v>1571.43155901236</v>
      </c>
      <c r="AE258" s="19" t="n">
        <f aca="false">IF(OR(V258="",NOT(ISNUMBER(V258))),"",V258*$D$3^2/(2*$H$3))</f>
        <v>0.419204354229694</v>
      </c>
      <c r="AF258" s="20" t="n">
        <f aca="false">IF(OR(V258="",NOT(ISNUMBER(V258))),"",V258*$D$3^2/2*$F$3)</f>
        <v>4112.3947149933</v>
      </c>
      <c r="AG258" s="19" t="str">
        <f aca="false">IF(OR(W258="",NOT(ISNUMBER(W258))),"",W258*$D$3^2/(2*$H$3))</f>
        <v/>
      </c>
      <c r="AH258" s="20" t="str">
        <f aca="false">IF(OR(W258="",NOT(ISNUMBER(W258))),"",W258*$D$3^2/2*$F$3)</f>
        <v/>
      </c>
    </row>
    <row r="259" customFormat="false" ht="15" hidden="false" customHeight="false" outlineLevel="0" collapsed="false">
      <c r="A259" s="10" t="s">
        <v>598</v>
      </c>
      <c r="B259" s="11" t="s">
        <v>41</v>
      </c>
      <c r="C259" s="6" t="s">
        <v>381</v>
      </c>
      <c r="D259" s="6" t="s">
        <v>599</v>
      </c>
      <c r="E259" s="6" t="s">
        <v>268</v>
      </c>
      <c r="F259" s="6" t="s">
        <v>247</v>
      </c>
      <c r="G259" s="6" t="n">
        <v>40</v>
      </c>
      <c r="H259" s="6" t="n">
        <v>32</v>
      </c>
      <c r="I259" s="6"/>
      <c r="J259" s="6" t="n">
        <v>16</v>
      </c>
      <c r="K259" s="6" t="s">
        <v>46</v>
      </c>
      <c r="L259" s="6" t="n">
        <v>92</v>
      </c>
      <c r="M259" s="6" t="n">
        <v>24</v>
      </c>
      <c r="N259" s="12" t="n">
        <v>32.6</v>
      </c>
      <c r="O259" s="12" t="n">
        <v>26.2</v>
      </c>
      <c r="P259" s="13" t="n">
        <v>28</v>
      </c>
      <c r="Q259" s="13" t="n">
        <v>22</v>
      </c>
      <c r="R259" s="14" t="n">
        <v>0.022</v>
      </c>
      <c r="S259" s="6" t="n">
        <v>20</v>
      </c>
      <c r="T259" s="6"/>
      <c r="U259" s="15" t="n">
        <f aca="false">(20*R259+0.5*(1-(P259/N259)^2)+(1-(P259/N259)^2)^2)*(N259/P259)^4</f>
        <v>1.17593663145564</v>
      </c>
      <c r="V259" s="15" t="n">
        <f aca="false">(60*R259+0.5*(1-(Q259/N259)^2)+(1-(Q259/O259)^2)^2)*(O259/Q259)^4</f>
        <v>3.37779727734116</v>
      </c>
      <c r="W259" s="14"/>
      <c r="X259" s="10" t="s">
        <v>248</v>
      </c>
      <c r="Y259" s="16"/>
      <c r="Z259" s="17" t="s">
        <v>48</v>
      </c>
      <c r="AA259" s="6"/>
      <c r="AB259" s="18" t="n">
        <f aca="false">IF(O259="","",$D$3*PI()*(O259/1000)^2/4*3600)</f>
        <v>2.91129506252574</v>
      </c>
      <c r="AC259" s="19" t="n">
        <f aca="false">IF(OR(U259="",NOT(ISNUMBER(U259))),"",U259*$D$3^2/(2*$H$3))</f>
        <v>0.134855118286198</v>
      </c>
      <c r="AD259" s="20" t="n">
        <f aca="false">IF(OR(U259="",NOT(ISNUMBER(U259))),"",U259*$D$3^2/2*$F$3)</f>
        <v>1322.9287103876</v>
      </c>
      <c r="AE259" s="19" t="n">
        <f aca="false">IF(OR(V259="",NOT(ISNUMBER(V259))),"",V259*$D$3^2/(2*$H$3))</f>
        <v>0.387362073089583</v>
      </c>
      <c r="AF259" s="20" t="n">
        <f aca="false">IF(OR(V259="",NOT(ISNUMBER(V259))),"",V259*$D$3^2/2*$F$3)</f>
        <v>3800.02193700881</v>
      </c>
      <c r="AG259" s="19" t="str">
        <f aca="false">IF(OR(W259="",NOT(ISNUMBER(W259))),"",W259*$D$3^2/(2*$H$3))</f>
        <v/>
      </c>
      <c r="AH259" s="20" t="str">
        <f aca="false">IF(OR(W259="",NOT(ISNUMBER(W259))),"",W259*$D$3^2/2*$F$3)</f>
        <v/>
      </c>
    </row>
    <row r="260" customFormat="false" ht="15" hidden="false" customHeight="false" outlineLevel="0" collapsed="false">
      <c r="A260" s="10" t="s">
        <v>600</v>
      </c>
      <c r="B260" s="11" t="s">
        <v>41</v>
      </c>
      <c r="C260" s="6" t="s">
        <v>381</v>
      </c>
      <c r="D260" s="6" t="s">
        <v>601</v>
      </c>
      <c r="E260" s="6" t="s">
        <v>268</v>
      </c>
      <c r="F260" s="6" t="s">
        <v>247</v>
      </c>
      <c r="G260" s="6" t="n">
        <v>50</v>
      </c>
      <c r="H260" s="6" t="n">
        <v>32</v>
      </c>
      <c r="I260" s="6"/>
      <c r="J260" s="6" t="n">
        <v>16</v>
      </c>
      <c r="K260" s="6" t="s">
        <v>46</v>
      </c>
      <c r="L260" s="6" t="n">
        <v>108</v>
      </c>
      <c r="M260" s="6" t="n">
        <v>28</v>
      </c>
      <c r="N260" s="12" t="n">
        <v>40.8</v>
      </c>
      <c r="O260" s="12" t="n">
        <v>26.2</v>
      </c>
      <c r="P260" s="13" t="n">
        <v>35</v>
      </c>
      <c r="Q260" s="13" t="n">
        <v>22</v>
      </c>
      <c r="R260" s="14" t="n">
        <v>0.021</v>
      </c>
      <c r="S260" s="6" t="n">
        <v>20</v>
      </c>
      <c r="T260" s="6"/>
      <c r="U260" s="15" t="n">
        <f aca="false">(20*R260+0.5*(1-(P260/N260)^2)+(1-(P260/N260)^2)^2)*(N260/P260)^4</f>
        <v>1.14821194691012</v>
      </c>
      <c r="V260" s="15" t="n">
        <f aca="false">(60*R260+0.5*(1-(Q260/N260)^2)+(1-(Q260/O260)^2)^2)*(O260/Q260)^4</f>
        <v>3.42271793098821</v>
      </c>
      <c r="W260" s="14"/>
      <c r="X260" s="10" t="s">
        <v>248</v>
      </c>
      <c r="Y260" s="16"/>
      <c r="Z260" s="17" t="s">
        <v>48</v>
      </c>
      <c r="AA260" s="6"/>
      <c r="AB260" s="18" t="n">
        <f aca="false">IF(O260="","",$D$3*PI()*(O260/1000)^2/4*3600)</f>
        <v>2.91129506252574</v>
      </c>
      <c r="AC260" s="19" t="n">
        <f aca="false">IF(OR(U260="",NOT(ISNUMBER(U260))),"",U260*$D$3^2/(2*$H$3))</f>
        <v>0.131675681985106</v>
      </c>
      <c r="AD260" s="20" t="n">
        <f aca="false">IF(OR(U260="",NOT(ISNUMBER(U260))),"",U260*$D$3^2/2*$F$3)</f>
        <v>1291.73844027389</v>
      </c>
      <c r="AE260" s="19" t="n">
        <f aca="false">IF(OR(V260="",NOT(ISNUMBER(V260))),"",V260*$D$3^2/(2*$H$3))</f>
        <v>0.392513524195896</v>
      </c>
      <c r="AF260" s="20" t="n">
        <f aca="false">IF(OR(V260="",NOT(ISNUMBER(V260))),"",V260*$D$3^2/2*$F$3)</f>
        <v>3850.55767236174</v>
      </c>
      <c r="AG260" s="19" t="str">
        <f aca="false">IF(OR(W260="",NOT(ISNUMBER(W260))),"",W260*$D$3^2/(2*$H$3))</f>
        <v/>
      </c>
      <c r="AH260" s="20" t="str">
        <f aca="false">IF(OR(W260="",NOT(ISNUMBER(W260))),"",W260*$D$3^2/2*$F$3)</f>
        <v/>
      </c>
    </row>
    <row r="261" customFormat="false" ht="15" hidden="false" customHeight="false" outlineLevel="0" collapsed="false">
      <c r="A261" s="10" t="s">
        <v>602</v>
      </c>
      <c r="B261" s="11" t="s">
        <v>41</v>
      </c>
      <c r="C261" s="6" t="s">
        <v>381</v>
      </c>
      <c r="D261" s="6" t="s">
        <v>603</v>
      </c>
      <c r="E261" s="6" t="s">
        <v>268</v>
      </c>
      <c r="F261" s="6" t="s">
        <v>247</v>
      </c>
      <c r="G261" s="6" t="n">
        <v>50</v>
      </c>
      <c r="H261" s="6" t="n">
        <v>40</v>
      </c>
      <c r="I261" s="6"/>
      <c r="J261" s="6" t="n">
        <v>16</v>
      </c>
      <c r="K261" s="6" t="s">
        <v>46</v>
      </c>
      <c r="L261" s="6" t="n">
        <v>108</v>
      </c>
      <c r="M261" s="6" t="n">
        <v>28</v>
      </c>
      <c r="N261" s="12" t="n">
        <v>40.8</v>
      </c>
      <c r="O261" s="12" t="n">
        <v>32.6</v>
      </c>
      <c r="P261" s="13" t="n">
        <v>35</v>
      </c>
      <c r="Q261" s="13" t="n">
        <v>28</v>
      </c>
      <c r="R261" s="14" t="n">
        <v>0.021</v>
      </c>
      <c r="S261" s="6" t="n">
        <v>20</v>
      </c>
      <c r="T261" s="6"/>
      <c r="U261" s="15" t="n">
        <f aca="false">(20*R261+0.5*(1-(P261/N261)^2)+(1-(P261/N261)^2)^2)*(N261/P261)^4</f>
        <v>1.14821194691012</v>
      </c>
      <c r="V261" s="15" t="n">
        <f aca="false">(60*R261+0.5*(1-(Q261/N261)^2)+(1-(Q261/O261)^2)^2)*(O261/Q261)^4</f>
        <v>2.92778809701538</v>
      </c>
      <c r="W261" s="14"/>
      <c r="X261" s="10" t="s">
        <v>248</v>
      </c>
      <c r="Y261" s="16"/>
      <c r="Z261" s="17" t="s">
        <v>48</v>
      </c>
      <c r="AA261" s="6"/>
      <c r="AB261" s="18" t="n">
        <f aca="false">IF(O261="","",$D$3*PI()*(O261/1000)^2/4*3600)</f>
        <v>4.50732466151427</v>
      </c>
      <c r="AC261" s="19" t="n">
        <f aca="false">IF(OR(U261="",NOT(ISNUMBER(U261))),"",U261*$D$3^2/(2*$H$3))</f>
        <v>0.131675681985106</v>
      </c>
      <c r="AD261" s="20" t="n">
        <f aca="false">IF(OR(U261="",NOT(ISNUMBER(U261))),"",U261*$D$3^2/2*$F$3)</f>
        <v>1291.73844027389</v>
      </c>
      <c r="AE261" s="19" t="n">
        <f aca="false">IF(OR(V261="",NOT(ISNUMBER(V261))),"",V261*$D$3^2/(2*$H$3))</f>
        <v>0.335755515712773</v>
      </c>
      <c r="AF261" s="20" t="n">
        <f aca="false">IF(OR(V261="",NOT(ISNUMBER(V261))),"",V261*$D$3^2/2*$F$3)</f>
        <v>3293.7616091423</v>
      </c>
      <c r="AG261" s="19" t="str">
        <f aca="false">IF(OR(W261="",NOT(ISNUMBER(W261))),"",W261*$D$3^2/(2*$H$3))</f>
        <v/>
      </c>
      <c r="AH261" s="20" t="str">
        <f aca="false">IF(OR(W261="",NOT(ISNUMBER(W261))),"",W261*$D$3^2/2*$F$3)</f>
        <v/>
      </c>
    </row>
    <row r="262" customFormat="false" ht="15" hidden="false" customHeight="false" outlineLevel="0" collapsed="false">
      <c r="A262" s="10" t="s">
        <v>604</v>
      </c>
      <c r="B262" s="11" t="s">
        <v>41</v>
      </c>
      <c r="C262" s="6" t="s">
        <v>381</v>
      </c>
      <c r="D262" s="6" t="s">
        <v>605</v>
      </c>
      <c r="E262" s="6" t="s">
        <v>268</v>
      </c>
      <c r="F262" s="6" t="s">
        <v>247</v>
      </c>
      <c r="G262" s="6" t="n">
        <v>63</v>
      </c>
      <c r="H262" s="6" t="n">
        <v>50</v>
      </c>
      <c r="I262" s="6"/>
      <c r="J262" s="6" t="n">
        <v>16</v>
      </c>
      <c r="K262" s="6" t="s">
        <v>46</v>
      </c>
      <c r="L262" s="6" t="n">
        <v>125</v>
      </c>
      <c r="M262" s="6" t="n">
        <v>32</v>
      </c>
      <c r="N262" s="12" t="n">
        <v>51.4</v>
      </c>
      <c r="O262" s="12" t="n">
        <v>40.8</v>
      </c>
      <c r="P262" s="13" t="n">
        <v>45</v>
      </c>
      <c r="Q262" s="13" t="n">
        <v>35</v>
      </c>
      <c r="R262" s="14" t="n">
        <v>0.019</v>
      </c>
      <c r="S262" s="6" t="n">
        <v>20</v>
      </c>
      <c r="T262" s="6"/>
      <c r="U262" s="15" t="n">
        <f aca="false">(20*R262+0.5*(1-(P262/N262)^2)+(1-(P262/N262)^2)^2)*(N262/P262)^4</f>
        <v>0.938396821510867</v>
      </c>
      <c r="V262" s="15" t="n">
        <f aca="false">(60*R262+0.5*(1-(Q262/N262)^2)+(1-(Q262/O262)^2)^2)*(O262/Q262)^4</f>
        <v>2.72909245070027</v>
      </c>
      <c r="W262" s="14"/>
      <c r="X262" s="10" t="s">
        <v>248</v>
      </c>
      <c r="Y262" s="16"/>
      <c r="Z262" s="17" t="s">
        <v>48</v>
      </c>
      <c r="AA262" s="6"/>
      <c r="AB262" s="18" t="n">
        <f aca="false">IF(O262="","",$D$3*PI()*(O262/1000)^2/4*3600)</f>
        <v>7.05998807307681</v>
      </c>
      <c r="AC262" s="19" t="n">
        <f aca="false">IF(OR(U262="",NOT(ISNUMBER(U262))),"",U262*$D$3^2/(2*$H$3))</f>
        <v>0.107614314393448</v>
      </c>
      <c r="AD262" s="20" t="n">
        <f aca="false">IF(OR(U262="",NOT(ISNUMBER(U262))),"",U262*$D$3^2/2*$F$3)</f>
        <v>1055.69642419973</v>
      </c>
      <c r="AE262" s="19" t="n">
        <f aca="false">IF(OR(V262="",NOT(ISNUMBER(V262))),"",V262*$D$3^2/(2*$H$3))</f>
        <v>0.312969317740857</v>
      </c>
      <c r="AF262" s="20" t="n">
        <f aca="false">IF(OR(V262="",NOT(ISNUMBER(V262))),"",V262*$D$3^2/2*$F$3)</f>
        <v>3070.22900703781</v>
      </c>
      <c r="AG262" s="19" t="str">
        <f aca="false">IF(OR(W262="",NOT(ISNUMBER(W262))),"",W262*$D$3^2/(2*$H$3))</f>
        <v/>
      </c>
      <c r="AH262" s="20" t="str">
        <f aca="false">IF(OR(W262="",NOT(ISNUMBER(W262))),"",W262*$D$3^2/2*$F$3)</f>
        <v/>
      </c>
    </row>
    <row r="263" customFormat="false" ht="15" hidden="false" customHeight="false" outlineLevel="0" collapsed="false">
      <c r="A263" s="10" t="s">
        <v>606</v>
      </c>
      <c r="B263" s="11" t="s">
        <v>41</v>
      </c>
      <c r="C263" s="6" t="s">
        <v>381</v>
      </c>
      <c r="D263" s="6" t="s">
        <v>607</v>
      </c>
      <c r="E263" s="6" t="s">
        <v>268</v>
      </c>
      <c r="F263" s="6" t="s">
        <v>247</v>
      </c>
      <c r="G263" s="6" t="n">
        <v>75</v>
      </c>
      <c r="H263" s="6" t="n">
        <v>63</v>
      </c>
      <c r="I263" s="6"/>
      <c r="J263" s="6" t="n">
        <v>10</v>
      </c>
      <c r="K263" s="6" t="s">
        <v>46</v>
      </c>
      <c r="L263" s="6" t="n">
        <v>140</v>
      </c>
      <c r="M263" s="6" t="n">
        <v>41</v>
      </c>
      <c r="N263" s="12" t="n">
        <v>61.4</v>
      </c>
      <c r="O263" s="12" t="n">
        <v>51.4</v>
      </c>
      <c r="P263" s="13" t="n">
        <v>54</v>
      </c>
      <c r="Q263" s="13" t="n">
        <v>45</v>
      </c>
      <c r="R263" s="14" t="n">
        <v>0.018</v>
      </c>
      <c r="S263" s="6" t="n">
        <v>20</v>
      </c>
      <c r="T263" s="6"/>
      <c r="U263" s="15" t="n">
        <f aca="false">(20*R263+0.5*(1-(P263/N263)^2)+(1-(P263/N263)^2)^2)*(N263/P263)^4</f>
        <v>0.876800132443677</v>
      </c>
      <c r="V263" s="15" t="n">
        <f aca="false">(60*R263+0.5*(1-(Q263/N263)^2)+(1-(Q263/O263)^2)^2)*(O263/Q263)^4</f>
        <v>2.3250981307708</v>
      </c>
      <c r="W263" s="14"/>
      <c r="X263" s="10" t="s">
        <v>248</v>
      </c>
      <c r="Y263" s="16"/>
      <c r="Z263" s="17" t="s">
        <v>48</v>
      </c>
      <c r="AA263" s="6"/>
      <c r="AB263" s="18" t="n">
        <f aca="false">IF(O263="","",$D$3*PI()*(O263/1000)^2/4*3600)</f>
        <v>11.2049488715554</v>
      </c>
      <c r="AC263" s="19" t="n">
        <f aca="false">IF(OR(U263="",NOT(ISNUMBER(U263))),"",U263*$D$3^2/(2*$H$3))</f>
        <v>0.100550473904091</v>
      </c>
      <c r="AD263" s="20" t="n">
        <f aca="false">IF(OR(U263="",NOT(ISNUMBER(U263))),"",U263*$D$3^2/2*$F$3)</f>
        <v>986.400148999136</v>
      </c>
      <c r="AE263" s="19" t="n">
        <f aca="false">IF(OR(V263="",NOT(ISNUMBER(V263))),"",V263*$D$3^2/(2*$H$3))</f>
        <v>0.266639693895734</v>
      </c>
      <c r="AF263" s="20" t="n">
        <f aca="false">IF(OR(V263="",NOT(ISNUMBER(V263))),"",V263*$D$3^2/2*$F$3)</f>
        <v>2615.73539711715</v>
      </c>
      <c r="AG263" s="19" t="str">
        <f aca="false">IF(OR(W263="",NOT(ISNUMBER(W263))),"",W263*$D$3^2/(2*$H$3))</f>
        <v/>
      </c>
      <c r="AH263" s="20" t="str">
        <f aca="false">IF(OR(W263="",NOT(ISNUMBER(W263))),"",W263*$D$3^2/2*$F$3)</f>
        <v/>
      </c>
    </row>
    <row r="264" customFormat="false" ht="15" hidden="false" customHeight="false" outlineLevel="0" collapsed="false">
      <c r="A264" s="10" t="s">
        <v>608</v>
      </c>
      <c r="B264" s="11" t="s">
        <v>41</v>
      </c>
      <c r="C264" s="6" t="s">
        <v>381</v>
      </c>
      <c r="D264" s="6" t="s">
        <v>609</v>
      </c>
      <c r="E264" s="6" t="s">
        <v>268</v>
      </c>
      <c r="F264" s="6" t="s">
        <v>247</v>
      </c>
      <c r="G264" s="6" t="n">
        <v>90</v>
      </c>
      <c r="H264" s="6" t="n">
        <v>75</v>
      </c>
      <c r="I264" s="6"/>
      <c r="J264" s="6" t="n">
        <v>10</v>
      </c>
      <c r="K264" s="6" t="s">
        <v>46</v>
      </c>
      <c r="L264" s="6" t="n">
        <v>156</v>
      </c>
      <c r="M264" s="6" t="n">
        <v>53</v>
      </c>
      <c r="N264" s="12" t="n">
        <v>73.6</v>
      </c>
      <c r="O264" s="12" t="n">
        <v>61.4</v>
      </c>
      <c r="P264" s="13" t="n">
        <v>66</v>
      </c>
      <c r="Q264" s="13" t="n">
        <v>54</v>
      </c>
      <c r="R264" s="14" t="n">
        <v>0.018</v>
      </c>
      <c r="S264" s="6" t="n">
        <v>20</v>
      </c>
      <c r="T264" s="6"/>
      <c r="U264" s="15" t="n">
        <f aca="false">(20*R264+0.5*(1-(P264/N264)^2)+(1-(P264/N264)^2)^2)*(N264/P264)^4</f>
        <v>0.767487310146291</v>
      </c>
      <c r="V264" s="15" t="n">
        <f aca="false">(60*R264+0.5*(1-(Q264/N264)^2)+(1-(Q264/O264)^2)^2)*(O264/Q264)^4</f>
        <v>2.27680096856442</v>
      </c>
      <c r="W264" s="14"/>
      <c r="X264" s="10" t="s">
        <v>248</v>
      </c>
      <c r="Y264" s="16"/>
      <c r="Z264" s="17" t="s">
        <v>48</v>
      </c>
      <c r="AA264" s="6"/>
      <c r="AB264" s="18" t="n">
        <f aca="false">IF(O264="","",$D$3*PI()*(O264/1000)^2/4*3600)</f>
        <v>15.988966164442</v>
      </c>
      <c r="AC264" s="19" t="n">
        <f aca="false">IF(OR(U264="",NOT(ISNUMBER(U264))),"",U264*$D$3^2/(2*$H$3))</f>
        <v>0.0880145997874187</v>
      </c>
      <c r="AD264" s="20" t="n">
        <f aca="false">IF(OR(U264="",NOT(ISNUMBER(U264))),"",U264*$D$3^2/2*$F$3)</f>
        <v>863.423223914577</v>
      </c>
      <c r="AE264" s="19" t="n">
        <f aca="false">IF(OR(V264="",NOT(ISNUMBER(V264))),"",V264*$D$3^2/(2*$H$3))</f>
        <v>0.261101028505094</v>
      </c>
      <c r="AF264" s="20" t="n">
        <f aca="false">IF(OR(V264="",NOT(ISNUMBER(V264))),"",V264*$D$3^2/2*$F$3)</f>
        <v>2561.40108963497</v>
      </c>
      <c r="AG264" s="19" t="str">
        <f aca="false">IF(OR(W264="",NOT(ISNUMBER(W264))),"",W264*$D$3^2/(2*$H$3))</f>
        <v/>
      </c>
      <c r="AH264" s="20" t="str">
        <f aca="false">IF(OR(W264="",NOT(ISNUMBER(W264))),"",W264*$D$3^2/2*$F$3)</f>
        <v/>
      </c>
    </row>
    <row r="265" customFormat="false" ht="15" hidden="false" customHeight="false" outlineLevel="0" collapsed="false">
      <c r="A265" s="10" t="s">
        <v>610</v>
      </c>
      <c r="B265" s="11" t="s">
        <v>41</v>
      </c>
      <c r="C265" s="6" t="s">
        <v>381</v>
      </c>
      <c r="D265" s="6" t="s">
        <v>611</v>
      </c>
      <c r="E265" s="6" t="s">
        <v>268</v>
      </c>
      <c r="F265" s="6" t="s">
        <v>247</v>
      </c>
      <c r="G265" s="6" t="n">
        <v>110</v>
      </c>
      <c r="H265" s="6" t="n">
        <v>90</v>
      </c>
      <c r="I265" s="6"/>
      <c r="J265" s="6" t="n">
        <v>10</v>
      </c>
      <c r="K265" s="6" t="s">
        <v>46</v>
      </c>
      <c r="L265" s="6" t="n">
        <v>176</v>
      </c>
      <c r="M265" s="6" t="n">
        <v>63</v>
      </c>
      <c r="N265" s="12" t="n">
        <v>90</v>
      </c>
      <c r="O265" s="12" t="n">
        <v>73.6</v>
      </c>
      <c r="P265" s="13" t="n">
        <v>81</v>
      </c>
      <c r="Q265" s="13" t="n">
        <v>66</v>
      </c>
      <c r="R265" s="14" t="n">
        <v>0.017</v>
      </c>
      <c r="S265" s="6" t="n">
        <v>20</v>
      </c>
      <c r="T265" s="6"/>
      <c r="U265" s="15" t="n">
        <f aca="false">(20*R265+0.5*(1-(P265/N265)^2)+(1-(P265/N265)^2)^2)*(N265/P265)^4</f>
        <v>0.718030787989636</v>
      </c>
      <c r="V265" s="15" t="n">
        <f aca="false">(60*R265+0.5*(1-(Q265/N265)^2)+(1-(Q265/O265)^2)^2)*(O265/Q265)^4</f>
        <v>1.99410202667388</v>
      </c>
      <c r="W265" s="14"/>
      <c r="X265" s="10" t="s">
        <v>248</v>
      </c>
      <c r="Y265" s="16"/>
      <c r="Z265" s="17" t="s">
        <v>48</v>
      </c>
      <c r="AA265" s="6"/>
      <c r="AB265" s="18" t="n">
        <f aca="false">IF(O265="","",$D$3*PI()*(O265/1000)^2/4*3600)</f>
        <v>22.9741403500662</v>
      </c>
      <c r="AC265" s="19" t="n">
        <f aca="false">IF(OR(U265="",NOT(ISNUMBER(U265))),"",U265*$D$3^2/(2*$H$3))</f>
        <v>0.0823429802740408</v>
      </c>
      <c r="AD265" s="20" t="n">
        <f aca="false">IF(OR(U265="",NOT(ISNUMBER(U265))),"",U265*$D$3^2/2*$F$3)</f>
        <v>807.78463648834</v>
      </c>
      <c r="AE265" s="19" t="n">
        <f aca="false">IF(OR(V265="",NOT(ISNUMBER(V265))),"",V265*$D$3^2/(2*$H$3))</f>
        <v>0.228681425077279</v>
      </c>
      <c r="AF265" s="20" t="n">
        <f aca="false">IF(OR(V265="",NOT(ISNUMBER(V265))),"",V265*$D$3^2/2*$F$3)</f>
        <v>2243.36478000811</v>
      </c>
      <c r="AG265" s="19" t="str">
        <f aca="false">IF(OR(W265="",NOT(ISNUMBER(W265))),"",W265*$D$3^2/(2*$H$3))</f>
        <v/>
      </c>
      <c r="AH265" s="20" t="str">
        <f aca="false">IF(OR(W265="",NOT(ISNUMBER(W265))),"",W265*$D$3^2/2*$F$3)</f>
        <v/>
      </c>
    </row>
    <row r="266" customFormat="false" ht="15" hidden="false" customHeight="false" outlineLevel="0" collapsed="false">
      <c r="A266" s="10" t="s">
        <v>612</v>
      </c>
      <c r="B266" s="11" t="s">
        <v>41</v>
      </c>
      <c r="C266" s="6" t="s">
        <v>381</v>
      </c>
      <c r="D266" s="6" t="s">
        <v>613</v>
      </c>
      <c r="E266" s="6" t="s">
        <v>614</v>
      </c>
      <c r="F266" s="6" t="s">
        <v>247</v>
      </c>
      <c r="G266" s="6" t="n">
        <v>20</v>
      </c>
      <c r="H266" s="6" t="n">
        <v>25</v>
      </c>
      <c r="I266" s="6"/>
      <c r="J266" s="6" t="n">
        <v>16</v>
      </c>
      <c r="K266" s="6" t="s">
        <v>46</v>
      </c>
      <c r="L266" s="6" t="n">
        <v>49</v>
      </c>
      <c r="M266" s="6" t="n">
        <v>16</v>
      </c>
      <c r="N266" s="12" t="n">
        <v>16</v>
      </c>
      <c r="O266" s="12" t="n">
        <v>20.4</v>
      </c>
      <c r="P266" s="13" t="n">
        <v>13</v>
      </c>
      <c r="Q266" s="13" t="n">
        <v>17</v>
      </c>
      <c r="R266" s="14" t="n">
        <v>0.027</v>
      </c>
      <c r="S266" s="6" t="n">
        <v>20</v>
      </c>
      <c r="T266" s="6"/>
      <c r="U266" s="15" t="n">
        <f aca="false">(20*R266+0.5*(1-(P266/N266)^2)+(1-(P266/N266)^2)^2)*(N266/P266)^4</f>
        <v>1.89399670879871</v>
      </c>
      <c r="V266" s="15" t="n">
        <f aca="false">(60*R266+0.5*(1-(Q266/N266)^2)+(1-(Q266/O266)^2)^2)*(O266/Q266)^4</f>
        <v>3.419182</v>
      </c>
      <c r="W266" s="14"/>
      <c r="X266" s="10" t="s">
        <v>248</v>
      </c>
      <c r="Y266" s="16"/>
      <c r="Z266" s="17" t="s">
        <v>48</v>
      </c>
      <c r="AA266" s="6" t="s">
        <v>615</v>
      </c>
      <c r="AB266" s="18" t="n">
        <f aca="false">IF(O266="","",$D$3*PI()*(O266/1000)^2/4*3600)</f>
        <v>1.7649970182692</v>
      </c>
      <c r="AC266" s="19" t="n">
        <f aca="false">IF(OR(U266="",NOT(ISNUMBER(U266))),"",U266*$D$3^2/(2*$H$3))</f>
        <v>0.217201457431045</v>
      </c>
      <c r="AD266" s="20" t="n">
        <f aca="false">IF(OR(U266="",NOT(ISNUMBER(U266))),"",U266*$D$3^2/2*$F$3)</f>
        <v>2130.74629739855</v>
      </c>
      <c r="AE266" s="19" t="n">
        <f aca="false">IF(OR(V266="",NOT(ISNUMBER(V266))),"",V266*$D$3^2/(2*$H$3))</f>
        <v>0.392108027522936</v>
      </c>
      <c r="AF266" s="20" t="n">
        <f aca="false">IF(OR(V266="",NOT(ISNUMBER(V266))),"",V266*$D$3^2/2*$F$3)</f>
        <v>3846.57975</v>
      </c>
      <c r="AG266" s="19" t="str">
        <f aca="false">IF(OR(W266="",NOT(ISNUMBER(W266))),"",W266*$D$3^2/(2*$H$3))</f>
        <v/>
      </c>
      <c r="AH266" s="20" t="str">
        <f aca="false">IF(OR(W266="",NOT(ISNUMBER(W266))),"",W266*$D$3^2/2*$F$3)</f>
        <v/>
      </c>
    </row>
    <row r="267" customFormat="false" ht="15" hidden="false" customHeight="false" outlineLevel="0" collapsed="false">
      <c r="A267" s="10" t="s">
        <v>616</v>
      </c>
      <c r="B267" s="11" t="s">
        <v>41</v>
      </c>
      <c r="C267" s="6" t="s">
        <v>381</v>
      </c>
      <c r="D267" s="6" t="s">
        <v>617</v>
      </c>
      <c r="E267" s="6" t="s">
        <v>44</v>
      </c>
      <c r="F267" s="6" t="s">
        <v>45</v>
      </c>
      <c r="G267" s="6" t="n">
        <v>16</v>
      </c>
      <c r="H267" s="6"/>
      <c r="I267" s="6"/>
      <c r="J267" s="6" t="n">
        <v>16</v>
      </c>
      <c r="K267" s="6" t="s">
        <v>46</v>
      </c>
      <c r="L267" s="6" t="n">
        <v>49</v>
      </c>
      <c r="M267" s="6" t="n">
        <v>4</v>
      </c>
      <c r="N267" s="12" t="n">
        <v>12</v>
      </c>
      <c r="O267" s="12" t="n">
        <v>12</v>
      </c>
      <c r="P267" s="13" t="n">
        <v>10</v>
      </c>
      <c r="Q267" s="12"/>
      <c r="R267" s="14" t="n">
        <v>0.027</v>
      </c>
      <c r="S267" s="6" t="n">
        <v>0</v>
      </c>
      <c r="T267" s="6"/>
      <c r="U267" s="15" t="n">
        <f aca="false">(S267*R267+0.5*(1-(P267/N267)^2)+(1-(P267/O267)^2)^2)*(O267/P267)^4</f>
        <v>0.5104</v>
      </c>
      <c r="V267" s="14"/>
      <c r="W267" s="14"/>
      <c r="X267" s="10" t="s">
        <v>47</v>
      </c>
      <c r="Y267" s="16"/>
      <c r="Z267" s="17" t="s">
        <v>48</v>
      </c>
      <c r="AA267" s="6"/>
      <c r="AB267" s="18" t="n">
        <f aca="false">IF(O267="","",$D$3*PI()*(O267/1000)^2/4*3600)</f>
        <v>0.610725611857856</v>
      </c>
      <c r="AC267" s="19" t="n">
        <f aca="false">IF(OR(U267="",NOT(ISNUMBER(U267))),"",U267*$D$3^2/(2*$H$3))</f>
        <v>0.0585321100917431</v>
      </c>
      <c r="AD267" s="20" t="n">
        <f aca="false">IF(OR(U267="",NOT(ISNUMBER(U267))),"",U267*$D$3^2/2*$F$3)</f>
        <v>574.2</v>
      </c>
      <c r="AE267" s="19" t="str">
        <f aca="false">IF(OR(V267="",NOT(ISNUMBER(V267))),"",V267*$D$3^2/(2*$H$3))</f>
        <v/>
      </c>
      <c r="AF267" s="20" t="str">
        <f aca="false">IF(OR(V267="",NOT(ISNUMBER(V267))),"",V267*$D$3^2/2*$F$3)</f>
        <v/>
      </c>
      <c r="AG267" s="19" t="str">
        <f aca="false">IF(OR(W267="",NOT(ISNUMBER(W267))),"",W267*$D$3^2/(2*$H$3))</f>
        <v/>
      </c>
      <c r="AH267" s="20" t="str">
        <f aca="false">IF(OR(W267="",NOT(ISNUMBER(W267))),"",W267*$D$3^2/2*$F$3)</f>
        <v/>
      </c>
    </row>
    <row r="268" customFormat="false" ht="15" hidden="false" customHeight="false" outlineLevel="0" collapsed="false">
      <c r="A268" s="10" t="s">
        <v>618</v>
      </c>
      <c r="B268" s="11" t="s">
        <v>41</v>
      </c>
      <c r="C268" s="6" t="s">
        <v>381</v>
      </c>
      <c r="D268" s="6" t="s">
        <v>619</v>
      </c>
      <c r="E268" s="6" t="s">
        <v>44</v>
      </c>
      <c r="F268" s="6" t="s">
        <v>45</v>
      </c>
      <c r="G268" s="6" t="n">
        <v>20</v>
      </c>
      <c r="H268" s="6"/>
      <c r="I268" s="6"/>
      <c r="J268" s="6" t="n">
        <v>16</v>
      </c>
      <c r="K268" s="6" t="s">
        <v>46</v>
      </c>
      <c r="L268" s="6" t="n">
        <v>49</v>
      </c>
      <c r="M268" s="6" t="n">
        <v>4</v>
      </c>
      <c r="N268" s="12" t="n">
        <v>16</v>
      </c>
      <c r="O268" s="12" t="n">
        <v>16</v>
      </c>
      <c r="P268" s="13" t="n">
        <v>13</v>
      </c>
      <c r="Q268" s="12"/>
      <c r="R268" s="14" t="n">
        <v>0.027</v>
      </c>
      <c r="S268" s="6" t="n">
        <v>0</v>
      </c>
      <c r="T268" s="6"/>
      <c r="U268" s="15" t="n">
        <f aca="false">(S268*R268+0.5*(1-(P268/N268)^2)+(1-(P268/O268)^2)^2)*(O268/P268)^4</f>
        <v>0.654914043625924</v>
      </c>
      <c r="V268" s="14"/>
      <c r="W268" s="14"/>
      <c r="X268" s="10" t="s">
        <v>47</v>
      </c>
      <c r="Y268" s="16"/>
      <c r="Z268" s="17" t="s">
        <v>48</v>
      </c>
      <c r="AA268" s="6"/>
      <c r="AB268" s="18" t="n">
        <f aca="false">IF(O268="","",$D$3*PI()*(O268/1000)^2/4*3600)</f>
        <v>1.08573442108063</v>
      </c>
      <c r="AC268" s="19" t="n">
        <f aca="false">IF(OR(U268="",NOT(ISNUMBER(U268))),"",U268*$D$3^2/(2*$H$3))</f>
        <v>0.0751048215167344</v>
      </c>
      <c r="AD268" s="20" t="n">
        <f aca="false">IF(OR(U268="",NOT(ISNUMBER(U268))),"",U268*$D$3^2/2*$F$3)</f>
        <v>736.778299079164</v>
      </c>
      <c r="AE268" s="19" t="str">
        <f aca="false">IF(OR(V268="",NOT(ISNUMBER(V268))),"",V268*$D$3^2/(2*$H$3))</f>
        <v/>
      </c>
      <c r="AF268" s="20" t="str">
        <f aca="false">IF(OR(V268="",NOT(ISNUMBER(V268))),"",V268*$D$3^2/2*$F$3)</f>
        <v/>
      </c>
      <c r="AG268" s="19" t="str">
        <f aca="false">IF(OR(W268="",NOT(ISNUMBER(W268))),"",W268*$D$3^2/(2*$H$3))</f>
        <v/>
      </c>
      <c r="AH268" s="20" t="str">
        <f aca="false">IF(OR(W268="",NOT(ISNUMBER(W268))),"",W268*$D$3^2/2*$F$3)</f>
        <v/>
      </c>
    </row>
    <row r="269" customFormat="false" ht="15" hidden="false" customHeight="false" outlineLevel="0" collapsed="false">
      <c r="A269" s="10" t="s">
        <v>620</v>
      </c>
      <c r="B269" s="11" t="s">
        <v>41</v>
      </c>
      <c r="C269" s="6" t="s">
        <v>381</v>
      </c>
      <c r="D269" s="6" t="s">
        <v>621</v>
      </c>
      <c r="E269" s="6" t="s">
        <v>44</v>
      </c>
      <c r="F269" s="6" t="s">
        <v>45</v>
      </c>
      <c r="G269" s="6" t="n">
        <v>25</v>
      </c>
      <c r="H269" s="6"/>
      <c r="I269" s="6"/>
      <c r="J269" s="6" t="n">
        <v>16</v>
      </c>
      <c r="K269" s="6" t="s">
        <v>46</v>
      </c>
      <c r="L269" s="6" t="n">
        <v>58</v>
      </c>
      <c r="M269" s="6" t="n">
        <v>4</v>
      </c>
      <c r="N269" s="12" t="n">
        <v>20.4</v>
      </c>
      <c r="O269" s="12" t="n">
        <v>20.4</v>
      </c>
      <c r="P269" s="13" t="n">
        <v>17</v>
      </c>
      <c r="Q269" s="12"/>
      <c r="R269" s="14" t="n">
        <v>0.025</v>
      </c>
      <c r="S269" s="6" t="n">
        <v>0</v>
      </c>
      <c r="T269" s="6"/>
      <c r="U269" s="15" t="n">
        <f aca="false">(S269*R269+0.5*(1-(P269/N269)^2)+(1-(P269/O269)^2)^2)*(O269/P269)^4</f>
        <v>0.5104</v>
      </c>
      <c r="V269" s="14"/>
      <c r="W269" s="14"/>
      <c r="X269" s="10" t="s">
        <v>47</v>
      </c>
      <c r="Y269" s="16"/>
      <c r="Z269" s="17" t="s">
        <v>48</v>
      </c>
      <c r="AA269" s="6"/>
      <c r="AB269" s="18" t="n">
        <f aca="false">IF(O269="","",$D$3*PI()*(O269/1000)^2/4*3600)</f>
        <v>1.7649970182692</v>
      </c>
      <c r="AC269" s="19" t="n">
        <f aca="false">IF(OR(U269="",NOT(ISNUMBER(U269))),"",U269*$D$3^2/(2*$H$3))</f>
        <v>0.0585321100917431</v>
      </c>
      <c r="AD269" s="20" t="n">
        <f aca="false">IF(OR(U269="",NOT(ISNUMBER(U269))),"",U269*$D$3^2/2*$F$3)</f>
        <v>574.2</v>
      </c>
      <c r="AE269" s="19" t="str">
        <f aca="false">IF(OR(V269="",NOT(ISNUMBER(V269))),"",V269*$D$3^2/(2*$H$3))</f>
        <v/>
      </c>
      <c r="AF269" s="20" t="str">
        <f aca="false">IF(OR(V269="",NOT(ISNUMBER(V269))),"",V269*$D$3^2/2*$F$3)</f>
        <v/>
      </c>
      <c r="AG269" s="19" t="str">
        <f aca="false">IF(OR(W269="",NOT(ISNUMBER(W269))),"",W269*$D$3^2/(2*$H$3))</f>
        <v/>
      </c>
      <c r="AH269" s="20" t="str">
        <f aca="false">IF(OR(W269="",NOT(ISNUMBER(W269))),"",W269*$D$3^2/2*$F$3)</f>
        <v/>
      </c>
    </row>
    <row r="270" customFormat="false" ht="15" hidden="false" customHeight="false" outlineLevel="0" collapsed="false">
      <c r="A270" s="10" t="s">
        <v>622</v>
      </c>
      <c r="B270" s="11" t="s">
        <v>41</v>
      </c>
      <c r="C270" s="6" t="s">
        <v>381</v>
      </c>
      <c r="D270" s="6" t="s">
        <v>623</v>
      </c>
      <c r="E270" s="6" t="s">
        <v>44</v>
      </c>
      <c r="F270" s="6" t="s">
        <v>45</v>
      </c>
      <c r="G270" s="6" t="n">
        <v>32</v>
      </c>
      <c r="H270" s="6"/>
      <c r="I270" s="6"/>
      <c r="J270" s="6" t="n">
        <v>16</v>
      </c>
      <c r="K270" s="6" t="s">
        <v>46</v>
      </c>
      <c r="L270" s="6" t="n">
        <v>81</v>
      </c>
      <c r="M270" s="6" t="n">
        <v>4</v>
      </c>
      <c r="N270" s="12" t="n">
        <v>26.2</v>
      </c>
      <c r="O270" s="12" t="n">
        <v>26.2</v>
      </c>
      <c r="P270" s="13" t="n">
        <v>22</v>
      </c>
      <c r="Q270" s="12"/>
      <c r="R270" s="14" t="n">
        <v>0.023</v>
      </c>
      <c r="S270" s="6" t="n">
        <v>0</v>
      </c>
      <c r="T270" s="6"/>
      <c r="U270" s="15" t="n">
        <f aca="false">(S270*R270+0.5*(1-(P270/N270)^2)+(1-(P270/O270)^2)^2)*(O270/P270)^4</f>
        <v>0.471549972679462</v>
      </c>
      <c r="V270" s="14"/>
      <c r="W270" s="14"/>
      <c r="X270" s="10" t="s">
        <v>47</v>
      </c>
      <c r="Y270" s="16"/>
      <c r="Z270" s="17" t="s">
        <v>48</v>
      </c>
      <c r="AA270" s="6"/>
      <c r="AB270" s="18" t="n">
        <f aca="false">IF(O270="","",$D$3*PI()*(O270/1000)^2/4*3600)</f>
        <v>2.91129506252574</v>
      </c>
      <c r="AC270" s="19" t="n">
        <f aca="false">IF(OR(U270="",NOT(ISNUMBER(U270))),"",U270*$D$3^2/(2*$H$3))</f>
        <v>0.054076831729296</v>
      </c>
      <c r="AD270" s="20" t="n">
        <f aca="false">IF(OR(U270="",NOT(ISNUMBER(U270))),"",U270*$D$3^2/2*$F$3)</f>
        <v>530.493719264394</v>
      </c>
      <c r="AE270" s="19" t="str">
        <f aca="false">IF(OR(V270="",NOT(ISNUMBER(V270))),"",V270*$D$3^2/(2*$H$3))</f>
        <v/>
      </c>
      <c r="AF270" s="20" t="str">
        <f aca="false">IF(OR(V270="",NOT(ISNUMBER(V270))),"",V270*$D$3^2/2*$F$3)</f>
        <v/>
      </c>
      <c r="AG270" s="19" t="str">
        <f aca="false">IF(OR(W270="",NOT(ISNUMBER(W270))),"",W270*$D$3^2/(2*$H$3))</f>
        <v/>
      </c>
      <c r="AH270" s="20" t="str">
        <f aca="false">IF(OR(W270="",NOT(ISNUMBER(W270))),"",W270*$D$3^2/2*$F$3)</f>
        <v/>
      </c>
    </row>
    <row r="271" customFormat="false" ht="15" hidden="false" customHeight="false" outlineLevel="0" collapsed="false">
      <c r="A271" s="10" t="s">
        <v>624</v>
      </c>
      <c r="B271" s="11" t="s">
        <v>41</v>
      </c>
      <c r="C271" s="6" t="s">
        <v>381</v>
      </c>
      <c r="D271" s="6" t="s">
        <v>625</v>
      </c>
      <c r="E271" s="6" t="s">
        <v>44</v>
      </c>
      <c r="F271" s="6" t="s">
        <v>45</v>
      </c>
      <c r="G271" s="6" t="n">
        <v>40</v>
      </c>
      <c r="H271" s="6"/>
      <c r="I271" s="6"/>
      <c r="J271" s="6" t="n">
        <v>16</v>
      </c>
      <c r="K271" s="6" t="s">
        <v>46</v>
      </c>
      <c r="L271" s="6" t="n">
        <v>92</v>
      </c>
      <c r="M271" s="6" t="n">
        <v>5</v>
      </c>
      <c r="N271" s="12" t="n">
        <v>32.6</v>
      </c>
      <c r="O271" s="12" t="n">
        <v>32.6</v>
      </c>
      <c r="P271" s="13" t="n">
        <v>28</v>
      </c>
      <c r="Q271" s="12"/>
      <c r="R271" s="14" t="n">
        <v>0.022</v>
      </c>
      <c r="S271" s="6" t="n">
        <v>0</v>
      </c>
      <c r="T271" s="6"/>
      <c r="U271" s="15" t="n">
        <f aca="false">(S271*R271+0.5*(1-(P271/N271)^2)+(1-(P271/O271)^2)^2)*(O271/P271)^4</f>
        <v>0.367416288785923</v>
      </c>
      <c r="V271" s="14"/>
      <c r="W271" s="14"/>
      <c r="X271" s="10" t="s">
        <v>47</v>
      </c>
      <c r="Y271" s="16"/>
      <c r="Z271" s="17" t="s">
        <v>48</v>
      </c>
      <c r="AA271" s="6"/>
      <c r="AB271" s="18" t="n">
        <f aca="false">IF(O271="","",$D$3*PI()*(O271/1000)^2/4*3600)</f>
        <v>4.50732466151427</v>
      </c>
      <c r="AC271" s="19" t="n">
        <f aca="false">IF(OR(U271="",NOT(ISNUMBER(U271))),"",U271*$D$3^2/(2*$H$3))</f>
        <v>0.0421348955029728</v>
      </c>
      <c r="AD271" s="20" t="n">
        <f aca="false">IF(OR(U271="",NOT(ISNUMBER(U271))),"",U271*$D$3^2/2*$F$3)</f>
        <v>413.343324884163</v>
      </c>
      <c r="AE271" s="19" t="str">
        <f aca="false">IF(OR(V271="",NOT(ISNUMBER(V271))),"",V271*$D$3^2/(2*$H$3))</f>
        <v/>
      </c>
      <c r="AF271" s="20" t="str">
        <f aca="false">IF(OR(V271="",NOT(ISNUMBER(V271))),"",V271*$D$3^2/2*$F$3)</f>
        <v/>
      </c>
      <c r="AG271" s="19" t="str">
        <f aca="false">IF(OR(W271="",NOT(ISNUMBER(W271))),"",W271*$D$3^2/(2*$H$3))</f>
        <v/>
      </c>
      <c r="AH271" s="20" t="str">
        <f aca="false">IF(OR(W271="",NOT(ISNUMBER(W271))),"",W271*$D$3^2/2*$F$3)</f>
        <v/>
      </c>
    </row>
    <row r="272" customFormat="false" ht="15" hidden="false" customHeight="false" outlineLevel="0" collapsed="false">
      <c r="A272" s="10" t="s">
        <v>626</v>
      </c>
      <c r="B272" s="11" t="s">
        <v>41</v>
      </c>
      <c r="C272" s="6" t="s">
        <v>381</v>
      </c>
      <c r="D272" s="6" t="s">
        <v>627</v>
      </c>
      <c r="E272" s="6" t="s">
        <v>44</v>
      </c>
      <c r="F272" s="6" t="s">
        <v>45</v>
      </c>
      <c r="G272" s="6" t="n">
        <v>50</v>
      </c>
      <c r="H272" s="6"/>
      <c r="I272" s="6"/>
      <c r="J272" s="6" t="n">
        <v>16</v>
      </c>
      <c r="K272" s="6" t="s">
        <v>46</v>
      </c>
      <c r="L272" s="6" t="n">
        <v>108</v>
      </c>
      <c r="M272" s="6" t="n">
        <v>8</v>
      </c>
      <c r="N272" s="12" t="n">
        <v>40.8</v>
      </c>
      <c r="O272" s="12" t="n">
        <v>40.8</v>
      </c>
      <c r="P272" s="13" t="n">
        <v>35</v>
      </c>
      <c r="Q272" s="12"/>
      <c r="R272" s="14" t="n">
        <v>0.021</v>
      </c>
      <c r="S272" s="6" t="n">
        <v>0</v>
      </c>
      <c r="T272" s="6"/>
      <c r="U272" s="15" t="n">
        <f aca="false">(S272*R272+0.5*(1-(P272/N272)^2)+(1-(P272/O272)^2)^2)*(O272/P272)^4</f>
        <v>0.372647726380675</v>
      </c>
      <c r="V272" s="14"/>
      <c r="W272" s="14"/>
      <c r="X272" s="10" t="s">
        <v>47</v>
      </c>
      <c r="Y272" s="16"/>
      <c r="Z272" s="17" t="s">
        <v>48</v>
      </c>
      <c r="AA272" s="6"/>
      <c r="AB272" s="18" t="n">
        <f aca="false">IF(O272="","",$D$3*PI()*(O272/1000)^2/4*3600)</f>
        <v>7.05998807307681</v>
      </c>
      <c r="AC272" s="19" t="n">
        <f aca="false">IF(OR(U272="",NOT(ISNUMBER(U272))),"",U272*$D$3^2/(2*$H$3))</f>
        <v>0.0427348310069581</v>
      </c>
      <c r="AD272" s="20" t="n">
        <f aca="false">IF(OR(U272="",NOT(ISNUMBER(U272))),"",U272*$D$3^2/2*$F$3)</f>
        <v>419.228692178259</v>
      </c>
      <c r="AE272" s="19" t="str">
        <f aca="false">IF(OR(V272="",NOT(ISNUMBER(V272))),"",V272*$D$3^2/(2*$H$3))</f>
        <v/>
      </c>
      <c r="AF272" s="20" t="str">
        <f aca="false">IF(OR(V272="",NOT(ISNUMBER(V272))),"",V272*$D$3^2/2*$F$3)</f>
        <v/>
      </c>
      <c r="AG272" s="19" t="str">
        <f aca="false">IF(OR(W272="",NOT(ISNUMBER(W272))),"",W272*$D$3^2/(2*$H$3))</f>
        <v/>
      </c>
      <c r="AH272" s="20" t="str">
        <f aca="false">IF(OR(W272="",NOT(ISNUMBER(W272))),"",W272*$D$3^2/2*$F$3)</f>
        <v/>
      </c>
    </row>
    <row r="273" customFormat="false" ht="15" hidden="false" customHeight="false" outlineLevel="0" collapsed="false">
      <c r="A273" s="10" t="s">
        <v>628</v>
      </c>
      <c r="B273" s="11" t="s">
        <v>41</v>
      </c>
      <c r="C273" s="6" t="s">
        <v>381</v>
      </c>
      <c r="D273" s="6" t="s">
        <v>629</v>
      </c>
      <c r="E273" s="6" t="s">
        <v>44</v>
      </c>
      <c r="F273" s="6" t="s">
        <v>45</v>
      </c>
      <c r="G273" s="6" t="n">
        <v>63</v>
      </c>
      <c r="H273" s="6"/>
      <c r="I273" s="6"/>
      <c r="J273" s="6" t="n">
        <v>16</v>
      </c>
      <c r="K273" s="6" t="s">
        <v>46</v>
      </c>
      <c r="L273" s="6" t="n">
        <v>125</v>
      </c>
      <c r="M273" s="6" t="n">
        <v>8</v>
      </c>
      <c r="N273" s="12" t="n">
        <v>51.4</v>
      </c>
      <c r="O273" s="12" t="n">
        <v>51.4</v>
      </c>
      <c r="P273" s="13" t="n">
        <v>45</v>
      </c>
      <c r="Q273" s="12"/>
      <c r="R273" s="14" t="n">
        <v>0.019</v>
      </c>
      <c r="S273" s="6" t="n">
        <v>0</v>
      </c>
      <c r="T273" s="6"/>
      <c r="U273" s="15" t="n">
        <f aca="false">(S273*R273+0.5*(1-(P273/N273)^2)+(1-(P273/O273)^2)^2)*(O273/P273)^4</f>
        <v>0.291572982752629</v>
      </c>
      <c r="V273" s="14"/>
      <c r="W273" s="14"/>
      <c r="X273" s="10" t="s">
        <v>47</v>
      </c>
      <c r="Y273" s="16"/>
      <c r="Z273" s="17" t="s">
        <v>48</v>
      </c>
      <c r="AA273" s="6"/>
      <c r="AB273" s="18" t="n">
        <f aca="false">IF(O273="","",$D$3*PI()*(O273/1000)^2/4*3600)</f>
        <v>11.2049488715554</v>
      </c>
      <c r="AC273" s="19" t="n">
        <f aca="false">IF(OR(U273="",NOT(ISNUMBER(U273))),"",U273*$D$3^2/(2*$H$3))</f>
        <v>0.0334372686642924</v>
      </c>
      <c r="AD273" s="20" t="n">
        <f aca="false">IF(OR(U273="",NOT(ISNUMBER(U273))),"",U273*$D$3^2/2*$F$3)</f>
        <v>328.019605596708</v>
      </c>
      <c r="AE273" s="19" t="str">
        <f aca="false">IF(OR(V273="",NOT(ISNUMBER(V273))),"",V273*$D$3^2/(2*$H$3))</f>
        <v/>
      </c>
      <c r="AF273" s="20" t="str">
        <f aca="false">IF(OR(V273="",NOT(ISNUMBER(V273))),"",V273*$D$3^2/2*$F$3)</f>
        <v/>
      </c>
      <c r="AG273" s="19" t="str">
        <f aca="false">IF(OR(W273="",NOT(ISNUMBER(W273))),"",W273*$D$3^2/(2*$H$3))</f>
        <v/>
      </c>
      <c r="AH273" s="20" t="str">
        <f aca="false">IF(OR(W273="",NOT(ISNUMBER(W273))),"",W273*$D$3^2/2*$F$3)</f>
        <v/>
      </c>
    </row>
    <row r="274" customFormat="false" ht="15" hidden="false" customHeight="false" outlineLevel="0" collapsed="false">
      <c r="A274" s="10" t="s">
        <v>630</v>
      </c>
      <c r="B274" s="11" t="s">
        <v>41</v>
      </c>
      <c r="C274" s="6" t="s">
        <v>381</v>
      </c>
      <c r="D274" s="6" t="s">
        <v>631</v>
      </c>
      <c r="E274" s="6" t="s">
        <v>44</v>
      </c>
      <c r="F274" s="6" t="s">
        <v>45</v>
      </c>
      <c r="G274" s="6" t="n">
        <v>75</v>
      </c>
      <c r="H274" s="6"/>
      <c r="I274" s="6"/>
      <c r="J274" s="6" t="n">
        <v>10</v>
      </c>
      <c r="K274" s="6" t="s">
        <v>46</v>
      </c>
      <c r="L274" s="6" t="n">
        <v>140</v>
      </c>
      <c r="M274" s="6" t="n">
        <v>10</v>
      </c>
      <c r="N274" s="12" t="n">
        <v>61.4</v>
      </c>
      <c r="O274" s="12" t="n">
        <v>61.4</v>
      </c>
      <c r="P274" s="13" t="n">
        <v>54</v>
      </c>
      <c r="Q274" s="12"/>
      <c r="R274" s="14" t="n">
        <v>0.018</v>
      </c>
      <c r="S274" s="6" t="n">
        <v>0</v>
      </c>
      <c r="T274" s="6"/>
      <c r="U274" s="15" t="n">
        <f aca="false">(S274*R274+0.5*(1-(P274/N274)^2)+(1-(P274/O274)^2)^2)*(O274/P274)^4</f>
        <v>0.275071127651047</v>
      </c>
      <c r="V274" s="14"/>
      <c r="W274" s="14"/>
      <c r="X274" s="10" t="s">
        <v>47</v>
      </c>
      <c r="Y274" s="16"/>
      <c r="Z274" s="17" t="s">
        <v>48</v>
      </c>
      <c r="AA274" s="6"/>
      <c r="AB274" s="18" t="n">
        <f aca="false">IF(O274="","",$D$3*PI()*(O274/1000)^2/4*3600)</f>
        <v>15.988966164442</v>
      </c>
      <c r="AC274" s="19" t="n">
        <f aca="false">IF(OR(U274="",NOT(ISNUMBER(U274))),"",U274*$D$3^2/(2*$H$3))</f>
        <v>0.0315448540884228</v>
      </c>
      <c r="AD274" s="20" t="n">
        <f aca="false">IF(OR(U274="",NOT(ISNUMBER(U274))),"",U274*$D$3^2/2*$F$3)</f>
        <v>309.455018607428</v>
      </c>
      <c r="AE274" s="19" t="str">
        <f aca="false">IF(OR(V274="",NOT(ISNUMBER(V274))),"",V274*$D$3^2/(2*$H$3))</f>
        <v/>
      </c>
      <c r="AF274" s="20" t="str">
        <f aca="false">IF(OR(V274="",NOT(ISNUMBER(V274))),"",V274*$D$3^2/2*$F$3)</f>
        <v/>
      </c>
      <c r="AG274" s="19" t="str">
        <f aca="false">IF(OR(W274="",NOT(ISNUMBER(W274))),"",W274*$D$3^2/(2*$H$3))</f>
        <v/>
      </c>
      <c r="AH274" s="20" t="str">
        <f aca="false">IF(OR(W274="",NOT(ISNUMBER(W274))),"",W274*$D$3^2/2*$F$3)</f>
        <v/>
      </c>
    </row>
    <row r="275" customFormat="false" ht="15" hidden="false" customHeight="false" outlineLevel="0" collapsed="false">
      <c r="A275" s="10" t="s">
        <v>632</v>
      </c>
      <c r="B275" s="11" t="s">
        <v>41</v>
      </c>
      <c r="C275" s="6" t="s">
        <v>381</v>
      </c>
      <c r="D275" s="6" t="s">
        <v>633</v>
      </c>
      <c r="E275" s="6" t="s">
        <v>44</v>
      </c>
      <c r="F275" s="6" t="s">
        <v>45</v>
      </c>
      <c r="G275" s="6" t="n">
        <v>90</v>
      </c>
      <c r="H275" s="6"/>
      <c r="I275" s="6"/>
      <c r="J275" s="6" t="n">
        <v>10</v>
      </c>
      <c r="K275" s="6" t="s">
        <v>46</v>
      </c>
      <c r="L275" s="6" t="n">
        <v>148</v>
      </c>
      <c r="M275" s="6" t="n">
        <v>10</v>
      </c>
      <c r="N275" s="12" t="n">
        <v>73.6</v>
      </c>
      <c r="O275" s="12" t="n">
        <v>73.6</v>
      </c>
      <c r="P275" s="13" t="n">
        <v>66</v>
      </c>
      <c r="Q275" s="12"/>
      <c r="R275" s="14" t="n">
        <v>0.018</v>
      </c>
      <c r="S275" s="6" t="n">
        <v>0</v>
      </c>
      <c r="T275" s="6"/>
      <c r="U275" s="15" t="n">
        <f aca="false">(S275*R275+0.5*(1-(P275/N275)^2)+(1-(P275/O275)^2)^2)*(O275/P275)^4</f>
        <v>0.210765781531822</v>
      </c>
      <c r="V275" s="14"/>
      <c r="W275" s="14"/>
      <c r="X275" s="10" t="s">
        <v>47</v>
      </c>
      <c r="Y275" s="16"/>
      <c r="Z275" s="17" t="s">
        <v>48</v>
      </c>
      <c r="AA275" s="6"/>
      <c r="AB275" s="18" t="n">
        <f aca="false">IF(O275="","",$D$3*PI()*(O275/1000)^2/4*3600)</f>
        <v>22.9741403500662</v>
      </c>
      <c r="AC275" s="19" t="n">
        <f aca="false">IF(OR(U275="",NOT(ISNUMBER(U275))),"",U275*$D$3^2/(2*$H$3))</f>
        <v>0.0241703877903465</v>
      </c>
      <c r="AD275" s="20" t="n">
        <f aca="false">IF(OR(U275="",NOT(ISNUMBER(U275))),"",U275*$D$3^2/2*$F$3)</f>
        <v>237.1115042233</v>
      </c>
      <c r="AE275" s="19" t="str">
        <f aca="false">IF(OR(V275="",NOT(ISNUMBER(V275))),"",V275*$D$3^2/(2*$H$3))</f>
        <v/>
      </c>
      <c r="AF275" s="20" t="str">
        <f aca="false">IF(OR(V275="",NOT(ISNUMBER(V275))),"",V275*$D$3^2/2*$F$3)</f>
        <v/>
      </c>
      <c r="AG275" s="19" t="str">
        <f aca="false">IF(OR(W275="",NOT(ISNUMBER(W275))),"",W275*$D$3^2/(2*$H$3))</f>
        <v/>
      </c>
      <c r="AH275" s="20" t="str">
        <f aca="false">IF(OR(W275="",NOT(ISNUMBER(W275))),"",W275*$D$3^2/2*$F$3)</f>
        <v/>
      </c>
    </row>
    <row r="276" customFormat="false" ht="15" hidden="false" customHeight="false" outlineLevel="0" collapsed="false">
      <c r="A276" s="10" t="s">
        <v>634</v>
      </c>
      <c r="B276" s="11" t="s">
        <v>41</v>
      </c>
      <c r="C276" s="6" t="s">
        <v>381</v>
      </c>
      <c r="D276" s="6" t="s">
        <v>635</v>
      </c>
      <c r="E276" s="6" t="s">
        <v>44</v>
      </c>
      <c r="F276" s="6" t="s">
        <v>45</v>
      </c>
      <c r="G276" s="6" t="n">
        <v>110</v>
      </c>
      <c r="H276" s="6"/>
      <c r="I276" s="6"/>
      <c r="J276" s="6" t="n">
        <v>10</v>
      </c>
      <c r="K276" s="6" t="s">
        <v>46</v>
      </c>
      <c r="L276" s="6" t="n">
        <v>167</v>
      </c>
      <c r="M276" s="6" t="n">
        <v>12</v>
      </c>
      <c r="N276" s="12" t="n">
        <v>90</v>
      </c>
      <c r="O276" s="12" t="n">
        <v>90</v>
      </c>
      <c r="P276" s="13" t="n">
        <v>81</v>
      </c>
      <c r="Q276" s="12"/>
      <c r="R276" s="14" t="n">
        <v>0.017</v>
      </c>
      <c r="S276" s="6" t="n">
        <v>0</v>
      </c>
      <c r="T276" s="6"/>
      <c r="U276" s="15" t="n">
        <f aca="false">(S276*R276+0.5*(1-(P276/N276)^2)+(1-(P276/O276)^2)^2)*(O276/P276)^4</f>
        <v>0.199817101051669</v>
      </c>
      <c r="V276" s="14"/>
      <c r="W276" s="14"/>
      <c r="X276" s="10" t="s">
        <v>47</v>
      </c>
      <c r="Y276" s="16"/>
      <c r="Z276" s="17" t="s">
        <v>48</v>
      </c>
      <c r="AA276" s="6"/>
      <c r="AB276" s="18" t="n">
        <f aca="false">IF(O276="","",$D$3*PI()*(O276/1000)^2/4*3600)</f>
        <v>34.3533156670044</v>
      </c>
      <c r="AC276" s="19" t="n">
        <f aca="false">IF(OR(U276="",NOT(ISNUMBER(U276))),"",U276*$D$3^2/(2*$H$3))</f>
        <v>0.0229148051664758</v>
      </c>
      <c r="AD276" s="20" t="n">
        <f aca="false">IF(OR(U276="",NOT(ISNUMBER(U276))),"",U276*$D$3^2/2*$F$3)</f>
        <v>224.794238683128</v>
      </c>
      <c r="AE276" s="19" t="str">
        <f aca="false">IF(OR(V276="",NOT(ISNUMBER(V276))),"",V276*$D$3^2/(2*$H$3))</f>
        <v/>
      </c>
      <c r="AF276" s="20" t="str">
        <f aca="false">IF(OR(V276="",NOT(ISNUMBER(V276))),"",V276*$D$3^2/2*$F$3)</f>
        <v/>
      </c>
      <c r="AG276" s="19" t="str">
        <f aca="false">IF(OR(W276="",NOT(ISNUMBER(W276))),"",W276*$D$3^2/(2*$H$3))</f>
        <v/>
      </c>
      <c r="AH276" s="20" t="str">
        <f aca="false">IF(OR(W276="",NOT(ISNUMBER(W276))),"",W276*$D$3^2/2*$F$3)</f>
        <v/>
      </c>
    </row>
    <row r="277" customFormat="false" ht="15" hidden="false" customHeight="false" outlineLevel="0" collapsed="false">
      <c r="A277" s="10" t="s">
        <v>636</v>
      </c>
      <c r="B277" s="11" t="s">
        <v>41</v>
      </c>
      <c r="C277" s="6" t="s">
        <v>381</v>
      </c>
      <c r="D277" s="6" t="s">
        <v>637</v>
      </c>
      <c r="E277" s="6" t="s">
        <v>106</v>
      </c>
      <c r="F277" s="6" t="s">
        <v>107</v>
      </c>
      <c r="G277" s="6" t="n">
        <v>16</v>
      </c>
      <c r="H277" s="6"/>
      <c r="I277" s="6" t="s">
        <v>403</v>
      </c>
      <c r="J277" s="6" t="n">
        <v>10</v>
      </c>
      <c r="K277" s="6" t="s">
        <v>46</v>
      </c>
      <c r="L277" s="6" t="n">
        <v>49</v>
      </c>
      <c r="M277" s="6" t="n">
        <v>11</v>
      </c>
      <c r="N277" s="12" t="n">
        <v>12</v>
      </c>
      <c r="O277" s="12" t="n">
        <v>12</v>
      </c>
      <c r="P277" s="13" t="n">
        <v>10</v>
      </c>
      <c r="Q277" s="12"/>
      <c r="R277" s="14" t="n">
        <v>0.027</v>
      </c>
      <c r="S277" s="6" t="n">
        <v>0</v>
      </c>
      <c r="T277" s="6"/>
      <c r="U277" s="15" t="n">
        <f aca="false">(S277*R277+0.5*(1-(P277/N277)^2)+(1-(P277/O277)^2)^2)*(O277/P277)^4</f>
        <v>0.5104</v>
      </c>
      <c r="V277" s="14"/>
      <c r="W277" s="14"/>
      <c r="X277" s="10" t="s">
        <v>47</v>
      </c>
      <c r="Y277" s="16"/>
      <c r="Z277" s="17" t="s">
        <v>48</v>
      </c>
      <c r="AA277" s="6"/>
      <c r="AB277" s="18" t="n">
        <f aca="false">IF(O277="","",$D$3*PI()*(O277/1000)^2/4*3600)</f>
        <v>0.610725611857856</v>
      </c>
      <c r="AC277" s="19" t="n">
        <f aca="false">IF(OR(U277="",NOT(ISNUMBER(U277))),"",U277*$D$3^2/(2*$H$3))</f>
        <v>0.0585321100917431</v>
      </c>
      <c r="AD277" s="20" t="n">
        <f aca="false">IF(OR(U277="",NOT(ISNUMBER(U277))),"",U277*$D$3^2/2*$F$3)</f>
        <v>574.2</v>
      </c>
      <c r="AE277" s="19" t="str">
        <f aca="false">IF(OR(V277="",NOT(ISNUMBER(V277))),"",V277*$D$3^2/(2*$H$3))</f>
        <v/>
      </c>
      <c r="AF277" s="20" t="str">
        <f aca="false">IF(OR(V277="",NOT(ISNUMBER(V277))),"",V277*$D$3^2/2*$F$3)</f>
        <v/>
      </c>
      <c r="AG277" s="19" t="str">
        <f aca="false">IF(OR(W277="",NOT(ISNUMBER(W277))),"",W277*$D$3^2/(2*$H$3))</f>
        <v/>
      </c>
      <c r="AH277" s="20" t="str">
        <f aca="false">IF(OR(W277="",NOT(ISNUMBER(W277))),"",W277*$D$3^2/2*$F$3)</f>
        <v/>
      </c>
    </row>
    <row r="278" customFormat="false" ht="15" hidden="false" customHeight="false" outlineLevel="0" collapsed="false">
      <c r="A278" s="10" t="s">
        <v>638</v>
      </c>
      <c r="B278" s="11" t="s">
        <v>41</v>
      </c>
      <c r="C278" s="6" t="s">
        <v>381</v>
      </c>
      <c r="D278" s="6" t="s">
        <v>639</v>
      </c>
      <c r="E278" s="6" t="s">
        <v>106</v>
      </c>
      <c r="F278" s="6" t="s">
        <v>107</v>
      </c>
      <c r="G278" s="6" t="n">
        <v>16</v>
      </c>
      <c r="H278" s="6"/>
      <c r="I278" s="6" t="s">
        <v>108</v>
      </c>
      <c r="J278" s="6" t="n">
        <v>10</v>
      </c>
      <c r="K278" s="6" t="s">
        <v>46</v>
      </c>
      <c r="L278" s="6" t="n">
        <v>49</v>
      </c>
      <c r="M278" s="6" t="n">
        <v>11</v>
      </c>
      <c r="N278" s="12" t="n">
        <v>12</v>
      </c>
      <c r="O278" s="12" t="n">
        <v>12</v>
      </c>
      <c r="P278" s="13" t="n">
        <v>10</v>
      </c>
      <c r="Q278" s="12"/>
      <c r="R278" s="14" t="n">
        <v>0.027</v>
      </c>
      <c r="S278" s="6" t="n">
        <v>0</v>
      </c>
      <c r="T278" s="6"/>
      <c r="U278" s="15" t="n">
        <f aca="false">(S278*R278+0.5*(1-(P278/N278)^2)+(1-(P278/O278)^2)^2)*(O278/P278)^4</f>
        <v>0.5104</v>
      </c>
      <c r="V278" s="14"/>
      <c r="W278" s="14"/>
      <c r="X278" s="10" t="s">
        <v>47</v>
      </c>
      <c r="Y278" s="16"/>
      <c r="Z278" s="17" t="s">
        <v>48</v>
      </c>
      <c r="AA278" s="6"/>
      <c r="AB278" s="18" t="n">
        <f aca="false">IF(O278="","",$D$3*PI()*(O278/1000)^2/4*3600)</f>
        <v>0.610725611857856</v>
      </c>
      <c r="AC278" s="19" t="n">
        <f aca="false">IF(OR(U278="",NOT(ISNUMBER(U278))),"",U278*$D$3^2/(2*$H$3))</f>
        <v>0.0585321100917431</v>
      </c>
      <c r="AD278" s="20" t="n">
        <f aca="false">IF(OR(U278="",NOT(ISNUMBER(U278))),"",U278*$D$3^2/2*$F$3)</f>
        <v>574.2</v>
      </c>
      <c r="AE278" s="19" t="str">
        <f aca="false">IF(OR(V278="",NOT(ISNUMBER(V278))),"",V278*$D$3^2/(2*$H$3))</f>
        <v/>
      </c>
      <c r="AF278" s="20" t="str">
        <f aca="false">IF(OR(V278="",NOT(ISNUMBER(V278))),"",V278*$D$3^2/2*$F$3)</f>
        <v/>
      </c>
      <c r="AG278" s="19" t="str">
        <f aca="false">IF(OR(W278="",NOT(ISNUMBER(W278))),"",W278*$D$3^2/(2*$H$3))</f>
        <v/>
      </c>
      <c r="AH278" s="20" t="str">
        <f aca="false">IF(OR(W278="",NOT(ISNUMBER(W278))),"",W278*$D$3^2/2*$F$3)</f>
        <v/>
      </c>
    </row>
    <row r="279" customFormat="false" ht="15" hidden="false" customHeight="false" outlineLevel="0" collapsed="false">
      <c r="A279" s="10" t="s">
        <v>640</v>
      </c>
      <c r="B279" s="11" t="s">
        <v>41</v>
      </c>
      <c r="C279" s="6" t="s">
        <v>381</v>
      </c>
      <c r="D279" s="6" t="s">
        <v>641</v>
      </c>
      <c r="E279" s="6" t="s">
        <v>106</v>
      </c>
      <c r="F279" s="6" t="s">
        <v>107</v>
      </c>
      <c r="G279" s="6" t="n">
        <v>20</v>
      </c>
      <c r="H279" s="6"/>
      <c r="I279" s="6" t="s">
        <v>108</v>
      </c>
      <c r="J279" s="6" t="n">
        <v>10</v>
      </c>
      <c r="K279" s="6" t="s">
        <v>46</v>
      </c>
      <c r="L279" s="6" t="n">
        <v>49</v>
      </c>
      <c r="M279" s="6" t="n">
        <v>11</v>
      </c>
      <c r="N279" s="12" t="n">
        <v>16</v>
      </c>
      <c r="O279" s="12" t="n">
        <v>16</v>
      </c>
      <c r="P279" s="13" t="n">
        <v>13</v>
      </c>
      <c r="Q279" s="12"/>
      <c r="R279" s="14" t="n">
        <v>0.027</v>
      </c>
      <c r="S279" s="6" t="n">
        <v>0</v>
      </c>
      <c r="T279" s="6"/>
      <c r="U279" s="15" t="n">
        <f aca="false">(S279*R279+0.5*(1-(P279/N279)^2)+(1-(P279/O279)^2)^2)*(O279/P279)^4</f>
        <v>0.654914043625924</v>
      </c>
      <c r="V279" s="14"/>
      <c r="W279" s="14"/>
      <c r="X279" s="10" t="s">
        <v>47</v>
      </c>
      <c r="Y279" s="16"/>
      <c r="Z279" s="17" t="s">
        <v>48</v>
      </c>
      <c r="AA279" s="6"/>
      <c r="AB279" s="18" t="n">
        <f aca="false">IF(O279="","",$D$3*PI()*(O279/1000)^2/4*3600)</f>
        <v>1.08573442108063</v>
      </c>
      <c r="AC279" s="19" t="n">
        <f aca="false">IF(OR(U279="",NOT(ISNUMBER(U279))),"",U279*$D$3^2/(2*$H$3))</f>
        <v>0.0751048215167344</v>
      </c>
      <c r="AD279" s="20" t="n">
        <f aca="false">IF(OR(U279="",NOT(ISNUMBER(U279))),"",U279*$D$3^2/2*$F$3)</f>
        <v>736.778299079164</v>
      </c>
      <c r="AE279" s="19" t="str">
        <f aca="false">IF(OR(V279="",NOT(ISNUMBER(V279))),"",V279*$D$3^2/(2*$H$3))</f>
        <v/>
      </c>
      <c r="AF279" s="20" t="str">
        <f aca="false">IF(OR(V279="",NOT(ISNUMBER(V279))),"",V279*$D$3^2/2*$F$3)</f>
        <v/>
      </c>
      <c r="AG279" s="19" t="str">
        <f aca="false">IF(OR(W279="",NOT(ISNUMBER(W279))),"",W279*$D$3^2/(2*$H$3))</f>
        <v/>
      </c>
      <c r="AH279" s="20" t="str">
        <f aca="false">IF(OR(W279="",NOT(ISNUMBER(W279))),"",W279*$D$3^2/2*$F$3)</f>
        <v/>
      </c>
    </row>
    <row r="280" customFormat="false" ht="15" hidden="false" customHeight="false" outlineLevel="0" collapsed="false">
      <c r="A280" s="10" t="s">
        <v>642</v>
      </c>
      <c r="B280" s="11" t="s">
        <v>41</v>
      </c>
      <c r="C280" s="6" t="s">
        <v>381</v>
      </c>
      <c r="D280" s="6" t="s">
        <v>643</v>
      </c>
      <c r="E280" s="6" t="s">
        <v>106</v>
      </c>
      <c r="F280" s="6" t="s">
        <v>107</v>
      </c>
      <c r="G280" s="6" t="n">
        <v>20</v>
      </c>
      <c r="H280" s="6"/>
      <c r="I280" s="6" t="s">
        <v>111</v>
      </c>
      <c r="J280" s="6" t="n">
        <v>10</v>
      </c>
      <c r="K280" s="6" t="s">
        <v>46</v>
      </c>
      <c r="L280" s="6" t="n">
        <v>49</v>
      </c>
      <c r="M280" s="6" t="n">
        <v>11</v>
      </c>
      <c r="N280" s="12" t="n">
        <v>16</v>
      </c>
      <c r="O280" s="12" t="n">
        <v>16</v>
      </c>
      <c r="P280" s="13" t="n">
        <v>13</v>
      </c>
      <c r="Q280" s="12"/>
      <c r="R280" s="14" t="n">
        <v>0.027</v>
      </c>
      <c r="S280" s="6" t="n">
        <v>0</v>
      </c>
      <c r="T280" s="6"/>
      <c r="U280" s="15" t="n">
        <f aca="false">(S280*R280+0.5*(1-(P280/N280)^2)+(1-(P280/O280)^2)^2)*(O280/P280)^4</f>
        <v>0.654914043625924</v>
      </c>
      <c r="V280" s="14"/>
      <c r="W280" s="14"/>
      <c r="X280" s="10" t="s">
        <v>47</v>
      </c>
      <c r="Y280" s="16"/>
      <c r="Z280" s="17" t="s">
        <v>48</v>
      </c>
      <c r="AA280" s="6"/>
      <c r="AB280" s="18" t="n">
        <f aca="false">IF(O280="","",$D$3*PI()*(O280/1000)^2/4*3600)</f>
        <v>1.08573442108063</v>
      </c>
      <c r="AC280" s="19" t="n">
        <f aca="false">IF(OR(U280="",NOT(ISNUMBER(U280))),"",U280*$D$3^2/(2*$H$3))</f>
        <v>0.0751048215167344</v>
      </c>
      <c r="AD280" s="20" t="n">
        <f aca="false">IF(OR(U280="",NOT(ISNUMBER(U280))),"",U280*$D$3^2/2*$F$3)</f>
        <v>736.778299079164</v>
      </c>
      <c r="AE280" s="19" t="str">
        <f aca="false">IF(OR(V280="",NOT(ISNUMBER(V280))),"",V280*$D$3^2/(2*$H$3))</f>
        <v/>
      </c>
      <c r="AF280" s="20" t="str">
        <f aca="false">IF(OR(V280="",NOT(ISNUMBER(V280))),"",V280*$D$3^2/2*$F$3)</f>
        <v/>
      </c>
      <c r="AG280" s="19" t="str">
        <f aca="false">IF(OR(W280="",NOT(ISNUMBER(W280))),"",W280*$D$3^2/(2*$H$3))</f>
        <v/>
      </c>
      <c r="AH280" s="20" t="str">
        <f aca="false">IF(OR(W280="",NOT(ISNUMBER(W280))),"",W280*$D$3^2/2*$F$3)</f>
        <v/>
      </c>
    </row>
    <row r="281" customFormat="false" ht="15" hidden="false" customHeight="false" outlineLevel="0" collapsed="false">
      <c r="A281" s="10" t="s">
        <v>644</v>
      </c>
      <c r="B281" s="11" t="s">
        <v>41</v>
      </c>
      <c r="C281" s="6" t="s">
        <v>381</v>
      </c>
      <c r="D281" s="6" t="s">
        <v>645</v>
      </c>
      <c r="E281" s="6" t="s">
        <v>106</v>
      </c>
      <c r="F281" s="6" t="s">
        <v>107</v>
      </c>
      <c r="G281" s="6" t="n">
        <v>25</v>
      </c>
      <c r="H281" s="6"/>
      <c r="I281" s="6" t="s">
        <v>108</v>
      </c>
      <c r="J281" s="6" t="n">
        <v>10</v>
      </c>
      <c r="K281" s="6" t="s">
        <v>46</v>
      </c>
      <c r="L281" s="6" t="n">
        <v>58</v>
      </c>
      <c r="M281" s="6" t="n">
        <v>12</v>
      </c>
      <c r="N281" s="12" t="n">
        <v>20.4</v>
      </c>
      <c r="O281" s="12" t="n">
        <v>20.4</v>
      </c>
      <c r="P281" s="13" t="n">
        <v>17</v>
      </c>
      <c r="Q281" s="12"/>
      <c r="R281" s="14" t="n">
        <v>0.025</v>
      </c>
      <c r="S281" s="6" t="n">
        <v>0</v>
      </c>
      <c r="T281" s="6"/>
      <c r="U281" s="15" t="n">
        <f aca="false">(S281*R281+0.5*(1-(P281/N281)^2)+(1-(P281/O281)^2)^2)*(O281/P281)^4</f>
        <v>0.5104</v>
      </c>
      <c r="V281" s="14"/>
      <c r="W281" s="14"/>
      <c r="X281" s="10" t="s">
        <v>47</v>
      </c>
      <c r="Y281" s="16"/>
      <c r="Z281" s="17" t="s">
        <v>48</v>
      </c>
      <c r="AA281" s="6"/>
      <c r="AB281" s="18" t="n">
        <f aca="false">IF(O281="","",$D$3*PI()*(O281/1000)^2/4*3600)</f>
        <v>1.7649970182692</v>
      </c>
      <c r="AC281" s="19" t="n">
        <f aca="false">IF(OR(U281="",NOT(ISNUMBER(U281))),"",U281*$D$3^2/(2*$H$3))</f>
        <v>0.0585321100917431</v>
      </c>
      <c r="AD281" s="20" t="n">
        <f aca="false">IF(OR(U281="",NOT(ISNUMBER(U281))),"",U281*$D$3^2/2*$F$3)</f>
        <v>574.2</v>
      </c>
      <c r="AE281" s="19" t="str">
        <f aca="false">IF(OR(V281="",NOT(ISNUMBER(V281))),"",V281*$D$3^2/(2*$H$3))</f>
        <v/>
      </c>
      <c r="AF281" s="20" t="str">
        <f aca="false">IF(OR(V281="",NOT(ISNUMBER(V281))),"",V281*$D$3^2/2*$F$3)</f>
        <v/>
      </c>
      <c r="AG281" s="19" t="str">
        <f aca="false">IF(OR(W281="",NOT(ISNUMBER(W281))),"",W281*$D$3^2/(2*$H$3))</f>
        <v/>
      </c>
      <c r="AH281" s="20" t="str">
        <f aca="false">IF(OR(W281="",NOT(ISNUMBER(W281))),"",W281*$D$3^2/2*$F$3)</f>
        <v/>
      </c>
    </row>
    <row r="282" customFormat="false" ht="15" hidden="false" customHeight="false" outlineLevel="0" collapsed="false">
      <c r="A282" s="10" t="s">
        <v>646</v>
      </c>
      <c r="B282" s="11" t="s">
        <v>41</v>
      </c>
      <c r="C282" s="6" t="s">
        <v>381</v>
      </c>
      <c r="D282" s="6" t="s">
        <v>647</v>
      </c>
      <c r="E282" s="6" t="s">
        <v>106</v>
      </c>
      <c r="F282" s="6" t="s">
        <v>107</v>
      </c>
      <c r="G282" s="6" t="n">
        <v>25</v>
      </c>
      <c r="H282" s="6"/>
      <c r="I282" s="6" t="s">
        <v>111</v>
      </c>
      <c r="J282" s="6" t="n">
        <v>10</v>
      </c>
      <c r="K282" s="6" t="s">
        <v>46</v>
      </c>
      <c r="L282" s="6" t="n">
        <v>58</v>
      </c>
      <c r="M282" s="6" t="n">
        <v>12</v>
      </c>
      <c r="N282" s="12" t="n">
        <v>20.4</v>
      </c>
      <c r="O282" s="12" t="n">
        <v>20.4</v>
      </c>
      <c r="P282" s="13" t="n">
        <v>17</v>
      </c>
      <c r="Q282" s="12"/>
      <c r="R282" s="14" t="n">
        <v>0.025</v>
      </c>
      <c r="S282" s="6" t="n">
        <v>0</v>
      </c>
      <c r="T282" s="6"/>
      <c r="U282" s="15" t="n">
        <f aca="false">(S282*R282+0.5*(1-(P282/N282)^2)+(1-(P282/O282)^2)^2)*(O282/P282)^4</f>
        <v>0.5104</v>
      </c>
      <c r="V282" s="14"/>
      <c r="W282" s="14"/>
      <c r="X282" s="10" t="s">
        <v>47</v>
      </c>
      <c r="Y282" s="16"/>
      <c r="Z282" s="17" t="s">
        <v>48</v>
      </c>
      <c r="AA282" s="6"/>
      <c r="AB282" s="18" t="n">
        <f aca="false">IF(O282="","",$D$3*PI()*(O282/1000)^2/4*3600)</f>
        <v>1.7649970182692</v>
      </c>
      <c r="AC282" s="19" t="n">
        <f aca="false">IF(OR(U282="",NOT(ISNUMBER(U282))),"",U282*$D$3^2/(2*$H$3))</f>
        <v>0.0585321100917431</v>
      </c>
      <c r="AD282" s="20" t="n">
        <f aca="false">IF(OR(U282="",NOT(ISNUMBER(U282))),"",U282*$D$3^2/2*$F$3)</f>
        <v>574.2</v>
      </c>
      <c r="AE282" s="19" t="str">
        <f aca="false">IF(OR(V282="",NOT(ISNUMBER(V282))),"",V282*$D$3^2/(2*$H$3))</f>
        <v/>
      </c>
      <c r="AF282" s="20" t="str">
        <f aca="false">IF(OR(V282="",NOT(ISNUMBER(V282))),"",V282*$D$3^2/2*$F$3)</f>
        <v/>
      </c>
      <c r="AG282" s="19" t="str">
        <f aca="false">IF(OR(W282="",NOT(ISNUMBER(W282))),"",W282*$D$3^2/(2*$H$3))</f>
        <v/>
      </c>
      <c r="AH282" s="20" t="str">
        <f aca="false">IF(OR(W282="",NOT(ISNUMBER(W282))),"",W282*$D$3^2/2*$F$3)</f>
        <v/>
      </c>
    </row>
    <row r="283" customFormat="false" ht="15" hidden="false" customHeight="false" outlineLevel="0" collapsed="false">
      <c r="A283" s="10" t="s">
        <v>648</v>
      </c>
      <c r="B283" s="11" t="s">
        <v>41</v>
      </c>
      <c r="C283" s="6" t="s">
        <v>381</v>
      </c>
      <c r="D283" s="6" t="s">
        <v>649</v>
      </c>
      <c r="E283" s="6" t="s">
        <v>106</v>
      </c>
      <c r="F283" s="6" t="s">
        <v>107</v>
      </c>
      <c r="G283" s="6" t="n">
        <v>25</v>
      </c>
      <c r="H283" s="6"/>
      <c r="I283" s="6" t="s">
        <v>118</v>
      </c>
      <c r="J283" s="6" t="n">
        <v>10</v>
      </c>
      <c r="K283" s="6" t="s">
        <v>46</v>
      </c>
      <c r="L283" s="6" t="n">
        <v>53</v>
      </c>
      <c r="M283" s="6" t="n">
        <v>12</v>
      </c>
      <c r="N283" s="12" t="n">
        <v>20.4</v>
      </c>
      <c r="O283" s="12" t="n">
        <v>20.4</v>
      </c>
      <c r="P283" s="13" t="n">
        <v>17</v>
      </c>
      <c r="Q283" s="12"/>
      <c r="R283" s="14" t="n">
        <v>0.025</v>
      </c>
      <c r="S283" s="6" t="n">
        <v>0</v>
      </c>
      <c r="T283" s="6"/>
      <c r="U283" s="15" t="n">
        <f aca="false">(S283*R283+0.5*(1-(P283/N283)^2)+(1-(P283/O283)^2)^2)*(O283/P283)^4</f>
        <v>0.5104</v>
      </c>
      <c r="V283" s="14"/>
      <c r="W283" s="14"/>
      <c r="X283" s="10" t="s">
        <v>47</v>
      </c>
      <c r="Y283" s="16"/>
      <c r="Z283" s="17" t="s">
        <v>48</v>
      </c>
      <c r="AA283" s="6"/>
      <c r="AB283" s="18" t="n">
        <f aca="false">IF(O283="","",$D$3*PI()*(O283/1000)^2/4*3600)</f>
        <v>1.7649970182692</v>
      </c>
      <c r="AC283" s="19" t="n">
        <f aca="false">IF(OR(U283="",NOT(ISNUMBER(U283))),"",U283*$D$3^2/(2*$H$3))</f>
        <v>0.0585321100917431</v>
      </c>
      <c r="AD283" s="20" t="n">
        <f aca="false">IF(OR(U283="",NOT(ISNUMBER(U283))),"",U283*$D$3^2/2*$F$3)</f>
        <v>574.2</v>
      </c>
      <c r="AE283" s="19" t="str">
        <f aca="false">IF(OR(V283="",NOT(ISNUMBER(V283))),"",V283*$D$3^2/(2*$H$3))</f>
        <v/>
      </c>
      <c r="AF283" s="20" t="str">
        <f aca="false">IF(OR(V283="",NOT(ISNUMBER(V283))),"",V283*$D$3^2/2*$F$3)</f>
        <v/>
      </c>
      <c r="AG283" s="19" t="str">
        <f aca="false">IF(OR(W283="",NOT(ISNUMBER(W283))),"",W283*$D$3^2/(2*$H$3))</f>
        <v/>
      </c>
      <c r="AH283" s="20" t="str">
        <f aca="false">IF(OR(W283="",NOT(ISNUMBER(W283))),"",W283*$D$3^2/2*$F$3)</f>
        <v/>
      </c>
    </row>
    <row r="284" customFormat="false" ht="15" hidden="false" customHeight="false" outlineLevel="0" collapsed="false">
      <c r="A284" s="10" t="s">
        <v>650</v>
      </c>
      <c r="B284" s="11" t="s">
        <v>41</v>
      </c>
      <c r="C284" s="6" t="s">
        <v>381</v>
      </c>
      <c r="D284" s="6" t="s">
        <v>651</v>
      </c>
      <c r="E284" s="6" t="s">
        <v>106</v>
      </c>
      <c r="F284" s="6" t="s">
        <v>107</v>
      </c>
      <c r="G284" s="6" t="n">
        <v>32</v>
      </c>
      <c r="H284" s="6"/>
      <c r="I284" s="6" t="s">
        <v>111</v>
      </c>
      <c r="J284" s="6" t="n">
        <v>10</v>
      </c>
      <c r="K284" s="6" t="s">
        <v>46</v>
      </c>
      <c r="L284" s="6" t="n">
        <v>81</v>
      </c>
      <c r="M284" s="6" t="n">
        <v>15</v>
      </c>
      <c r="N284" s="12" t="n">
        <v>26.2</v>
      </c>
      <c r="O284" s="12" t="n">
        <v>26.2</v>
      </c>
      <c r="P284" s="13" t="n">
        <v>22</v>
      </c>
      <c r="Q284" s="12"/>
      <c r="R284" s="14" t="n">
        <v>0.023</v>
      </c>
      <c r="S284" s="6" t="n">
        <v>0</v>
      </c>
      <c r="T284" s="6"/>
      <c r="U284" s="15" t="n">
        <f aca="false">(S284*R284+0.5*(1-(P284/N284)^2)+(1-(P284/O284)^2)^2)*(O284/P284)^4</f>
        <v>0.471549972679462</v>
      </c>
      <c r="V284" s="14"/>
      <c r="W284" s="14"/>
      <c r="X284" s="10" t="s">
        <v>47</v>
      </c>
      <c r="Y284" s="16"/>
      <c r="Z284" s="17" t="s">
        <v>48</v>
      </c>
      <c r="AA284" s="6"/>
      <c r="AB284" s="18" t="n">
        <f aca="false">IF(O284="","",$D$3*PI()*(O284/1000)^2/4*3600)</f>
        <v>2.91129506252574</v>
      </c>
      <c r="AC284" s="19" t="n">
        <f aca="false">IF(OR(U284="",NOT(ISNUMBER(U284))),"",U284*$D$3^2/(2*$H$3))</f>
        <v>0.054076831729296</v>
      </c>
      <c r="AD284" s="20" t="n">
        <f aca="false">IF(OR(U284="",NOT(ISNUMBER(U284))),"",U284*$D$3^2/2*$F$3)</f>
        <v>530.493719264394</v>
      </c>
      <c r="AE284" s="19" t="str">
        <f aca="false">IF(OR(V284="",NOT(ISNUMBER(V284))),"",V284*$D$3^2/(2*$H$3))</f>
        <v/>
      </c>
      <c r="AF284" s="20" t="str">
        <f aca="false">IF(OR(V284="",NOT(ISNUMBER(V284))),"",V284*$D$3^2/2*$F$3)</f>
        <v/>
      </c>
      <c r="AG284" s="19" t="str">
        <f aca="false">IF(OR(W284="",NOT(ISNUMBER(W284))),"",W284*$D$3^2/(2*$H$3))</f>
        <v/>
      </c>
      <c r="AH284" s="20" t="str">
        <f aca="false">IF(OR(W284="",NOT(ISNUMBER(W284))),"",W284*$D$3^2/2*$F$3)</f>
        <v/>
      </c>
    </row>
    <row r="285" customFormat="false" ht="15" hidden="false" customHeight="false" outlineLevel="0" collapsed="false">
      <c r="A285" s="10" t="s">
        <v>652</v>
      </c>
      <c r="B285" s="11" t="s">
        <v>41</v>
      </c>
      <c r="C285" s="6" t="s">
        <v>381</v>
      </c>
      <c r="D285" s="6" t="s">
        <v>653</v>
      </c>
      <c r="E285" s="6" t="s">
        <v>106</v>
      </c>
      <c r="F285" s="6" t="s">
        <v>107</v>
      </c>
      <c r="G285" s="6" t="n">
        <v>32</v>
      </c>
      <c r="H285" s="6"/>
      <c r="I285" s="6" t="s">
        <v>118</v>
      </c>
      <c r="J285" s="6" t="n">
        <v>10</v>
      </c>
      <c r="K285" s="6" t="s">
        <v>46</v>
      </c>
      <c r="L285" s="6" t="n">
        <v>81</v>
      </c>
      <c r="M285" s="6" t="n">
        <v>15</v>
      </c>
      <c r="N285" s="12" t="n">
        <v>26.2</v>
      </c>
      <c r="O285" s="12" t="n">
        <v>26.2</v>
      </c>
      <c r="P285" s="13" t="n">
        <v>22</v>
      </c>
      <c r="Q285" s="12"/>
      <c r="R285" s="14" t="n">
        <v>0.023</v>
      </c>
      <c r="S285" s="6" t="n">
        <v>0</v>
      </c>
      <c r="T285" s="6"/>
      <c r="U285" s="15" t="n">
        <f aca="false">(S285*R285+0.5*(1-(P285/N285)^2)+(1-(P285/O285)^2)^2)*(O285/P285)^4</f>
        <v>0.471549972679462</v>
      </c>
      <c r="V285" s="14"/>
      <c r="W285" s="14"/>
      <c r="X285" s="10" t="s">
        <v>47</v>
      </c>
      <c r="Y285" s="16"/>
      <c r="Z285" s="17" t="s">
        <v>48</v>
      </c>
      <c r="AA285" s="6"/>
      <c r="AB285" s="18" t="n">
        <f aca="false">IF(O285="","",$D$3*PI()*(O285/1000)^2/4*3600)</f>
        <v>2.91129506252574</v>
      </c>
      <c r="AC285" s="19" t="n">
        <f aca="false">IF(OR(U285="",NOT(ISNUMBER(U285))),"",U285*$D$3^2/(2*$H$3))</f>
        <v>0.054076831729296</v>
      </c>
      <c r="AD285" s="20" t="n">
        <f aca="false">IF(OR(U285="",NOT(ISNUMBER(U285))),"",U285*$D$3^2/2*$F$3)</f>
        <v>530.493719264394</v>
      </c>
      <c r="AE285" s="19" t="str">
        <f aca="false">IF(OR(V285="",NOT(ISNUMBER(V285))),"",V285*$D$3^2/(2*$H$3))</f>
        <v/>
      </c>
      <c r="AF285" s="20" t="str">
        <f aca="false">IF(OR(V285="",NOT(ISNUMBER(V285))),"",V285*$D$3^2/2*$F$3)</f>
        <v/>
      </c>
      <c r="AG285" s="19" t="str">
        <f aca="false">IF(OR(W285="",NOT(ISNUMBER(W285))),"",W285*$D$3^2/(2*$H$3))</f>
        <v/>
      </c>
      <c r="AH285" s="20" t="str">
        <f aca="false">IF(OR(W285="",NOT(ISNUMBER(W285))),"",W285*$D$3^2/2*$F$3)</f>
        <v/>
      </c>
    </row>
    <row r="286" customFormat="false" ht="15" hidden="false" customHeight="false" outlineLevel="0" collapsed="false">
      <c r="A286" s="10" t="s">
        <v>654</v>
      </c>
      <c r="B286" s="11" t="s">
        <v>41</v>
      </c>
      <c r="C286" s="6" t="s">
        <v>381</v>
      </c>
      <c r="D286" s="6" t="s">
        <v>655</v>
      </c>
      <c r="E286" s="6" t="s">
        <v>106</v>
      </c>
      <c r="F286" s="6" t="s">
        <v>107</v>
      </c>
      <c r="G286" s="6" t="n">
        <v>40</v>
      </c>
      <c r="H286" s="6"/>
      <c r="I286" s="6" t="s">
        <v>118</v>
      </c>
      <c r="J286" s="6" t="n">
        <v>10</v>
      </c>
      <c r="K286" s="6" t="s">
        <v>46</v>
      </c>
      <c r="L286" s="6" t="n">
        <v>92</v>
      </c>
      <c r="M286" s="6" t="n">
        <v>17</v>
      </c>
      <c r="N286" s="12" t="n">
        <v>32.6</v>
      </c>
      <c r="O286" s="12" t="n">
        <v>32.6</v>
      </c>
      <c r="P286" s="13" t="n">
        <v>28</v>
      </c>
      <c r="Q286" s="12"/>
      <c r="R286" s="14" t="n">
        <v>0.022</v>
      </c>
      <c r="S286" s="6" t="n">
        <v>0</v>
      </c>
      <c r="T286" s="6"/>
      <c r="U286" s="15" t="n">
        <f aca="false">(S286*R286+0.5*(1-(P286/N286)^2)+(1-(P286/O286)^2)^2)*(O286/P286)^4</f>
        <v>0.367416288785923</v>
      </c>
      <c r="V286" s="14"/>
      <c r="W286" s="14"/>
      <c r="X286" s="10" t="s">
        <v>47</v>
      </c>
      <c r="Y286" s="16"/>
      <c r="Z286" s="17" t="s">
        <v>48</v>
      </c>
      <c r="AA286" s="6"/>
      <c r="AB286" s="18" t="n">
        <f aca="false">IF(O286="","",$D$3*PI()*(O286/1000)^2/4*3600)</f>
        <v>4.50732466151427</v>
      </c>
      <c r="AC286" s="19" t="n">
        <f aca="false">IF(OR(U286="",NOT(ISNUMBER(U286))),"",U286*$D$3^2/(2*$H$3))</f>
        <v>0.0421348955029728</v>
      </c>
      <c r="AD286" s="20" t="n">
        <f aca="false">IF(OR(U286="",NOT(ISNUMBER(U286))),"",U286*$D$3^2/2*$F$3)</f>
        <v>413.343324884163</v>
      </c>
      <c r="AE286" s="19" t="str">
        <f aca="false">IF(OR(V286="",NOT(ISNUMBER(V286))),"",V286*$D$3^2/(2*$H$3))</f>
        <v/>
      </c>
      <c r="AF286" s="20" t="str">
        <f aca="false">IF(OR(V286="",NOT(ISNUMBER(V286))),"",V286*$D$3^2/2*$F$3)</f>
        <v/>
      </c>
      <c r="AG286" s="19" t="str">
        <f aca="false">IF(OR(W286="",NOT(ISNUMBER(W286))),"",W286*$D$3^2/(2*$H$3))</f>
        <v/>
      </c>
      <c r="AH286" s="20" t="str">
        <f aca="false">IF(OR(W286="",NOT(ISNUMBER(W286))),"",W286*$D$3^2/2*$F$3)</f>
        <v/>
      </c>
    </row>
    <row r="287" customFormat="false" ht="15" hidden="false" customHeight="false" outlineLevel="0" collapsed="false">
      <c r="A287" s="10" t="s">
        <v>656</v>
      </c>
      <c r="B287" s="11" t="s">
        <v>41</v>
      </c>
      <c r="C287" s="6" t="s">
        <v>381</v>
      </c>
      <c r="D287" s="6" t="s">
        <v>657</v>
      </c>
      <c r="E287" s="6" t="s">
        <v>106</v>
      </c>
      <c r="F287" s="6" t="s">
        <v>107</v>
      </c>
      <c r="G287" s="6" t="n">
        <v>40</v>
      </c>
      <c r="H287" s="6"/>
      <c r="I287" s="6" t="s">
        <v>127</v>
      </c>
      <c r="J287" s="6" t="n">
        <v>10</v>
      </c>
      <c r="K287" s="6" t="s">
        <v>46</v>
      </c>
      <c r="L287" s="6" t="n">
        <v>92</v>
      </c>
      <c r="M287" s="6" t="n">
        <v>17</v>
      </c>
      <c r="N287" s="12" t="n">
        <v>32.6</v>
      </c>
      <c r="O287" s="12" t="n">
        <v>32.6</v>
      </c>
      <c r="P287" s="13" t="n">
        <v>28</v>
      </c>
      <c r="Q287" s="12"/>
      <c r="R287" s="14" t="n">
        <v>0.022</v>
      </c>
      <c r="S287" s="6" t="n">
        <v>0</v>
      </c>
      <c r="T287" s="6"/>
      <c r="U287" s="15" t="n">
        <f aca="false">(S287*R287+0.5*(1-(P287/N287)^2)+(1-(P287/O287)^2)^2)*(O287/P287)^4</f>
        <v>0.367416288785923</v>
      </c>
      <c r="V287" s="14"/>
      <c r="W287" s="14"/>
      <c r="X287" s="10" t="s">
        <v>47</v>
      </c>
      <c r="Y287" s="16"/>
      <c r="Z287" s="17" t="s">
        <v>48</v>
      </c>
      <c r="AA287" s="6"/>
      <c r="AB287" s="18" t="n">
        <f aca="false">IF(O287="","",$D$3*PI()*(O287/1000)^2/4*3600)</f>
        <v>4.50732466151427</v>
      </c>
      <c r="AC287" s="19" t="n">
        <f aca="false">IF(OR(U287="",NOT(ISNUMBER(U287))),"",U287*$D$3^2/(2*$H$3))</f>
        <v>0.0421348955029728</v>
      </c>
      <c r="AD287" s="20" t="n">
        <f aca="false">IF(OR(U287="",NOT(ISNUMBER(U287))),"",U287*$D$3^2/2*$F$3)</f>
        <v>413.343324884163</v>
      </c>
      <c r="AE287" s="19" t="str">
        <f aca="false">IF(OR(V287="",NOT(ISNUMBER(V287))),"",V287*$D$3^2/(2*$H$3))</f>
        <v/>
      </c>
      <c r="AF287" s="20" t="str">
        <f aca="false">IF(OR(V287="",NOT(ISNUMBER(V287))),"",V287*$D$3^2/2*$F$3)</f>
        <v/>
      </c>
      <c r="AG287" s="19" t="str">
        <f aca="false">IF(OR(W287="",NOT(ISNUMBER(W287))),"",W287*$D$3^2/(2*$H$3))</f>
        <v/>
      </c>
      <c r="AH287" s="20" t="str">
        <f aca="false">IF(OR(W287="",NOT(ISNUMBER(W287))),"",W287*$D$3^2/2*$F$3)</f>
        <v/>
      </c>
    </row>
    <row r="288" customFormat="false" ht="15" hidden="false" customHeight="false" outlineLevel="0" collapsed="false">
      <c r="A288" s="10" t="s">
        <v>658</v>
      </c>
      <c r="B288" s="11" t="s">
        <v>41</v>
      </c>
      <c r="C288" s="6" t="s">
        <v>381</v>
      </c>
      <c r="D288" s="6" t="s">
        <v>659</v>
      </c>
      <c r="E288" s="6" t="s">
        <v>106</v>
      </c>
      <c r="F288" s="6" t="s">
        <v>107</v>
      </c>
      <c r="G288" s="6" t="n">
        <v>50</v>
      </c>
      <c r="H288" s="6"/>
      <c r="I288" s="6" t="s">
        <v>127</v>
      </c>
      <c r="J288" s="6" t="n">
        <v>10</v>
      </c>
      <c r="K288" s="6" t="s">
        <v>46</v>
      </c>
      <c r="L288" s="6" t="n">
        <v>108</v>
      </c>
      <c r="M288" s="6" t="n">
        <v>17</v>
      </c>
      <c r="N288" s="12" t="n">
        <v>40.8</v>
      </c>
      <c r="O288" s="12" t="n">
        <v>40.8</v>
      </c>
      <c r="P288" s="13" t="n">
        <v>35</v>
      </c>
      <c r="Q288" s="12"/>
      <c r="R288" s="14" t="n">
        <v>0.021</v>
      </c>
      <c r="S288" s="6" t="n">
        <v>0</v>
      </c>
      <c r="T288" s="6"/>
      <c r="U288" s="15" t="n">
        <f aca="false">(S288*R288+0.5*(1-(P288/N288)^2)+(1-(P288/O288)^2)^2)*(O288/P288)^4</f>
        <v>0.372647726380675</v>
      </c>
      <c r="V288" s="14"/>
      <c r="W288" s="14"/>
      <c r="X288" s="10" t="s">
        <v>47</v>
      </c>
      <c r="Y288" s="16"/>
      <c r="Z288" s="17" t="s">
        <v>48</v>
      </c>
      <c r="AA288" s="6"/>
      <c r="AB288" s="18" t="n">
        <f aca="false">IF(O288="","",$D$3*PI()*(O288/1000)^2/4*3600)</f>
        <v>7.05998807307681</v>
      </c>
      <c r="AC288" s="19" t="n">
        <f aca="false">IF(OR(U288="",NOT(ISNUMBER(U288))),"",U288*$D$3^2/(2*$H$3))</f>
        <v>0.0427348310069581</v>
      </c>
      <c r="AD288" s="20" t="n">
        <f aca="false">IF(OR(U288="",NOT(ISNUMBER(U288))),"",U288*$D$3^2/2*$F$3)</f>
        <v>419.228692178259</v>
      </c>
      <c r="AE288" s="19" t="str">
        <f aca="false">IF(OR(V288="",NOT(ISNUMBER(V288))),"",V288*$D$3^2/(2*$H$3))</f>
        <v/>
      </c>
      <c r="AF288" s="20" t="str">
        <f aca="false">IF(OR(V288="",NOT(ISNUMBER(V288))),"",V288*$D$3^2/2*$F$3)</f>
        <v/>
      </c>
      <c r="AG288" s="19" t="str">
        <f aca="false">IF(OR(W288="",NOT(ISNUMBER(W288))),"",W288*$D$3^2/(2*$H$3))</f>
        <v/>
      </c>
      <c r="AH288" s="20" t="str">
        <f aca="false">IF(OR(W288="",NOT(ISNUMBER(W288))),"",W288*$D$3^2/2*$F$3)</f>
        <v/>
      </c>
    </row>
    <row r="289" customFormat="false" ht="15" hidden="false" customHeight="false" outlineLevel="0" collapsed="false">
      <c r="A289" s="10" t="s">
        <v>660</v>
      </c>
      <c r="B289" s="11" t="s">
        <v>41</v>
      </c>
      <c r="C289" s="6" t="s">
        <v>381</v>
      </c>
      <c r="D289" s="6" t="s">
        <v>661</v>
      </c>
      <c r="E289" s="6" t="s">
        <v>106</v>
      </c>
      <c r="F289" s="6" t="s">
        <v>107</v>
      </c>
      <c r="G289" s="6" t="n">
        <v>50</v>
      </c>
      <c r="H289" s="6"/>
      <c r="I289" s="6" t="s">
        <v>130</v>
      </c>
      <c r="J289" s="6" t="n">
        <v>10</v>
      </c>
      <c r="K289" s="6" t="s">
        <v>46</v>
      </c>
      <c r="L289" s="6" t="n">
        <v>108</v>
      </c>
      <c r="M289" s="6" t="n">
        <v>17</v>
      </c>
      <c r="N289" s="12" t="n">
        <v>40.8</v>
      </c>
      <c r="O289" s="12" t="n">
        <v>40.8</v>
      </c>
      <c r="P289" s="13" t="n">
        <v>35</v>
      </c>
      <c r="Q289" s="12"/>
      <c r="R289" s="14" t="n">
        <v>0.021</v>
      </c>
      <c r="S289" s="6" t="n">
        <v>0</v>
      </c>
      <c r="T289" s="6"/>
      <c r="U289" s="15" t="n">
        <f aca="false">(S289*R289+0.5*(1-(P289/N289)^2)+(1-(P289/O289)^2)^2)*(O289/P289)^4</f>
        <v>0.372647726380675</v>
      </c>
      <c r="V289" s="14"/>
      <c r="W289" s="14"/>
      <c r="X289" s="10" t="s">
        <v>47</v>
      </c>
      <c r="Y289" s="16"/>
      <c r="Z289" s="17" t="s">
        <v>48</v>
      </c>
      <c r="AA289" s="6"/>
      <c r="AB289" s="18" t="n">
        <f aca="false">IF(O289="","",$D$3*PI()*(O289/1000)^2/4*3600)</f>
        <v>7.05998807307681</v>
      </c>
      <c r="AC289" s="19" t="n">
        <f aca="false">IF(OR(U289="",NOT(ISNUMBER(U289))),"",U289*$D$3^2/(2*$H$3))</f>
        <v>0.0427348310069581</v>
      </c>
      <c r="AD289" s="20" t="n">
        <f aca="false">IF(OR(U289="",NOT(ISNUMBER(U289))),"",U289*$D$3^2/2*$F$3)</f>
        <v>419.228692178259</v>
      </c>
      <c r="AE289" s="19" t="str">
        <f aca="false">IF(OR(V289="",NOT(ISNUMBER(V289))),"",V289*$D$3^2/(2*$H$3))</f>
        <v/>
      </c>
      <c r="AF289" s="20" t="str">
        <f aca="false">IF(OR(V289="",NOT(ISNUMBER(V289))),"",V289*$D$3^2/2*$F$3)</f>
        <v/>
      </c>
      <c r="AG289" s="19" t="str">
        <f aca="false">IF(OR(W289="",NOT(ISNUMBER(W289))),"",W289*$D$3^2/(2*$H$3))</f>
        <v/>
      </c>
      <c r="AH289" s="20" t="str">
        <f aca="false">IF(OR(W289="",NOT(ISNUMBER(W289))),"",W289*$D$3^2/2*$F$3)</f>
        <v/>
      </c>
    </row>
    <row r="290" customFormat="false" ht="15" hidden="false" customHeight="false" outlineLevel="0" collapsed="false">
      <c r="A290" s="10" t="s">
        <v>662</v>
      </c>
      <c r="B290" s="11" t="s">
        <v>41</v>
      </c>
      <c r="C290" s="6" t="s">
        <v>381</v>
      </c>
      <c r="D290" s="6" t="s">
        <v>663</v>
      </c>
      <c r="E290" s="6" t="s">
        <v>106</v>
      </c>
      <c r="F290" s="6" t="s">
        <v>107</v>
      </c>
      <c r="G290" s="6" t="n">
        <v>50</v>
      </c>
      <c r="H290" s="6"/>
      <c r="I290" s="6" t="s">
        <v>133</v>
      </c>
      <c r="J290" s="6" t="n">
        <v>10</v>
      </c>
      <c r="K290" s="6" t="s">
        <v>46</v>
      </c>
      <c r="L290" s="6" t="n">
        <v>108</v>
      </c>
      <c r="M290" s="6" t="n">
        <v>17</v>
      </c>
      <c r="N290" s="12" t="n">
        <v>40.8</v>
      </c>
      <c r="O290" s="12" t="n">
        <v>40.8</v>
      </c>
      <c r="P290" s="13" t="n">
        <v>35</v>
      </c>
      <c r="Q290" s="12"/>
      <c r="R290" s="14" t="n">
        <v>0.021</v>
      </c>
      <c r="S290" s="6" t="n">
        <v>0</v>
      </c>
      <c r="T290" s="6"/>
      <c r="U290" s="15" t="n">
        <f aca="false">(S290*R290+0.5*(1-(P290/N290)^2)+(1-(P290/O290)^2)^2)*(O290/P290)^4</f>
        <v>0.372647726380675</v>
      </c>
      <c r="V290" s="14"/>
      <c r="W290" s="14"/>
      <c r="X290" s="10" t="s">
        <v>47</v>
      </c>
      <c r="Y290" s="16"/>
      <c r="Z290" s="17" t="s">
        <v>48</v>
      </c>
      <c r="AA290" s="6"/>
      <c r="AB290" s="18" t="n">
        <f aca="false">IF(O290="","",$D$3*PI()*(O290/1000)^2/4*3600)</f>
        <v>7.05998807307681</v>
      </c>
      <c r="AC290" s="19" t="n">
        <f aca="false">IF(OR(U290="",NOT(ISNUMBER(U290))),"",U290*$D$3^2/(2*$H$3))</f>
        <v>0.0427348310069581</v>
      </c>
      <c r="AD290" s="20" t="n">
        <f aca="false">IF(OR(U290="",NOT(ISNUMBER(U290))),"",U290*$D$3^2/2*$F$3)</f>
        <v>419.228692178259</v>
      </c>
      <c r="AE290" s="19" t="str">
        <f aca="false">IF(OR(V290="",NOT(ISNUMBER(V290))),"",V290*$D$3^2/(2*$H$3))</f>
        <v/>
      </c>
      <c r="AF290" s="20" t="str">
        <f aca="false">IF(OR(V290="",NOT(ISNUMBER(V290))),"",V290*$D$3^2/2*$F$3)</f>
        <v/>
      </c>
      <c r="AG290" s="19" t="str">
        <f aca="false">IF(OR(W290="",NOT(ISNUMBER(W290))),"",W290*$D$3^2/(2*$H$3))</f>
        <v/>
      </c>
      <c r="AH290" s="20" t="str">
        <f aca="false">IF(OR(W290="",NOT(ISNUMBER(W290))),"",W290*$D$3^2/2*$F$3)</f>
        <v/>
      </c>
    </row>
    <row r="291" customFormat="false" ht="15" hidden="false" customHeight="false" outlineLevel="0" collapsed="false">
      <c r="A291" s="10" t="s">
        <v>664</v>
      </c>
      <c r="B291" s="11" t="s">
        <v>41</v>
      </c>
      <c r="C291" s="6" t="s">
        <v>381</v>
      </c>
      <c r="D291" s="6" t="s">
        <v>665</v>
      </c>
      <c r="E291" s="6" t="s">
        <v>106</v>
      </c>
      <c r="F291" s="6" t="s">
        <v>107</v>
      </c>
      <c r="G291" s="6" t="n">
        <v>63</v>
      </c>
      <c r="H291" s="6"/>
      <c r="I291" s="6" t="s">
        <v>130</v>
      </c>
      <c r="J291" s="6" t="n">
        <v>10</v>
      </c>
      <c r="K291" s="6" t="s">
        <v>46</v>
      </c>
      <c r="L291" s="6" t="n">
        <v>125</v>
      </c>
      <c r="M291" s="6" t="n">
        <v>19</v>
      </c>
      <c r="N291" s="12" t="n">
        <v>51.4</v>
      </c>
      <c r="O291" s="12" t="n">
        <v>51.4</v>
      </c>
      <c r="P291" s="13" t="n">
        <v>45</v>
      </c>
      <c r="Q291" s="12"/>
      <c r="R291" s="14" t="n">
        <v>0.019</v>
      </c>
      <c r="S291" s="6" t="n">
        <v>0</v>
      </c>
      <c r="T291" s="6"/>
      <c r="U291" s="15" t="n">
        <f aca="false">(S291*R291+0.5*(1-(P291/N291)^2)+(1-(P291/O291)^2)^2)*(O291/P291)^4</f>
        <v>0.291572982752629</v>
      </c>
      <c r="V291" s="14"/>
      <c r="W291" s="14"/>
      <c r="X291" s="10" t="s">
        <v>47</v>
      </c>
      <c r="Y291" s="16"/>
      <c r="Z291" s="17" t="s">
        <v>48</v>
      </c>
      <c r="AA291" s="6"/>
      <c r="AB291" s="18" t="n">
        <f aca="false">IF(O291="","",$D$3*PI()*(O291/1000)^2/4*3600)</f>
        <v>11.2049488715554</v>
      </c>
      <c r="AC291" s="19" t="n">
        <f aca="false">IF(OR(U291="",NOT(ISNUMBER(U291))),"",U291*$D$3^2/(2*$H$3))</f>
        <v>0.0334372686642924</v>
      </c>
      <c r="AD291" s="20" t="n">
        <f aca="false">IF(OR(U291="",NOT(ISNUMBER(U291))),"",U291*$D$3^2/2*$F$3)</f>
        <v>328.019605596708</v>
      </c>
      <c r="AE291" s="19" t="str">
        <f aca="false">IF(OR(V291="",NOT(ISNUMBER(V291))),"",V291*$D$3^2/(2*$H$3))</f>
        <v/>
      </c>
      <c r="AF291" s="20" t="str">
        <f aca="false">IF(OR(V291="",NOT(ISNUMBER(V291))),"",V291*$D$3^2/2*$F$3)</f>
        <v/>
      </c>
      <c r="AG291" s="19" t="str">
        <f aca="false">IF(OR(W291="",NOT(ISNUMBER(W291))),"",W291*$D$3^2/(2*$H$3))</f>
        <v/>
      </c>
      <c r="AH291" s="20" t="str">
        <f aca="false">IF(OR(W291="",NOT(ISNUMBER(W291))),"",W291*$D$3^2/2*$F$3)</f>
        <v/>
      </c>
    </row>
    <row r="292" customFormat="false" ht="15" hidden="false" customHeight="false" outlineLevel="0" collapsed="false">
      <c r="A292" s="10" t="s">
        <v>666</v>
      </c>
      <c r="B292" s="11" t="s">
        <v>41</v>
      </c>
      <c r="C292" s="6" t="s">
        <v>381</v>
      </c>
      <c r="D292" s="6" t="s">
        <v>667</v>
      </c>
      <c r="E292" s="6" t="s">
        <v>106</v>
      </c>
      <c r="F292" s="6" t="s">
        <v>107</v>
      </c>
      <c r="G292" s="6" t="n">
        <v>63</v>
      </c>
      <c r="H292" s="6"/>
      <c r="I292" s="6" t="s">
        <v>133</v>
      </c>
      <c r="J292" s="6" t="n">
        <v>10</v>
      </c>
      <c r="K292" s="6" t="s">
        <v>46</v>
      </c>
      <c r="L292" s="6" t="n">
        <v>125</v>
      </c>
      <c r="M292" s="6" t="n">
        <v>19</v>
      </c>
      <c r="N292" s="12" t="n">
        <v>51.4</v>
      </c>
      <c r="O292" s="12" t="n">
        <v>51.4</v>
      </c>
      <c r="P292" s="13" t="n">
        <v>45</v>
      </c>
      <c r="Q292" s="12"/>
      <c r="R292" s="14" t="n">
        <v>0.019</v>
      </c>
      <c r="S292" s="6" t="n">
        <v>0</v>
      </c>
      <c r="T292" s="6"/>
      <c r="U292" s="15" t="n">
        <f aca="false">(S292*R292+0.5*(1-(P292/N292)^2)+(1-(P292/O292)^2)^2)*(O292/P292)^4</f>
        <v>0.291572982752629</v>
      </c>
      <c r="V292" s="14"/>
      <c r="W292" s="14"/>
      <c r="X292" s="10" t="s">
        <v>47</v>
      </c>
      <c r="Y292" s="16"/>
      <c r="Z292" s="17" t="s">
        <v>48</v>
      </c>
      <c r="AA292" s="6"/>
      <c r="AB292" s="18" t="n">
        <f aca="false">IF(O292="","",$D$3*PI()*(O292/1000)^2/4*3600)</f>
        <v>11.2049488715554</v>
      </c>
      <c r="AC292" s="19" t="n">
        <f aca="false">IF(OR(U292="",NOT(ISNUMBER(U292))),"",U292*$D$3^2/(2*$H$3))</f>
        <v>0.0334372686642924</v>
      </c>
      <c r="AD292" s="20" t="n">
        <f aca="false">IF(OR(U292="",NOT(ISNUMBER(U292))),"",U292*$D$3^2/2*$F$3)</f>
        <v>328.019605596708</v>
      </c>
      <c r="AE292" s="19" t="str">
        <f aca="false">IF(OR(V292="",NOT(ISNUMBER(V292))),"",V292*$D$3^2/(2*$H$3))</f>
        <v/>
      </c>
      <c r="AF292" s="20" t="str">
        <f aca="false">IF(OR(V292="",NOT(ISNUMBER(V292))),"",V292*$D$3^2/2*$F$3)</f>
        <v/>
      </c>
      <c r="AG292" s="19" t="str">
        <f aca="false">IF(OR(W292="",NOT(ISNUMBER(W292))),"",W292*$D$3^2/(2*$H$3))</f>
        <v/>
      </c>
      <c r="AH292" s="20" t="str">
        <f aca="false">IF(OR(W292="",NOT(ISNUMBER(W292))),"",W292*$D$3^2/2*$F$3)</f>
        <v/>
      </c>
    </row>
    <row r="293" customFormat="false" ht="15" hidden="false" customHeight="false" outlineLevel="0" collapsed="false">
      <c r="A293" s="10" t="s">
        <v>668</v>
      </c>
      <c r="B293" s="11" t="s">
        <v>41</v>
      </c>
      <c r="C293" s="6" t="s">
        <v>381</v>
      </c>
      <c r="D293" s="6" t="s">
        <v>669</v>
      </c>
      <c r="E293" s="6" t="s">
        <v>106</v>
      </c>
      <c r="F293" s="6" t="s">
        <v>107</v>
      </c>
      <c r="G293" s="6" t="n">
        <v>75</v>
      </c>
      <c r="H293" s="6"/>
      <c r="I293" s="6" t="s">
        <v>133</v>
      </c>
      <c r="J293" s="6" t="n">
        <v>10</v>
      </c>
      <c r="K293" s="6" t="s">
        <v>46</v>
      </c>
      <c r="L293" s="6" t="n">
        <v>140</v>
      </c>
      <c r="M293" s="6" t="n">
        <v>39</v>
      </c>
      <c r="N293" s="12" t="n">
        <v>61.4</v>
      </c>
      <c r="O293" s="12" t="n">
        <v>61.4</v>
      </c>
      <c r="P293" s="13" t="n">
        <v>54</v>
      </c>
      <c r="Q293" s="12"/>
      <c r="R293" s="14" t="n">
        <v>0.018</v>
      </c>
      <c r="S293" s="6" t="n">
        <v>0</v>
      </c>
      <c r="T293" s="6"/>
      <c r="U293" s="15" t="n">
        <f aca="false">(S293*R293+0.5*(1-(P293/N293)^2)+(1-(P293/O293)^2)^2)*(O293/P293)^4</f>
        <v>0.275071127651047</v>
      </c>
      <c r="V293" s="14"/>
      <c r="W293" s="14"/>
      <c r="X293" s="10" t="s">
        <v>47</v>
      </c>
      <c r="Y293" s="16"/>
      <c r="Z293" s="17" t="s">
        <v>48</v>
      </c>
      <c r="AA293" s="6"/>
      <c r="AB293" s="18" t="n">
        <f aca="false">IF(O293="","",$D$3*PI()*(O293/1000)^2/4*3600)</f>
        <v>15.988966164442</v>
      </c>
      <c r="AC293" s="19" t="n">
        <f aca="false">IF(OR(U293="",NOT(ISNUMBER(U293))),"",U293*$D$3^2/(2*$H$3))</f>
        <v>0.0315448540884228</v>
      </c>
      <c r="AD293" s="20" t="n">
        <f aca="false">IF(OR(U293="",NOT(ISNUMBER(U293))),"",U293*$D$3^2/2*$F$3)</f>
        <v>309.455018607428</v>
      </c>
      <c r="AE293" s="19" t="str">
        <f aca="false">IF(OR(V293="",NOT(ISNUMBER(V293))),"",V293*$D$3^2/(2*$H$3))</f>
        <v/>
      </c>
      <c r="AF293" s="20" t="str">
        <f aca="false">IF(OR(V293="",NOT(ISNUMBER(V293))),"",V293*$D$3^2/2*$F$3)</f>
        <v/>
      </c>
      <c r="AG293" s="19" t="str">
        <f aca="false">IF(OR(W293="",NOT(ISNUMBER(W293))),"",W293*$D$3^2/(2*$H$3))</f>
        <v/>
      </c>
      <c r="AH293" s="20" t="str">
        <f aca="false">IF(OR(W293="",NOT(ISNUMBER(W293))),"",W293*$D$3^2/2*$F$3)</f>
        <v/>
      </c>
    </row>
    <row r="294" customFormat="false" ht="15" hidden="false" customHeight="false" outlineLevel="0" collapsed="false">
      <c r="A294" s="10" t="s">
        <v>670</v>
      </c>
      <c r="B294" s="11" t="s">
        <v>41</v>
      </c>
      <c r="C294" s="6" t="s">
        <v>381</v>
      </c>
      <c r="D294" s="6" t="s">
        <v>671</v>
      </c>
      <c r="E294" s="6" t="s">
        <v>106</v>
      </c>
      <c r="F294" s="6" t="s">
        <v>107</v>
      </c>
      <c r="G294" s="6" t="n">
        <v>75</v>
      </c>
      <c r="H294" s="6"/>
      <c r="I294" s="6" t="s">
        <v>136</v>
      </c>
      <c r="J294" s="6" t="n">
        <v>10</v>
      </c>
      <c r="K294" s="6" t="s">
        <v>46</v>
      </c>
      <c r="L294" s="6" t="n">
        <v>140</v>
      </c>
      <c r="M294" s="6" t="n">
        <v>39</v>
      </c>
      <c r="N294" s="12" t="n">
        <v>61.4</v>
      </c>
      <c r="O294" s="12" t="n">
        <v>61.4</v>
      </c>
      <c r="P294" s="13" t="n">
        <v>54</v>
      </c>
      <c r="Q294" s="12"/>
      <c r="R294" s="14" t="n">
        <v>0.018</v>
      </c>
      <c r="S294" s="6" t="n">
        <v>0</v>
      </c>
      <c r="T294" s="6"/>
      <c r="U294" s="15" t="n">
        <f aca="false">(S294*R294+0.5*(1-(P294/N294)^2)+(1-(P294/O294)^2)^2)*(O294/P294)^4</f>
        <v>0.275071127651047</v>
      </c>
      <c r="V294" s="14"/>
      <c r="W294" s="14"/>
      <c r="X294" s="10" t="s">
        <v>47</v>
      </c>
      <c r="Y294" s="16"/>
      <c r="Z294" s="17" t="s">
        <v>48</v>
      </c>
      <c r="AA294" s="6"/>
      <c r="AB294" s="18" t="n">
        <f aca="false">IF(O294="","",$D$3*PI()*(O294/1000)^2/4*3600)</f>
        <v>15.988966164442</v>
      </c>
      <c r="AC294" s="19" t="n">
        <f aca="false">IF(OR(U294="",NOT(ISNUMBER(U294))),"",U294*$D$3^2/(2*$H$3))</f>
        <v>0.0315448540884228</v>
      </c>
      <c r="AD294" s="20" t="n">
        <f aca="false">IF(OR(U294="",NOT(ISNUMBER(U294))),"",U294*$D$3^2/2*$F$3)</f>
        <v>309.455018607428</v>
      </c>
      <c r="AE294" s="19" t="str">
        <f aca="false">IF(OR(V294="",NOT(ISNUMBER(V294))),"",V294*$D$3^2/(2*$H$3))</f>
        <v/>
      </c>
      <c r="AF294" s="20" t="str">
        <f aca="false">IF(OR(V294="",NOT(ISNUMBER(V294))),"",V294*$D$3^2/2*$F$3)</f>
        <v/>
      </c>
      <c r="AG294" s="19" t="str">
        <f aca="false">IF(OR(W294="",NOT(ISNUMBER(W294))),"",W294*$D$3^2/(2*$H$3))</f>
        <v/>
      </c>
      <c r="AH294" s="20" t="str">
        <f aca="false">IF(OR(W294="",NOT(ISNUMBER(W294))),"",W294*$D$3^2/2*$F$3)</f>
        <v/>
      </c>
    </row>
    <row r="295" customFormat="false" ht="15" hidden="false" customHeight="false" outlineLevel="0" collapsed="false">
      <c r="A295" s="10" t="s">
        <v>672</v>
      </c>
      <c r="B295" s="11" t="s">
        <v>41</v>
      </c>
      <c r="C295" s="6" t="s">
        <v>381</v>
      </c>
      <c r="D295" s="6" t="s">
        <v>673</v>
      </c>
      <c r="E295" s="6" t="s">
        <v>106</v>
      </c>
      <c r="F295" s="6" t="s">
        <v>107</v>
      </c>
      <c r="G295" s="6" t="n">
        <v>75</v>
      </c>
      <c r="H295" s="6"/>
      <c r="I295" s="6" t="s">
        <v>139</v>
      </c>
      <c r="J295" s="6" t="n">
        <v>10</v>
      </c>
      <c r="K295" s="6" t="s">
        <v>46</v>
      </c>
      <c r="L295" s="6" t="n">
        <v>140</v>
      </c>
      <c r="M295" s="6" t="n">
        <v>39</v>
      </c>
      <c r="N295" s="12" t="n">
        <v>61.4</v>
      </c>
      <c r="O295" s="12" t="n">
        <v>61.4</v>
      </c>
      <c r="P295" s="13" t="n">
        <v>54</v>
      </c>
      <c r="Q295" s="12"/>
      <c r="R295" s="14" t="n">
        <v>0.018</v>
      </c>
      <c r="S295" s="6" t="n">
        <v>0</v>
      </c>
      <c r="T295" s="6"/>
      <c r="U295" s="15" t="n">
        <f aca="false">(S295*R295+0.5*(1-(P295/N295)^2)+(1-(P295/O295)^2)^2)*(O295/P295)^4</f>
        <v>0.275071127651047</v>
      </c>
      <c r="V295" s="14"/>
      <c r="W295" s="14"/>
      <c r="X295" s="10" t="s">
        <v>47</v>
      </c>
      <c r="Y295" s="16"/>
      <c r="Z295" s="17" t="s">
        <v>48</v>
      </c>
      <c r="AA295" s="6"/>
      <c r="AB295" s="18" t="n">
        <f aca="false">IF(O295="","",$D$3*PI()*(O295/1000)^2/4*3600)</f>
        <v>15.988966164442</v>
      </c>
      <c r="AC295" s="19" t="n">
        <f aca="false">IF(OR(U295="",NOT(ISNUMBER(U295))),"",U295*$D$3^2/(2*$H$3))</f>
        <v>0.0315448540884228</v>
      </c>
      <c r="AD295" s="20" t="n">
        <f aca="false">IF(OR(U295="",NOT(ISNUMBER(U295))),"",U295*$D$3^2/2*$F$3)</f>
        <v>309.455018607428</v>
      </c>
      <c r="AE295" s="19" t="str">
        <f aca="false">IF(OR(V295="",NOT(ISNUMBER(V295))),"",V295*$D$3^2/(2*$H$3))</f>
        <v/>
      </c>
      <c r="AF295" s="20" t="str">
        <f aca="false">IF(OR(V295="",NOT(ISNUMBER(V295))),"",V295*$D$3^2/2*$F$3)</f>
        <v/>
      </c>
      <c r="AG295" s="19" t="str">
        <f aca="false">IF(OR(W295="",NOT(ISNUMBER(W295))),"",W295*$D$3^2/(2*$H$3))</f>
        <v/>
      </c>
      <c r="AH295" s="20" t="str">
        <f aca="false">IF(OR(W295="",NOT(ISNUMBER(W295))),"",W295*$D$3^2/2*$F$3)</f>
        <v/>
      </c>
    </row>
    <row r="296" customFormat="false" ht="15" hidden="false" customHeight="false" outlineLevel="0" collapsed="false">
      <c r="A296" s="10" t="s">
        <v>674</v>
      </c>
      <c r="B296" s="11" t="s">
        <v>41</v>
      </c>
      <c r="C296" s="6" t="s">
        <v>381</v>
      </c>
      <c r="D296" s="6" t="s">
        <v>675</v>
      </c>
      <c r="E296" s="6" t="s">
        <v>106</v>
      </c>
      <c r="F296" s="6" t="s">
        <v>107</v>
      </c>
      <c r="G296" s="6" t="n">
        <v>90</v>
      </c>
      <c r="H296" s="6"/>
      <c r="I296" s="6" t="s">
        <v>133</v>
      </c>
      <c r="J296" s="6" t="n">
        <v>10</v>
      </c>
      <c r="K296" s="6" t="s">
        <v>46</v>
      </c>
      <c r="L296" s="6" t="n">
        <v>148</v>
      </c>
      <c r="M296" s="6" t="n">
        <v>8</v>
      </c>
      <c r="N296" s="12" t="n">
        <v>73.6</v>
      </c>
      <c r="O296" s="12" t="n">
        <v>73.6</v>
      </c>
      <c r="P296" s="13" t="n">
        <v>66</v>
      </c>
      <c r="Q296" s="12"/>
      <c r="R296" s="14" t="n">
        <v>0.018</v>
      </c>
      <c r="S296" s="6" t="n">
        <v>0</v>
      </c>
      <c r="T296" s="6"/>
      <c r="U296" s="15" t="n">
        <f aca="false">(S296*R296+0.5*(1-(P296/N296)^2)+(1-(P296/O296)^2)^2)*(O296/P296)^4</f>
        <v>0.210765781531822</v>
      </c>
      <c r="V296" s="14"/>
      <c r="W296" s="14"/>
      <c r="X296" s="10" t="s">
        <v>47</v>
      </c>
      <c r="Y296" s="16"/>
      <c r="Z296" s="17" t="s">
        <v>48</v>
      </c>
      <c r="AA296" s="6"/>
      <c r="AB296" s="18" t="n">
        <f aca="false">IF(O296="","",$D$3*PI()*(O296/1000)^2/4*3600)</f>
        <v>22.9741403500662</v>
      </c>
      <c r="AC296" s="19" t="n">
        <f aca="false">IF(OR(U296="",NOT(ISNUMBER(U296))),"",U296*$D$3^2/(2*$H$3))</f>
        <v>0.0241703877903465</v>
      </c>
      <c r="AD296" s="20" t="n">
        <f aca="false">IF(OR(U296="",NOT(ISNUMBER(U296))),"",U296*$D$3^2/2*$F$3)</f>
        <v>237.1115042233</v>
      </c>
      <c r="AE296" s="19" t="str">
        <f aca="false">IF(OR(V296="",NOT(ISNUMBER(V296))),"",V296*$D$3^2/(2*$H$3))</f>
        <v/>
      </c>
      <c r="AF296" s="20" t="str">
        <f aca="false">IF(OR(V296="",NOT(ISNUMBER(V296))),"",V296*$D$3^2/2*$F$3)</f>
        <v/>
      </c>
      <c r="AG296" s="19" t="str">
        <f aca="false">IF(OR(W296="",NOT(ISNUMBER(W296))),"",W296*$D$3^2/(2*$H$3))</f>
        <v/>
      </c>
      <c r="AH296" s="20" t="str">
        <f aca="false">IF(OR(W296="",NOT(ISNUMBER(W296))),"",W296*$D$3^2/2*$F$3)</f>
        <v/>
      </c>
    </row>
    <row r="297" customFormat="false" ht="15" hidden="false" customHeight="false" outlineLevel="0" collapsed="false">
      <c r="A297" s="10" t="s">
        <v>676</v>
      </c>
      <c r="B297" s="11" t="s">
        <v>41</v>
      </c>
      <c r="C297" s="6" t="s">
        <v>381</v>
      </c>
      <c r="D297" s="6" t="s">
        <v>677</v>
      </c>
      <c r="E297" s="6" t="s">
        <v>106</v>
      </c>
      <c r="F297" s="6" t="s">
        <v>107</v>
      </c>
      <c r="G297" s="6" t="n">
        <v>90</v>
      </c>
      <c r="H297" s="6"/>
      <c r="I297" s="6" t="s">
        <v>136</v>
      </c>
      <c r="J297" s="6" t="n">
        <v>10</v>
      </c>
      <c r="K297" s="6" t="s">
        <v>46</v>
      </c>
      <c r="L297" s="6" t="n">
        <v>148</v>
      </c>
      <c r="M297" s="6" t="n">
        <v>10</v>
      </c>
      <c r="N297" s="12" t="n">
        <v>73.6</v>
      </c>
      <c r="O297" s="12" t="n">
        <v>73.6</v>
      </c>
      <c r="P297" s="13" t="n">
        <v>66</v>
      </c>
      <c r="Q297" s="12"/>
      <c r="R297" s="14" t="n">
        <v>0.018</v>
      </c>
      <c r="S297" s="6" t="n">
        <v>0</v>
      </c>
      <c r="T297" s="6"/>
      <c r="U297" s="15" t="n">
        <f aca="false">(S297*R297+0.5*(1-(P297/N297)^2)+(1-(P297/O297)^2)^2)*(O297/P297)^4</f>
        <v>0.210765781531822</v>
      </c>
      <c r="V297" s="14"/>
      <c r="W297" s="14"/>
      <c r="X297" s="10" t="s">
        <v>47</v>
      </c>
      <c r="Y297" s="16"/>
      <c r="Z297" s="17" t="s">
        <v>48</v>
      </c>
      <c r="AA297" s="6"/>
      <c r="AB297" s="18" t="n">
        <f aca="false">IF(O297="","",$D$3*PI()*(O297/1000)^2/4*3600)</f>
        <v>22.9741403500662</v>
      </c>
      <c r="AC297" s="19" t="n">
        <f aca="false">IF(OR(U297="",NOT(ISNUMBER(U297))),"",U297*$D$3^2/(2*$H$3))</f>
        <v>0.0241703877903465</v>
      </c>
      <c r="AD297" s="20" t="n">
        <f aca="false">IF(OR(U297="",NOT(ISNUMBER(U297))),"",U297*$D$3^2/2*$F$3)</f>
        <v>237.1115042233</v>
      </c>
      <c r="AE297" s="19" t="str">
        <f aca="false">IF(OR(V297="",NOT(ISNUMBER(V297))),"",V297*$D$3^2/(2*$H$3))</f>
        <v/>
      </c>
      <c r="AF297" s="20" t="str">
        <f aca="false">IF(OR(V297="",NOT(ISNUMBER(V297))),"",V297*$D$3^2/2*$F$3)</f>
        <v/>
      </c>
      <c r="AG297" s="19" t="str">
        <f aca="false">IF(OR(W297="",NOT(ISNUMBER(W297))),"",W297*$D$3^2/(2*$H$3))</f>
        <v/>
      </c>
      <c r="AH297" s="20" t="str">
        <f aca="false">IF(OR(W297="",NOT(ISNUMBER(W297))),"",W297*$D$3^2/2*$F$3)</f>
        <v/>
      </c>
    </row>
    <row r="298" customFormat="false" ht="15" hidden="false" customHeight="false" outlineLevel="0" collapsed="false">
      <c r="A298" s="10" t="s">
        <v>678</v>
      </c>
      <c r="B298" s="11" t="s">
        <v>41</v>
      </c>
      <c r="C298" s="6" t="s">
        <v>381</v>
      </c>
      <c r="D298" s="6" t="s">
        <v>679</v>
      </c>
      <c r="E298" s="6" t="s">
        <v>106</v>
      </c>
      <c r="F298" s="6" t="s">
        <v>107</v>
      </c>
      <c r="G298" s="6" t="n">
        <v>90</v>
      </c>
      <c r="H298" s="6"/>
      <c r="I298" s="6" t="s">
        <v>139</v>
      </c>
      <c r="J298" s="6" t="n">
        <v>10</v>
      </c>
      <c r="K298" s="6" t="s">
        <v>46</v>
      </c>
      <c r="L298" s="6" t="n">
        <v>148</v>
      </c>
      <c r="M298" s="6" t="n">
        <v>8</v>
      </c>
      <c r="N298" s="12" t="n">
        <v>73.6</v>
      </c>
      <c r="O298" s="12" t="n">
        <v>73.6</v>
      </c>
      <c r="P298" s="13" t="n">
        <v>66</v>
      </c>
      <c r="Q298" s="12"/>
      <c r="R298" s="14" t="n">
        <v>0.018</v>
      </c>
      <c r="S298" s="6" t="n">
        <v>0</v>
      </c>
      <c r="T298" s="6"/>
      <c r="U298" s="15" t="n">
        <f aca="false">(S298*R298+0.5*(1-(P298/N298)^2)+(1-(P298/O298)^2)^2)*(O298/P298)^4</f>
        <v>0.210765781531822</v>
      </c>
      <c r="V298" s="14"/>
      <c r="W298" s="14"/>
      <c r="X298" s="10" t="s">
        <v>47</v>
      </c>
      <c r="Y298" s="16"/>
      <c r="Z298" s="17" t="s">
        <v>48</v>
      </c>
      <c r="AA298" s="6"/>
      <c r="AB298" s="18" t="n">
        <f aca="false">IF(O298="","",$D$3*PI()*(O298/1000)^2/4*3600)</f>
        <v>22.9741403500662</v>
      </c>
      <c r="AC298" s="19" t="n">
        <f aca="false">IF(OR(U298="",NOT(ISNUMBER(U298))),"",U298*$D$3^2/(2*$H$3))</f>
        <v>0.0241703877903465</v>
      </c>
      <c r="AD298" s="20" t="n">
        <f aca="false">IF(OR(U298="",NOT(ISNUMBER(U298))),"",U298*$D$3^2/2*$F$3)</f>
        <v>237.1115042233</v>
      </c>
      <c r="AE298" s="19" t="str">
        <f aca="false">IF(OR(V298="",NOT(ISNUMBER(V298))),"",V298*$D$3^2/(2*$H$3))</f>
        <v/>
      </c>
      <c r="AF298" s="20" t="str">
        <f aca="false">IF(OR(V298="",NOT(ISNUMBER(V298))),"",V298*$D$3^2/2*$F$3)</f>
        <v/>
      </c>
      <c r="AG298" s="19" t="str">
        <f aca="false">IF(OR(W298="",NOT(ISNUMBER(W298))),"",W298*$D$3^2/(2*$H$3))</f>
        <v/>
      </c>
      <c r="AH298" s="20" t="str">
        <f aca="false">IF(OR(W298="",NOT(ISNUMBER(W298))),"",W298*$D$3^2/2*$F$3)</f>
        <v/>
      </c>
    </row>
    <row r="299" customFormat="false" ht="15" hidden="false" customHeight="false" outlineLevel="0" collapsed="false">
      <c r="A299" s="10" t="s">
        <v>680</v>
      </c>
      <c r="B299" s="11" t="s">
        <v>41</v>
      </c>
      <c r="C299" s="6" t="s">
        <v>381</v>
      </c>
      <c r="D299" s="6" t="s">
        <v>681</v>
      </c>
      <c r="E299" s="6" t="s">
        <v>106</v>
      </c>
      <c r="F299" s="6" t="s">
        <v>107</v>
      </c>
      <c r="G299" s="6" t="n">
        <v>90</v>
      </c>
      <c r="H299" s="6"/>
      <c r="I299" s="6" t="s">
        <v>142</v>
      </c>
      <c r="J299" s="6" t="n">
        <v>10</v>
      </c>
      <c r="K299" s="6" t="s">
        <v>46</v>
      </c>
      <c r="L299" s="6" t="n">
        <v>148</v>
      </c>
      <c r="M299" s="6" t="n">
        <v>29</v>
      </c>
      <c r="N299" s="12" t="n">
        <v>73.6</v>
      </c>
      <c r="O299" s="12" t="n">
        <v>73.6</v>
      </c>
      <c r="P299" s="13" t="n">
        <v>66</v>
      </c>
      <c r="Q299" s="12"/>
      <c r="R299" s="14" t="n">
        <v>0.018</v>
      </c>
      <c r="S299" s="6" t="n">
        <v>0</v>
      </c>
      <c r="T299" s="6"/>
      <c r="U299" s="15" t="n">
        <f aca="false">(S299*R299+0.5*(1-(P299/N299)^2)+(1-(P299/O299)^2)^2)*(O299/P299)^4</f>
        <v>0.210765781531822</v>
      </c>
      <c r="V299" s="14"/>
      <c r="W299" s="14"/>
      <c r="X299" s="10" t="s">
        <v>47</v>
      </c>
      <c r="Y299" s="16"/>
      <c r="Z299" s="17" t="s">
        <v>48</v>
      </c>
      <c r="AA299" s="6"/>
      <c r="AB299" s="18" t="n">
        <f aca="false">IF(O299="","",$D$3*PI()*(O299/1000)^2/4*3600)</f>
        <v>22.9741403500662</v>
      </c>
      <c r="AC299" s="19" t="n">
        <f aca="false">IF(OR(U299="",NOT(ISNUMBER(U299))),"",U299*$D$3^2/(2*$H$3))</f>
        <v>0.0241703877903465</v>
      </c>
      <c r="AD299" s="20" t="n">
        <f aca="false">IF(OR(U299="",NOT(ISNUMBER(U299))),"",U299*$D$3^2/2*$F$3)</f>
        <v>237.1115042233</v>
      </c>
      <c r="AE299" s="19" t="str">
        <f aca="false">IF(OR(V299="",NOT(ISNUMBER(V299))),"",V299*$D$3^2/(2*$H$3))</f>
        <v/>
      </c>
      <c r="AF299" s="20" t="str">
        <f aca="false">IF(OR(V299="",NOT(ISNUMBER(V299))),"",V299*$D$3^2/2*$F$3)</f>
        <v/>
      </c>
      <c r="AG299" s="19" t="str">
        <f aca="false">IF(OR(W299="",NOT(ISNUMBER(W299))),"",W299*$D$3^2/(2*$H$3))</f>
        <v/>
      </c>
      <c r="AH299" s="20" t="str">
        <f aca="false">IF(OR(W299="",NOT(ISNUMBER(W299))),"",W299*$D$3^2/2*$F$3)</f>
        <v/>
      </c>
    </row>
    <row r="300" customFormat="false" ht="15" hidden="false" customHeight="false" outlineLevel="0" collapsed="false">
      <c r="A300" s="10" t="s">
        <v>682</v>
      </c>
      <c r="B300" s="11" t="s">
        <v>41</v>
      </c>
      <c r="C300" s="6" t="s">
        <v>381</v>
      </c>
      <c r="D300" s="6" t="s">
        <v>683</v>
      </c>
      <c r="E300" s="6" t="s">
        <v>106</v>
      </c>
      <c r="F300" s="6" t="s">
        <v>107</v>
      </c>
      <c r="G300" s="6" t="n">
        <v>110</v>
      </c>
      <c r="H300" s="6"/>
      <c r="I300" s="6" t="s">
        <v>133</v>
      </c>
      <c r="J300" s="6" t="n">
        <v>10</v>
      </c>
      <c r="K300" s="6" t="s">
        <v>46</v>
      </c>
      <c r="L300" s="6" t="n">
        <v>167</v>
      </c>
      <c r="M300" s="6" t="n">
        <v>14</v>
      </c>
      <c r="N300" s="12" t="n">
        <v>90</v>
      </c>
      <c r="O300" s="12" t="n">
        <v>90</v>
      </c>
      <c r="P300" s="13" t="n">
        <v>81</v>
      </c>
      <c r="Q300" s="12"/>
      <c r="R300" s="14" t="n">
        <v>0.017</v>
      </c>
      <c r="S300" s="6" t="n">
        <v>0</v>
      </c>
      <c r="T300" s="6"/>
      <c r="U300" s="15" t="n">
        <f aca="false">(S300*R300+0.5*(1-(P300/N300)^2)+(1-(P300/O300)^2)^2)*(O300/P300)^4</f>
        <v>0.199817101051669</v>
      </c>
      <c r="V300" s="14"/>
      <c r="W300" s="14"/>
      <c r="X300" s="10" t="s">
        <v>47</v>
      </c>
      <c r="Y300" s="16"/>
      <c r="Z300" s="17" t="s">
        <v>48</v>
      </c>
      <c r="AA300" s="6"/>
      <c r="AB300" s="18" t="n">
        <f aca="false">IF(O300="","",$D$3*PI()*(O300/1000)^2/4*3600)</f>
        <v>34.3533156670044</v>
      </c>
      <c r="AC300" s="19" t="n">
        <f aca="false">IF(OR(U300="",NOT(ISNUMBER(U300))),"",U300*$D$3^2/(2*$H$3))</f>
        <v>0.0229148051664758</v>
      </c>
      <c r="AD300" s="20" t="n">
        <f aca="false">IF(OR(U300="",NOT(ISNUMBER(U300))),"",U300*$D$3^2/2*$F$3)</f>
        <v>224.794238683128</v>
      </c>
      <c r="AE300" s="19" t="str">
        <f aca="false">IF(OR(V300="",NOT(ISNUMBER(V300))),"",V300*$D$3^2/(2*$H$3))</f>
        <v/>
      </c>
      <c r="AF300" s="20" t="str">
        <f aca="false">IF(OR(V300="",NOT(ISNUMBER(V300))),"",V300*$D$3^2/2*$F$3)</f>
        <v/>
      </c>
      <c r="AG300" s="19" t="str">
        <f aca="false">IF(OR(W300="",NOT(ISNUMBER(W300))),"",W300*$D$3^2/(2*$H$3))</f>
        <v/>
      </c>
      <c r="AH300" s="20" t="str">
        <f aca="false">IF(OR(W300="",NOT(ISNUMBER(W300))),"",W300*$D$3^2/2*$F$3)</f>
        <v/>
      </c>
    </row>
    <row r="301" customFormat="false" ht="15" hidden="false" customHeight="false" outlineLevel="0" collapsed="false">
      <c r="A301" s="10" t="s">
        <v>684</v>
      </c>
      <c r="B301" s="11" t="s">
        <v>41</v>
      </c>
      <c r="C301" s="6" t="s">
        <v>381</v>
      </c>
      <c r="D301" s="6" t="s">
        <v>685</v>
      </c>
      <c r="E301" s="6" t="s">
        <v>106</v>
      </c>
      <c r="F301" s="6" t="s">
        <v>107</v>
      </c>
      <c r="G301" s="6" t="n">
        <v>110</v>
      </c>
      <c r="H301" s="6"/>
      <c r="I301" s="6" t="s">
        <v>139</v>
      </c>
      <c r="J301" s="6" t="n">
        <v>10</v>
      </c>
      <c r="K301" s="6" t="s">
        <v>46</v>
      </c>
      <c r="L301" s="6" t="n">
        <v>167</v>
      </c>
      <c r="M301" s="6" t="n">
        <v>12</v>
      </c>
      <c r="N301" s="12" t="n">
        <v>90</v>
      </c>
      <c r="O301" s="12" t="n">
        <v>90</v>
      </c>
      <c r="P301" s="13" t="n">
        <v>81</v>
      </c>
      <c r="Q301" s="12"/>
      <c r="R301" s="14" t="n">
        <v>0.017</v>
      </c>
      <c r="S301" s="6" t="n">
        <v>0</v>
      </c>
      <c r="T301" s="6"/>
      <c r="U301" s="15" t="n">
        <f aca="false">(S301*R301+0.5*(1-(P301/N301)^2)+(1-(P301/O301)^2)^2)*(O301/P301)^4</f>
        <v>0.199817101051669</v>
      </c>
      <c r="V301" s="14"/>
      <c r="W301" s="14"/>
      <c r="X301" s="10" t="s">
        <v>47</v>
      </c>
      <c r="Y301" s="16"/>
      <c r="Z301" s="17" t="s">
        <v>48</v>
      </c>
      <c r="AA301" s="6"/>
      <c r="AB301" s="18" t="n">
        <f aca="false">IF(O301="","",$D$3*PI()*(O301/1000)^2/4*3600)</f>
        <v>34.3533156670044</v>
      </c>
      <c r="AC301" s="19" t="n">
        <f aca="false">IF(OR(U301="",NOT(ISNUMBER(U301))),"",U301*$D$3^2/(2*$H$3))</f>
        <v>0.0229148051664758</v>
      </c>
      <c r="AD301" s="20" t="n">
        <f aca="false">IF(OR(U301="",NOT(ISNUMBER(U301))),"",U301*$D$3^2/2*$F$3)</f>
        <v>224.794238683128</v>
      </c>
      <c r="AE301" s="19" t="str">
        <f aca="false">IF(OR(V301="",NOT(ISNUMBER(V301))),"",V301*$D$3^2/(2*$H$3))</f>
        <v/>
      </c>
      <c r="AF301" s="20" t="str">
        <f aca="false">IF(OR(V301="",NOT(ISNUMBER(V301))),"",V301*$D$3^2/2*$F$3)</f>
        <v/>
      </c>
      <c r="AG301" s="19" t="str">
        <f aca="false">IF(OR(W301="",NOT(ISNUMBER(W301))),"",W301*$D$3^2/(2*$H$3))</f>
        <v/>
      </c>
      <c r="AH301" s="20" t="str">
        <f aca="false">IF(OR(W301="",NOT(ISNUMBER(W301))),"",W301*$D$3^2/2*$F$3)</f>
        <v/>
      </c>
    </row>
    <row r="302" customFormat="false" ht="15" hidden="false" customHeight="false" outlineLevel="0" collapsed="false">
      <c r="A302" s="10" t="s">
        <v>686</v>
      </c>
      <c r="B302" s="11" t="s">
        <v>41</v>
      </c>
      <c r="C302" s="6" t="s">
        <v>381</v>
      </c>
      <c r="D302" s="6" t="s">
        <v>687</v>
      </c>
      <c r="E302" s="6" t="s">
        <v>106</v>
      </c>
      <c r="F302" s="6" t="s">
        <v>107</v>
      </c>
      <c r="G302" s="6" t="n">
        <v>110</v>
      </c>
      <c r="H302" s="6"/>
      <c r="I302" s="6" t="s">
        <v>142</v>
      </c>
      <c r="J302" s="6" t="n">
        <v>10</v>
      </c>
      <c r="K302" s="6" t="s">
        <v>46</v>
      </c>
      <c r="L302" s="6" t="n">
        <v>167</v>
      </c>
      <c r="M302" s="6" t="n">
        <v>8</v>
      </c>
      <c r="N302" s="12" t="n">
        <v>90</v>
      </c>
      <c r="O302" s="12" t="n">
        <v>90</v>
      </c>
      <c r="P302" s="13" t="n">
        <v>81</v>
      </c>
      <c r="Q302" s="12"/>
      <c r="R302" s="14" t="n">
        <v>0.017</v>
      </c>
      <c r="S302" s="6" t="n">
        <v>0</v>
      </c>
      <c r="T302" s="6"/>
      <c r="U302" s="15" t="n">
        <f aca="false">(S302*R302+0.5*(1-(P302/N302)^2)+(1-(P302/O302)^2)^2)*(O302/P302)^4</f>
        <v>0.199817101051669</v>
      </c>
      <c r="V302" s="14"/>
      <c r="W302" s="14"/>
      <c r="X302" s="10" t="s">
        <v>47</v>
      </c>
      <c r="Y302" s="16"/>
      <c r="Z302" s="17" t="s">
        <v>48</v>
      </c>
      <c r="AA302" s="6"/>
      <c r="AB302" s="18" t="n">
        <f aca="false">IF(O302="","",$D$3*PI()*(O302/1000)^2/4*3600)</f>
        <v>34.3533156670044</v>
      </c>
      <c r="AC302" s="19" t="n">
        <f aca="false">IF(OR(U302="",NOT(ISNUMBER(U302))),"",U302*$D$3^2/(2*$H$3))</f>
        <v>0.0229148051664758</v>
      </c>
      <c r="AD302" s="20" t="n">
        <f aca="false">IF(OR(U302="",NOT(ISNUMBER(U302))),"",U302*$D$3^2/2*$F$3)</f>
        <v>224.794238683128</v>
      </c>
      <c r="AE302" s="19" t="str">
        <f aca="false">IF(OR(V302="",NOT(ISNUMBER(V302))),"",V302*$D$3^2/(2*$H$3))</f>
        <v/>
      </c>
      <c r="AF302" s="20" t="str">
        <f aca="false">IF(OR(V302="",NOT(ISNUMBER(V302))),"",V302*$D$3^2/2*$F$3)</f>
        <v/>
      </c>
      <c r="AG302" s="19" t="str">
        <f aca="false">IF(OR(W302="",NOT(ISNUMBER(W302))),"",W302*$D$3^2/(2*$H$3))</f>
        <v/>
      </c>
      <c r="AH302" s="20" t="str">
        <f aca="false">IF(OR(W302="",NOT(ISNUMBER(W302))),"",W302*$D$3^2/2*$F$3)</f>
        <v/>
      </c>
    </row>
    <row r="303" customFormat="false" ht="15" hidden="false" customHeight="false" outlineLevel="0" collapsed="false">
      <c r="A303" s="10" t="s">
        <v>688</v>
      </c>
      <c r="B303" s="11" t="s">
        <v>41</v>
      </c>
      <c r="C303" s="6" t="s">
        <v>381</v>
      </c>
      <c r="D303" s="6" t="s">
        <v>689</v>
      </c>
      <c r="E303" s="6" t="s">
        <v>145</v>
      </c>
      <c r="F303" s="6" t="s">
        <v>107</v>
      </c>
      <c r="G303" s="6" t="n">
        <v>16</v>
      </c>
      <c r="H303" s="6"/>
      <c r="I303" s="6" t="s">
        <v>403</v>
      </c>
      <c r="J303" s="6" t="n">
        <v>10</v>
      </c>
      <c r="K303" s="6" t="s">
        <v>46</v>
      </c>
      <c r="L303" s="6" t="n">
        <v>49</v>
      </c>
      <c r="M303" s="6" t="n">
        <v>14</v>
      </c>
      <c r="N303" s="12" t="n">
        <v>12</v>
      </c>
      <c r="O303" s="12" t="n">
        <v>12</v>
      </c>
      <c r="P303" s="13" t="n">
        <v>10</v>
      </c>
      <c r="Q303" s="12"/>
      <c r="R303" s="14" t="n">
        <v>0.027</v>
      </c>
      <c r="S303" s="6" t="n">
        <v>0</v>
      </c>
      <c r="T303" s="6"/>
      <c r="U303" s="15" t="n">
        <f aca="false">(S303*R303+0.5*(1-(P303/N303)^2)+(1-(P303/O303)^2)^2)*(O303/P303)^4</f>
        <v>0.5104</v>
      </c>
      <c r="V303" s="14"/>
      <c r="W303" s="14"/>
      <c r="X303" s="10" t="s">
        <v>47</v>
      </c>
      <c r="Y303" s="16"/>
      <c r="Z303" s="17" t="s">
        <v>48</v>
      </c>
      <c r="AA303" s="6"/>
      <c r="AB303" s="18" t="n">
        <f aca="false">IF(O303="","",$D$3*PI()*(O303/1000)^2/4*3600)</f>
        <v>0.610725611857856</v>
      </c>
      <c r="AC303" s="19" t="n">
        <f aca="false">IF(OR(U303="",NOT(ISNUMBER(U303))),"",U303*$D$3^2/(2*$H$3))</f>
        <v>0.0585321100917431</v>
      </c>
      <c r="AD303" s="20" t="n">
        <f aca="false">IF(OR(U303="",NOT(ISNUMBER(U303))),"",U303*$D$3^2/2*$F$3)</f>
        <v>574.2</v>
      </c>
      <c r="AE303" s="19" t="str">
        <f aca="false">IF(OR(V303="",NOT(ISNUMBER(V303))),"",V303*$D$3^2/(2*$H$3))</f>
        <v/>
      </c>
      <c r="AF303" s="20" t="str">
        <f aca="false">IF(OR(V303="",NOT(ISNUMBER(V303))),"",V303*$D$3^2/2*$F$3)</f>
        <v/>
      </c>
      <c r="AG303" s="19" t="str">
        <f aca="false">IF(OR(W303="",NOT(ISNUMBER(W303))),"",W303*$D$3^2/(2*$H$3))</f>
        <v/>
      </c>
      <c r="AH303" s="20" t="str">
        <f aca="false">IF(OR(W303="",NOT(ISNUMBER(W303))),"",W303*$D$3^2/2*$F$3)</f>
        <v/>
      </c>
    </row>
    <row r="304" customFormat="false" ht="15" hidden="false" customHeight="false" outlineLevel="0" collapsed="false">
      <c r="A304" s="10" t="s">
        <v>690</v>
      </c>
      <c r="B304" s="11" t="s">
        <v>41</v>
      </c>
      <c r="C304" s="6" t="s">
        <v>381</v>
      </c>
      <c r="D304" s="6" t="s">
        <v>691</v>
      </c>
      <c r="E304" s="6" t="s">
        <v>145</v>
      </c>
      <c r="F304" s="6" t="s">
        <v>107</v>
      </c>
      <c r="G304" s="6" t="n">
        <v>16</v>
      </c>
      <c r="H304" s="6"/>
      <c r="I304" s="6" t="s">
        <v>108</v>
      </c>
      <c r="J304" s="6" t="n">
        <v>10</v>
      </c>
      <c r="K304" s="6" t="s">
        <v>46</v>
      </c>
      <c r="L304" s="6" t="n">
        <v>49</v>
      </c>
      <c r="M304" s="6" t="n">
        <v>14</v>
      </c>
      <c r="N304" s="12" t="n">
        <v>12</v>
      </c>
      <c r="O304" s="12" t="n">
        <v>12</v>
      </c>
      <c r="P304" s="13" t="n">
        <v>10</v>
      </c>
      <c r="Q304" s="12"/>
      <c r="R304" s="14" t="n">
        <v>0.027</v>
      </c>
      <c r="S304" s="6" t="n">
        <v>0</v>
      </c>
      <c r="T304" s="6"/>
      <c r="U304" s="15" t="n">
        <f aca="false">(S304*R304+0.5*(1-(P304/N304)^2)+(1-(P304/O304)^2)^2)*(O304/P304)^4</f>
        <v>0.5104</v>
      </c>
      <c r="V304" s="14"/>
      <c r="W304" s="14"/>
      <c r="X304" s="10" t="s">
        <v>47</v>
      </c>
      <c r="Y304" s="16"/>
      <c r="Z304" s="17" t="s">
        <v>48</v>
      </c>
      <c r="AA304" s="6"/>
      <c r="AB304" s="18" t="n">
        <f aca="false">IF(O304="","",$D$3*PI()*(O304/1000)^2/4*3600)</f>
        <v>0.610725611857856</v>
      </c>
      <c r="AC304" s="19" t="n">
        <f aca="false">IF(OR(U304="",NOT(ISNUMBER(U304))),"",U304*$D$3^2/(2*$H$3))</f>
        <v>0.0585321100917431</v>
      </c>
      <c r="AD304" s="20" t="n">
        <f aca="false">IF(OR(U304="",NOT(ISNUMBER(U304))),"",U304*$D$3^2/2*$F$3)</f>
        <v>574.2</v>
      </c>
      <c r="AE304" s="19" t="str">
        <f aca="false">IF(OR(V304="",NOT(ISNUMBER(V304))),"",V304*$D$3^2/(2*$H$3))</f>
        <v/>
      </c>
      <c r="AF304" s="20" t="str">
        <f aca="false">IF(OR(V304="",NOT(ISNUMBER(V304))),"",V304*$D$3^2/2*$F$3)</f>
        <v/>
      </c>
      <c r="AG304" s="19" t="str">
        <f aca="false">IF(OR(W304="",NOT(ISNUMBER(W304))),"",W304*$D$3^2/(2*$H$3))</f>
        <v/>
      </c>
      <c r="AH304" s="20" t="str">
        <f aca="false">IF(OR(W304="",NOT(ISNUMBER(W304))),"",W304*$D$3^2/2*$F$3)</f>
        <v/>
      </c>
    </row>
    <row r="305" customFormat="false" ht="15" hidden="false" customHeight="false" outlineLevel="0" collapsed="false">
      <c r="A305" s="10" t="s">
        <v>692</v>
      </c>
      <c r="B305" s="11" t="s">
        <v>41</v>
      </c>
      <c r="C305" s="6" t="s">
        <v>381</v>
      </c>
      <c r="D305" s="6" t="s">
        <v>693</v>
      </c>
      <c r="E305" s="6" t="s">
        <v>145</v>
      </c>
      <c r="F305" s="6" t="s">
        <v>107</v>
      </c>
      <c r="G305" s="6" t="n">
        <v>16</v>
      </c>
      <c r="H305" s="6"/>
      <c r="I305" s="6" t="s">
        <v>111</v>
      </c>
      <c r="J305" s="6" t="n">
        <v>10</v>
      </c>
      <c r="K305" s="6" t="s">
        <v>46</v>
      </c>
      <c r="L305" s="6" t="n">
        <v>49</v>
      </c>
      <c r="M305" s="6" t="n">
        <v>14</v>
      </c>
      <c r="N305" s="12" t="n">
        <v>12</v>
      </c>
      <c r="O305" s="12" t="n">
        <v>12</v>
      </c>
      <c r="P305" s="13" t="n">
        <v>10</v>
      </c>
      <c r="Q305" s="12"/>
      <c r="R305" s="14" t="n">
        <v>0.027</v>
      </c>
      <c r="S305" s="6" t="n">
        <v>0</v>
      </c>
      <c r="T305" s="6"/>
      <c r="U305" s="15" t="n">
        <f aca="false">(S305*R305+0.5*(1-(P305/N305)^2)+(1-(P305/O305)^2)^2)*(O305/P305)^4</f>
        <v>0.5104</v>
      </c>
      <c r="V305" s="14"/>
      <c r="W305" s="14"/>
      <c r="X305" s="10" t="s">
        <v>47</v>
      </c>
      <c r="Y305" s="16"/>
      <c r="Z305" s="17" t="s">
        <v>48</v>
      </c>
      <c r="AA305" s="6"/>
      <c r="AB305" s="18" t="n">
        <f aca="false">IF(O305="","",$D$3*PI()*(O305/1000)^2/4*3600)</f>
        <v>0.610725611857856</v>
      </c>
      <c r="AC305" s="19" t="n">
        <f aca="false">IF(OR(U305="",NOT(ISNUMBER(U305))),"",U305*$D$3^2/(2*$H$3))</f>
        <v>0.0585321100917431</v>
      </c>
      <c r="AD305" s="20" t="n">
        <f aca="false">IF(OR(U305="",NOT(ISNUMBER(U305))),"",U305*$D$3^2/2*$F$3)</f>
        <v>574.2</v>
      </c>
      <c r="AE305" s="19" t="str">
        <f aca="false">IF(OR(V305="",NOT(ISNUMBER(V305))),"",V305*$D$3^2/(2*$H$3))</f>
        <v/>
      </c>
      <c r="AF305" s="20" t="str">
        <f aca="false">IF(OR(V305="",NOT(ISNUMBER(V305))),"",V305*$D$3^2/2*$F$3)</f>
        <v/>
      </c>
      <c r="AG305" s="19" t="str">
        <f aca="false">IF(OR(W305="",NOT(ISNUMBER(W305))),"",W305*$D$3^2/(2*$H$3))</f>
        <v/>
      </c>
      <c r="AH305" s="20" t="str">
        <f aca="false">IF(OR(W305="",NOT(ISNUMBER(W305))),"",W305*$D$3^2/2*$F$3)</f>
        <v/>
      </c>
    </row>
    <row r="306" customFormat="false" ht="15" hidden="false" customHeight="false" outlineLevel="0" collapsed="false">
      <c r="A306" s="10" t="s">
        <v>694</v>
      </c>
      <c r="B306" s="11" t="s">
        <v>41</v>
      </c>
      <c r="C306" s="6" t="s">
        <v>381</v>
      </c>
      <c r="D306" s="6" t="s">
        <v>695</v>
      </c>
      <c r="E306" s="6" t="s">
        <v>145</v>
      </c>
      <c r="F306" s="6" t="s">
        <v>107</v>
      </c>
      <c r="G306" s="6" t="n">
        <v>20</v>
      </c>
      <c r="H306" s="6"/>
      <c r="I306" s="6" t="s">
        <v>108</v>
      </c>
      <c r="J306" s="6" t="n">
        <v>10</v>
      </c>
      <c r="K306" s="6" t="s">
        <v>46</v>
      </c>
      <c r="L306" s="6" t="n">
        <v>49</v>
      </c>
      <c r="M306" s="6" t="n">
        <v>14</v>
      </c>
      <c r="N306" s="12" t="n">
        <v>16</v>
      </c>
      <c r="O306" s="12" t="n">
        <v>16</v>
      </c>
      <c r="P306" s="13" t="n">
        <v>13</v>
      </c>
      <c r="Q306" s="12"/>
      <c r="R306" s="14" t="n">
        <v>0.027</v>
      </c>
      <c r="S306" s="6" t="n">
        <v>0</v>
      </c>
      <c r="T306" s="6"/>
      <c r="U306" s="15" t="n">
        <f aca="false">(S306*R306+0.5*(1-(P306/N306)^2)+(1-(P306/O306)^2)^2)*(O306/P306)^4</f>
        <v>0.654914043625924</v>
      </c>
      <c r="V306" s="14"/>
      <c r="W306" s="14"/>
      <c r="X306" s="10" t="s">
        <v>47</v>
      </c>
      <c r="Y306" s="16"/>
      <c r="Z306" s="17" t="s">
        <v>48</v>
      </c>
      <c r="AA306" s="6"/>
      <c r="AB306" s="18" t="n">
        <f aca="false">IF(O306="","",$D$3*PI()*(O306/1000)^2/4*3600)</f>
        <v>1.08573442108063</v>
      </c>
      <c r="AC306" s="19" t="n">
        <f aca="false">IF(OR(U306="",NOT(ISNUMBER(U306))),"",U306*$D$3^2/(2*$H$3))</f>
        <v>0.0751048215167344</v>
      </c>
      <c r="AD306" s="20" t="n">
        <f aca="false">IF(OR(U306="",NOT(ISNUMBER(U306))),"",U306*$D$3^2/2*$F$3)</f>
        <v>736.778299079164</v>
      </c>
      <c r="AE306" s="19" t="str">
        <f aca="false">IF(OR(V306="",NOT(ISNUMBER(V306))),"",V306*$D$3^2/(2*$H$3))</f>
        <v/>
      </c>
      <c r="AF306" s="20" t="str">
        <f aca="false">IF(OR(V306="",NOT(ISNUMBER(V306))),"",V306*$D$3^2/2*$F$3)</f>
        <v/>
      </c>
      <c r="AG306" s="19" t="str">
        <f aca="false">IF(OR(W306="",NOT(ISNUMBER(W306))),"",W306*$D$3^2/(2*$H$3))</f>
        <v/>
      </c>
      <c r="AH306" s="20" t="str">
        <f aca="false">IF(OR(W306="",NOT(ISNUMBER(W306))),"",W306*$D$3^2/2*$F$3)</f>
        <v/>
      </c>
    </row>
    <row r="307" customFormat="false" ht="15" hidden="false" customHeight="false" outlineLevel="0" collapsed="false">
      <c r="A307" s="10" t="s">
        <v>696</v>
      </c>
      <c r="B307" s="11" t="s">
        <v>41</v>
      </c>
      <c r="C307" s="6" t="s">
        <v>381</v>
      </c>
      <c r="D307" s="6" t="s">
        <v>697</v>
      </c>
      <c r="E307" s="6" t="s">
        <v>145</v>
      </c>
      <c r="F307" s="6" t="s">
        <v>107</v>
      </c>
      <c r="G307" s="6" t="n">
        <v>20</v>
      </c>
      <c r="H307" s="6"/>
      <c r="I307" s="6" t="s">
        <v>111</v>
      </c>
      <c r="J307" s="6" t="n">
        <v>10</v>
      </c>
      <c r="K307" s="6" t="s">
        <v>46</v>
      </c>
      <c r="L307" s="6" t="n">
        <v>49</v>
      </c>
      <c r="M307" s="6" t="n">
        <v>14</v>
      </c>
      <c r="N307" s="12" t="n">
        <v>16</v>
      </c>
      <c r="O307" s="12" t="n">
        <v>16</v>
      </c>
      <c r="P307" s="13" t="n">
        <v>13</v>
      </c>
      <c r="Q307" s="12"/>
      <c r="R307" s="14" t="n">
        <v>0.027</v>
      </c>
      <c r="S307" s="6" t="n">
        <v>0</v>
      </c>
      <c r="T307" s="6"/>
      <c r="U307" s="15" t="n">
        <f aca="false">(S307*R307+0.5*(1-(P307/N307)^2)+(1-(P307/O307)^2)^2)*(O307/P307)^4</f>
        <v>0.654914043625924</v>
      </c>
      <c r="V307" s="14"/>
      <c r="W307" s="14"/>
      <c r="X307" s="10" t="s">
        <v>47</v>
      </c>
      <c r="Y307" s="16"/>
      <c r="Z307" s="17" t="s">
        <v>48</v>
      </c>
      <c r="AA307" s="6"/>
      <c r="AB307" s="18" t="n">
        <f aca="false">IF(O307="","",$D$3*PI()*(O307/1000)^2/4*3600)</f>
        <v>1.08573442108063</v>
      </c>
      <c r="AC307" s="19" t="n">
        <f aca="false">IF(OR(U307="",NOT(ISNUMBER(U307))),"",U307*$D$3^2/(2*$H$3))</f>
        <v>0.0751048215167344</v>
      </c>
      <c r="AD307" s="20" t="n">
        <f aca="false">IF(OR(U307="",NOT(ISNUMBER(U307))),"",U307*$D$3^2/2*$F$3)</f>
        <v>736.778299079164</v>
      </c>
      <c r="AE307" s="19" t="str">
        <f aca="false">IF(OR(V307="",NOT(ISNUMBER(V307))),"",V307*$D$3^2/(2*$H$3))</f>
        <v/>
      </c>
      <c r="AF307" s="20" t="str">
        <f aca="false">IF(OR(V307="",NOT(ISNUMBER(V307))),"",V307*$D$3^2/2*$F$3)</f>
        <v/>
      </c>
      <c r="AG307" s="19" t="str">
        <f aca="false">IF(OR(W307="",NOT(ISNUMBER(W307))),"",W307*$D$3^2/(2*$H$3))</f>
        <v/>
      </c>
      <c r="AH307" s="20" t="str">
        <f aca="false">IF(OR(W307="",NOT(ISNUMBER(W307))),"",W307*$D$3^2/2*$F$3)</f>
        <v/>
      </c>
    </row>
    <row r="308" customFormat="false" ht="15" hidden="false" customHeight="false" outlineLevel="0" collapsed="false">
      <c r="A308" s="10" t="s">
        <v>698</v>
      </c>
      <c r="B308" s="11" t="s">
        <v>41</v>
      </c>
      <c r="C308" s="6" t="s">
        <v>381</v>
      </c>
      <c r="D308" s="6" t="s">
        <v>699</v>
      </c>
      <c r="E308" s="6" t="s">
        <v>145</v>
      </c>
      <c r="F308" s="6" t="s">
        <v>107</v>
      </c>
      <c r="G308" s="6" t="n">
        <v>20</v>
      </c>
      <c r="H308" s="6"/>
      <c r="I308" s="6" t="s">
        <v>118</v>
      </c>
      <c r="J308" s="6" t="n">
        <v>10</v>
      </c>
      <c r="K308" s="6" t="s">
        <v>46</v>
      </c>
      <c r="L308" s="6" t="n">
        <v>49</v>
      </c>
      <c r="M308" s="6" t="n">
        <v>14</v>
      </c>
      <c r="N308" s="12" t="n">
        <v>16</v>
      </c>
      <c r="O308" s="12" t="n">
        <v>16</v>
      </c>
      <c r="P308" s="13" t="n">
        <v>13</v>
      </c>
      <c r="Q308" s="12"/>
      <c r="R308" s="14" t="n">
        <v>0.027</v>
      </c>
      <c r="S308" s="6" t="n">
        <v>0</v>
      </c>
      <c r="T308" s="6"/>
      <c r="U308" s="15" t="n">
        <f aca="false">(S308*R308+0.5*(1-(P308/N308)^2)+(1-(P308/O308)^2)^2)*(O308/P308)^4</f>
        <v>0.654914043625924</v>
      </c>
      <c r="V308" s="14"/>
      <c r="W308" s="14"/>
      <c r="X308" s="10" t="s">
        <v>47</v>
      </c>
      <c r="Y308" s="16"/>
      <c r="Z308" s="17" t="s">
        <v>48</v>
      </c>
      <c r="AA308" s="6"/>
      <c r="AB308" s="18" t="n">
        <f aca="false">IF(O308="","",$D$3*PI()*(O308/1000)^2/4*3600)</f>
        <v>1.08573442108063</v>
      </c>
      <c r="AC308" s="19" t="n">
        <f aca="false">IF(OR(U308="",NOT(ISNUMBER(U308))),"",U308*$D$3^2/(2*$H$3))</f>
        <v>0.0751048215167344</v>
      </c>
      <c r="AD308" s="20" t="n">
        <f aca="false">IF(OR(U308="",NOT(ISNUMBER(U308))),"",U308*$D$3^2/2*$F$3)</f>
        <v>736.778299079164</v>
      </c>
      <c r="AE308" s="19" t="str">
        <f aca="false">IF(OR(V308="",NOT(ISNUMBER(V308))),"",V308*$D$3^2/(2*$H$3))</f>
        <v/>
      </c>
      <c r="AF308" s="20" t="str">
        <f aca="false">IF(OR(V308="",NOT(ISNUMBER(V308))),"",V308*$D$3^2/2*$F$3)</f>
        <v/>
      </c>
      <c r="AG308" s="19" t="str">
        <f aca="false">IF(OR(W308="",NOT(ISNUMBER(W308))),"",W308*$D$3^2/(2*$H$3))</f>
        <v/>
      </c>
      <c r="AH308" s="20" t="str">
        <f aca="false">IF(OR(W308="",NOT(ISNUMBER(W308))),"",W308*$D$3^2/2*$F$3)</f>
        <v/>
      </c>
    </row>
    <row r="309" customFormat="false" ht="15" hidden="false" customHeight="false" outlineLevel="0" collapsed="false">
      <c r="A309" s="10" t="s">
        <v>700</v>
      </c>
      <c r="B309" s="11" t="s">
        <v>41</v>
      </c>
      <c r="C309" s="6" t="s">
        <v>381</v>
      </c>
      <c r="D309" s="6" t="s">
        <v>701</v>
      </c>
      <c r="E309" s="6" t="s">
        <v>145</v>
      </c>
      <c r="F309" s="6" t="s">
        <v>107</v>
      </c>
      <c r="G309" s="6" t="n">
        <v>25</v>
      </c>
      <c r="H309" s="6"/>
      <c r="I309" s="6" t="s">
        <v>108</v>
      </c>
      <c r="J309" s="6" t="n">
        <v>10</v>
      </c>
      <c r="K309" s="6" t="s">
        <v>46</v>
      </c>
      <c r="L309" s="6" t="n">
        <v>58</v>
      </c>
      <c r="M309" s="6" t="n">
        <v>15</v>
      </c>
      <c r="N309" s="12" t="n">
        <v>20.4</v>
      </c>
      <c r="O309" s="12" t="n">
        <v>20.4</v>
      </c>
      <c r="P309" s="13" t="n">
        <v>17</v>
      </c>
      <c r="Q309" s="12"/>
      <c r="R309" s="14" t="n">
        <v>0.025</v>
      </c>
      <c r="S309" s="6" t="n">
        <v>0</v>
      </c>
      <c r="T309" s="6"/>
      <c r="U309" s="15" t="n">
        <f aca="false">(S309*R309+0.5*(1-(P309/N309)^2)+(1-(P309/O309)^2)^2)*(O309/P309)^4</f>
        <v>0.5104</v>
      </c>
      <c r="V309" s="14"/>
      <c r="W309" s="14"/>
      <c r="X309" s="10" t="s">
        <v>47</v>
      </c>
      <c r="Y309" s="16"/>
      <c r="Z309" s="17" t="s">
        <v>48</v>
      </c>
      <c r="AA309" s="6"/>
      <c r="AB309" s="18" t="n">
        <f aca="false">IF(O309="","",$D$3*PI()*(O309/1000)^2/4*3600)</f>
        <v>1.7649970182692</v>
      </c>
      <c r="AC309" s="19" t="n">
        <f aca="false">IF(OR(U309="",NOT(ISNUMBER(U309))),"",U309*$D$3^2/(2*$H$3))</f>
        <v>0.0585321100917431</v>
      </c>
      <c r="AD309" s="20" t="n">
        <f aca="false">IF(OR(U309="",NOT(ISNUMBER(U309))),"",U309*$D$3^2/2*$F$3)</f>
        <v>574.2</v>
      </c>
      <c r="AE309" s="19" t="str">
        <f aca="false">IF(OR(V309="",NOT(ISNUMBER(V309))),"",V309*$D$3^2/(2*$H$3))</f>
        <v/>
      </c>
      <c r="AF309" s="20" t="str">
        <f aca="false">IF(OR(V309="",NOT(ISNUMBER(V309))),"",V309*$D$3^2/2*$F$3)</f>
        <v/>
      </c>
      <c r="AG309" s="19" t="str">
        <f aca="false">IF(OR(W309="",NOT(ISNUMBER(W309))),"",W309*$D$3^2/(2*$H$3))</f>
        <v/>
      </c>
      <c r="AH309" s="20" t="str">
        <f aca="false">IF(OR(W309="",NOT(ISNUMBER(W309))),"",W309*$D$3^2/2*$F$3)</f>
        <v/>
      </c>
    </row>
    <row r="310" customFormat="false" ht="15" hidden="false" customHeight="false" outlineLevel="0" collapsed="false">
      <c r="A310" s="10" t="s">
        <v>702</v>
      </c>
      <c r="B310" s="11" t="s">
        <v>41</v>
      </c>
      <c r="C310" s="6" t="s">
        <v>381</v>
      </c>
      <c r="D310" s="6" t="s">
        <v>703</v>
      </c>
      <c r="E310" s="6" t="s">
        <v>145</v>
      </c>
      <c r="F310" s="6" t="s">
        <v>107</v>
      </c>
      <c r="G310" s="6" t="n">
        <v>25</v>
      </c>
      <c r="H310" s="6"/>
      <c r="I310" s="6" t="s">
        <v>111</v>
      </c>
      <c r="J310" s="6" t="n">
        <v>10</v>
      </c>
      <c r="K310" s="6" t="s">
        <v>46</v>
      </c>
      <c r="L310" s="6" t="n">
        <v>58</v>
      </c>
      <c r="M310" s="6" t="n">
        <v>15</v>
      </c>
      <c r="N310" s="12" t="n">
        <v>20.4</v>
      </c>
      <c r="O310" s="12" t="n">
        <v>20.4</v>
      </c>
      <c r="P310" s="13" t="n">
        <v>17</v>
      </c>
      <c r="Q310" s="12"/>
      <c r="R310" s="14" t="n">
        <v>0.025</v>
      </c>
      <c r="S310" s="6" t="n">
        <v>0</v>
      </c>
      <c r="T310" s="6"/>
      <c r="U310" s="15" t="n">
        <f aca="false">(S310*R310+0.5*(1-(P310/N310)^2)+(1-(P310/O310)^2)^2)*(O310/P310)^4</f>
        <v>0.5104</v>
      </c>
      <c r="V310" s="14"/>
      <c r="W310" s="14"/>
      <c r="X310" s="10" t="s">
        <v>47</v>
      </c>
      <c r="Y310" s="16"/>
      <c r="Z310" s="17" t="s">
        <v>48</v>
      </c>
      <c r="AA310" s="6"/>
      <c r="AB310" s="18" t="n">
        <f aca="false">IF(O310="","",$D$3*PI()*(O310/1000)^2/4*3600)</f>
        <v>1.7649970182692</v>
      </c>
      <c r="AC310" s="19" t="n">
        <f aca="false">IF(OR(U310="",NOT(ISNUMBER(U310))),"",U310*$D$3^2/(2*$H$3))</f>
        <v>0.0585321100917431</v>
      </c>
      <c r="AD310" s="20" t="n">
        <f aca="false">IF(OR(U310="",NOT(ISNUMBER(U310))),"",U310*$D$3^2/2*$F$3)</f>
        <v>574.2</v>
      </c>
      <c r="AE310" s="19" t="str">
        <f aca="false">IF(OR(V310="",NOT(ISNUMBER(V310))),"",V310*$D$3^2/(2*$H$3))</f>
        <v/>
      </c>
      <c r="AF310" s="20" t="str">
        <f aca="false">IF(OR(V310="",NOT(ISNUMBER(V310))),"",V310*$D$3^2/2*$F$3)</f>
        <v/>
      </c>
      <c r="AG310" s="19" t="str">
        <f aca="false">IF(OR(W310="",NOT(ISNUMBER(W310))),"",W310*$D$3^2/(2*$H$3))</f>
        <v/>
      </c>
      <c r="AH310" s="20" t="str">
        <f aca="false">IF(OR(W310="",NOT(ISNUMBER(W310))),"",W310*$D$3^2/2*$F$3)</f>
        <v/>
      </c>
    </row>
    <row r="311" customFormat="false" ht="15" hidden="false" customHeight="false" outlineLevel="0" collapsed="false">
      <c r="A311" s="10" t="s">
        <v>704</v>
      </c>
      <c r="B311" s="11" t="s">
        <v>41</v>
      </c>
      <c r="C311" s="6" t="s">
        <v>381</v>
      </c>
      <c r="D311" s="6" t="s">
        <v>705</v>
      </c>
      <c r="E311" s="6" t="s">
        <v>145</v>
      </c>
      <c r="F311" s="6" t="s">
        <v>107</v>
      </c>
      <c r="G311" s="6" t="n">
        <v>25</v>
      </c>
      <c r="H311" s="6"/>
      <c r="I311" s="6" t="s">
        <v>118</v>
      </c>
      <c r="J311" s="6" t="n">
        <v>10</v>
      </c>
      <c r="K311" s="6" t="s">
        <v>46</v>
      </c>
      <c r="L311" s="6" t="n">
        <v>58</v>
      </c>
      <c r="M311" s="6" t="n">
        <v>15</v>
      </c>
      <c r="N311" s="12" t="n">
        <v>20.4</v>
      </c>
      <c r="O311" s="12" t="n">
        <v>20.4</v>
      </c>
      <c r="P311" s="13" t="n">
        <v>17</v>
      </c>
      <c r="Q311" s="12"/>
      <c r="R311" s="14" t="n">
        <v>0.025</v>
      </c>
      <c r="S311" s="6" t="n">
        <v>0</v>
      </c>
      <c r="T311" s="6"/>
      <c r="U311" s="15" t="n">
        <f aca="false">(S311*R311+0.5*(1-(P311/N311)^2)+(1-(P311/O311)^2)^2)*(O311/P311)^4</f>
        <v>0.5104</v>
      </c>
      <c r="V311" s="14"/>
      <c r="W311" s="14"/>
      <c r="X311" s="10" t="s">
        <v>47</v>
      </c>
      <c r="Y311" s="16"/>
      <c r="Z311" s="17" t="s">
        <v>48</v>
      </c>
      <c r="AA311" s="6"/>
      <c r="AB311" s="18" t="n">
        <f aca="false">IF(O311="","",$D$3*PI()*(O311/1000)^2/4*3600)</f>
        <v>1.7649970182692</v>
      </c>
      <c r="AC311" s="19" t="n">
        <f aca="false">IF(OR(U311="",NOT(ISNUMBER(U311))),"",U311*$D$3^2/(2*$H$3))</f>
        <v>0.0585321100917431</v>
      </c>
      <c r="AD311" s="20" t="n">
        <f aca="false">IF(OR(U311="",NOT(ISNUMBER(U311))),"",U311*$D$3^2/2*$F$3)</f>
        <v>574.2</v>
      </c>
      <c r="AE311" s="19" t="str">
        <f aca="false">IF(OR(V311="",NOT(ISNUMBER(V311))),"",V311*$D$3^2/(2*$H$3))</f>
        <v/>
      </c>
      <c r="AF311" s="20" t="str">
        <f aca="false">IF(OR(V311="",NOT(ISNUMBER(V311))),"",V311*$D$3^2/2*$F$3)</f>
        <v/>
      </c>
      <c r="AG311" s="19" t="str">
        <f aca="false">IF(OR(W311="",NOT(ISNUMBER(W311))),"",W311*$D$3^2/(2*$H$3))</f>
        <v/>
      </c>
      <c r="AH311" s="20" t="str">
        <f aca="false">IF(OR(W311="",NOT(ISNUMBER(W311))),"",W311*$D$3^2/2*$F$3)</f>
        <v/>
      </c>
    </row>
    <row r="312" customFormat="false" ht="15" hidden="false" customHeight="false" outlineLevel="0" collapsed="false">
      <c r="A312" s="10" t="s">
        <v>706</v>
      </c>
      <c r="B312" s="11" t="s">
        <v>41</v>
      </c>
      <c r="C312" s="6" t="s">
        <v>381</v>
      </c>
      <c r="D312" s="6" t="s">
        <v>707</v>
      </c>
      <c r="E312" s="6" t="s">
        <v>145</v>
      </c>
      <c r="F312" s="6" t="s">
        <v>107</v>
      </c>
      <c r="G312" s="6" t="n">
        <v>32</v>
      </c>
      <c r="H312" s="6"/>
      <c r="I312" s="6" t="s">
        <v>111</v>
      </c>
      <c r="J312" s="6" t="n">
        <v>10</v>
      </c>
      <c r="K312" s="6" t="s">
        <v>46</v>
      </c>
      <c r="L312" s="6" t="n">
        <v>81</v>
      </c>
      <c r="M312" s="6" t="n">
        <v>16</v>
      </c>
      <c r="N312" s="12" t="n">
        <v>26.2</v>
      </c>
      <c r="O312" s="12" t="n">
        <v>26.2</v>
      </c>
      <c r="P312" s="13" t="n">
        <v>22</v>
      </c>
      <c r="Q312" s="12"/>
      <c r="R312" s="14" t="n">
        <v>0.023</v>
      </c>
      <c r="S312" s="6" t="n">
        <v>0</v>
      </c>
      <c r="T312" s="6"/>
      <c r="U312" s="15" t="n">
        <f aca="false">(S312*R312+0.5*(1-(P312/N312)^2)+(1-(P312/O312)^2)^2)*(O312/P312)^4</f>
        <v>0.471549972679462</v>
      </c>
      <c r="V312" s="14"/>
      <c r="W312" s="14"/>
      <c r="X312" s="10" t="s">
        <v>47</v>
      </c>
      <c r="Y312" s="16"/>
      <c r="Z312" s="17" t="s">
        <v>48</v>
      </c>
      <c r="AA312" s="6"/>
      <c r="AB312" s="18" t="n">
        <f aca="false">IF(O312="","",$D$3*PI()*(O312/1000)^2/4*3600)</f>
        <v>2.91129506252574</v>
      </c>
      <c r="AC312" s="19" t="n">
        <f aca="false">IF(OR(U312="",NOT(ISNUMBER(U312))),"",U312*$D$3^2/(2*$H$3))</f>
        <v>0.054076831729296</v>
      </c>
      <c r="AD312" s="20" t="n">
        <f aca="false">IF(OR(U312="",NOT(ISNUMBER(U312))),"",U312*$D$3^2/2*$F$3)</f>
        <v>530.493719264394</v>
      </c>
      <c r="AE312" s="19" t="str">
        <f aca="false">IF(OR(V312="",NOT(ISNUMBER(V312))),"",V312*$D$3^2/(2*$H$3))</f>
        <v/>
      </c>
      <c r="AF312" s="20" t="str">
        <f aca="false">IF(OR(V312="",NOT(ISNUMBER(V312))),"",V312*$D$3^2/2*$F$3)</f>
        <v/>
      </c>
      <c r="AG312" s="19" t="str">
        <f aca="false">IF(OR(W312="",NOT(ISNUMBER(W312))),"",W312*$D$3^2/(2*$H$3))</f>
        <v/>
      </c>
      <c r="AH312" s="20" t="str">
        <f aca="false">IF(OR(W312="",NOT(ISNUMBER(W312))),"",W312*$D$3^2/2*$F$3)</f>
        <v/>
      </c>
    </row>
    <row r="313" customFormat="false" ht="15" hidden="false" customHeight="false" outlineLevel="0" collapsed="false">
      <c r="A313" s="10" t="s">
        <v>708</v>
      </c>
      <c r="B313" s="11" t="s">
        <v>41</v>
      </c>
      <c r="C313" s="6" t="s">
        <v>381</v>
      </c>
      <c r="D313" s="6" t="s">
        <v>709</v>
      </c>
      <c r="E313" s="6" t="s">
        <v>145</v>
      </c>
      <c r="F313" s="6" t="s">
        <v>107</v>
      </c>
      <c r="G313" s="6" t="n">
        <v>32</v>
      </c>
      <c r="H313" s="6"/>
      <c r="I313" s="6" t="s">
        <v>118</v>
      </c>
      <c r="J313" s="6" t="n">
        <v>10</v>
      </c>
      <c r="K313" s="6" t="s">
        <v>46</v>
      </c>
      <c r="L313" s="6" t="n">
        <v>81</v>
      </c>
      <c r="M313" s="6" t="n">
        <v>16</v>
      </c>
      <c r="N313" s="12" t="n">
        <v>26.2</v>
      </c>
      <c r="O313" s="12" t="n">
        <v>26.2</v>
      </c>
      <c r="P313" s="13" t="n">
        <v>22</v>
      </c>
      <c r="Q313" s="12"/>
      <c r="R313" s="14" t="n">
        <v>0.023</v>
      </c>
      <c r="S313" s="6" t="n">
        <v>0</v>
      </c>
      <c r="T313" s="6"/>
      <c r="U313" s="15" t="n">
        <f aca="false">(S313*R313+0.5*(1-(P313/N313)^2)+(1-(P313/O313)^2)^2)*(O313/P313)^4</f>
        <v>0.471549972679462</v>
      </c>
      <c r="V313" s="14"/>
      <c r="W313" s="14"/>
      <c r="X313" s="10" t="s">
        <v>47</v>
      </c>
      <c r="Y313" s="16"/>
      <c r="Z313" s="17" t="s">
        <v>48</v>
      </c>
      <c r="AA313" s="6"/>
      <c r="AB313" s="18" t="n">
        <f aca="false">IF(O313="","",$D$3*PI()*(O313/1000)^2/4*3600)</f>
        <v>2.91129506252574</v>
      </c>
      <c r="AC313" s="19" t="n">
        <f aca="false">IF(OR(U313="",NOT(ISNUMBER(U313))),"",U313*$D$3^2/(2*$H$3))</f>
        <v>0.054076831729296</v>
      </c>
      <c r="AD313" s="20" t="n">
        <f aca="false">IF(OR(U313="",NOT(ISNUMBER(U313))),"",U313*$D$3^2/2*$F$3)</f>
        <v>530.493719264394</v>
      </c>
      <c r="AE313" s="19" t="str">
        <f aca="false">IF(OR(V313="",NOT(ISNUMBER(V313))),"",V313*$D$3^2/(2*$H$3))</f>
        <v/>
      </c>
      <c r="AF313" s="20" t="str">
        <f aca="false">IF(OR(V313="",NOT(ISNUMBER(V313))),"",V313*$D$3^2/2*$F$3)</f>
        <v/>
      </c>
      <c r="AG313" s="19" t="str">
        <f aca="false">IF(OR(W313="",NOT(ISNUMBER(W313))),"",W313*$D$3^2/(2*$H$3))</f>
        <v/>
      </c>
      <c r="AH313" s="20" t="str">
        <f aca="false">IF(OR(W313="",NOT(ISNUMBER(W313))),"",W313*$D$3^2/2*$F$3)</f>
        <v/>
      </c>
    </row>
    <row r="314" customFormat="false" ht="15" hidden="false" customHeight="false" outlineLevel="0" collapsed="false">
      <c r="A314" s="10" t="s">
        <v>710</v>
      </c>
      <c r="B314" s="11" t="s">
        <v>41</v>
      </c>
      <c r="C314" s="6" t="s">
        <v>381</v>
      </c>
      <c r="D314" s="6" t="s">
        <v>711</v>
      </c>
      <c r="E314" s="6" t="s">
        <v>145</v>
      </c>
      <c r="F314" s="6" t="s">
        <v>107</v>
      </c>
      <c r="G314" s="6" t="n">
        <v>32</v>
      </c>
      <c r="H314" s="6"/>
      <c r="I314" s="6" t="s">
        <v>127</v>
      </c>
      <c r="J314" s="6" t="n">
        <v>10</v>
      </c>
      <c r="K314" s="6" t="s">
        <v>46</v>
      </c>
      <c r="L314" s="6" t="n">
        <v>81</v>
      </c>
      <c r="M314" s="6" t="n">
        <v>16</v>
      </c>
      <c r="N314" s="12" t="n">
        <v>26.2</v>
      </c>
      <c r="O314" s="12" t="n">
        <v>26.2</v>
      </c>
      <c r="P314" s="13" t="n">
        <v>22</v>
      </c>
      <c r="Q314" s="12"/>
      <c r="R314" s="14" t="n">
        <v>0.023</v>
      </c>
      <c r="S314" s="6" t="n">
        <v>0</v>
      </c>
      <c r="T314" s="6"/>
      <c r="U314" s="15" t="n">
        <f aca="false">(S314*R314+0.5*(1-(P314/N314)^2)+(1-(P314/O314)^2)^2)*(O314/P314)^4</f>
        <v>0.471549972679462</v>
      </c>
      <c r="V314" s="14"/>
      <c r="W314" s="14"/>
      <c r="X314" s="10" t="s">
        <v>47</v>
      </c>
      <c r="Y314" s="16"/>
      <c r="Z314" s="17" t="s">
        <v>48</v>
      </c>
      <c r="AA314" s="6"/>
      <c r="AB314" s="18" t="n">
        <f aca="false">IF(O314="","",$D$3*PI()*(O314/1000)^2/4*3600)</f>
        <v>2.91129506252574</v>
      </c>
      <c r="AC314" s="19" t="n">
        <f aca="false">IF(OR(U314="",NOT(ISNUMBER(U314))),"",U314*$D$3^2/(2*$H$3))</f>
        <v>0.054076831729296</v>
      </c>
      <c r="AD314" s="20" t="n">
        <f aca="false">IF(OR(U314="",NOT(ISNUMBER(U314))),"",U314*$D$3^2/2*$F$3)</f>
        <v>530.493719264394</v>
      </c>
      <c r="AE314" s="19" t="str">
        <f aca="false">IF(OR(V314="",NOT(ISNUMBER(V314))),"",V314*$D$3^2/(2*$H$3))</f>
        <v/>
      </c>
      <c r="AF314" s="20" t="str">
        <f aca="false">IF(OR(V314="",NOT(ISNUMBER(V314))),"",V314*$D$3^2/2*$F$3)</f>
        <v/>
      </c>
      <c r="AG314" s="19" t="str">
        <f aca="false">IF(OR(W314="",NOT(ISNUMBER(W314))),"",W314*$D$3^2/(2*$H$3))</f>
        <v/>
      </c>
      <c r="AH314" s="20" t="str">
        <f aca="false">IF(OR(W314="",NOT(ISNUMBER(W314))),"",W314*$D$3^2/2*$F$3)</f>
        <v/>
      </c>
    </row>
    <row r="315" customFormat="false" ht="15" hidden="false" customHeight="false" outlineLevel="0" collapsed="false">
      <c r="A315" s="10" t="s">
        <v>712</v>
      </c>
      <c r="B315" s="11" t="s">
        <v>41</v>
      </c>
      <c r="C315" s="6" t="s">
        <v>381</v>
      </c>
      <c r="D315" s="6" t="s">
        <v>713</v>
      </c>
      <c r="E315" s="6" t="s">
        <v>145</v>
      </c>
      <c r="F315" s="6" t="s">
        <v>107</v>
      </c>
      <c r="G315" s="6" t="n">
        <v>40</v>
      </c>
      <c r="H315" s="6"/>
      <c r="I315" s="6" t="s">
        <v>118</v>
      </c>
      <c r="J315" s="6" t="n">
        <v>10</v>
      </c>
      <c r="K315" s="6" t="s">
        <v>46</v>
      </c>
      <c r="L315" s="6" t="n">
        <v>92</v>
      </c>
      <c r="M315" s="6" t="n">
        <v>22</v>
      </c>
      <c r="N315" s="12" t="n">
        <v>32.6</v>
      </c>
      <c r="O315" s="12" t="n">
        <v>32.6</v>
      </c>
      <c r="P315" s="13" t="n">
        <v>28</v>
      </c>
      <c r="Q315" s="12"/>
      <c r="R315" s="14" t="n">
        <v>0.022</v>
      </c>
      <c r="S315" s="6" t="n">
        <v>0</v>
      </c>
      <c r="T315" s="6"/>
      <c r="U315" s="15" t="n">
        <f aca="false">(S315*R315+0.5*(1-(P315/N315)^2)+(1-(P315/O315)^2)^2)*(O315/P315)^4</f>
        <v>0.367416288785923</v>
      </c>
      <c r="V315" s="14"/>
      <c r="W315" s="14"/>
      <c r="X315" s="10" t="s">
        <v>47</v>
      </c>
      <c r="Y315" s="16"/>
      <c r="Z315" s="17" t="s">
        <v>48</v>
      </c>
      <c r="AA315" s="6"/>
      <c r="AB315" s="18" t="n">
        <f aca="false">IF(O315="","",$D$3*PI()*(O315/1000)^2/4*3600)</f>
        <v>4.50732466151427</v>
      </c>
      <c r="AC315" s="19" t="n">
        <f aca="false">IF(OR(U315="",NOT(ISNUMBER(U315))),"",U315*$D$3^2/(2*$H$3))</f>
        <v>0.0421348955029728</v>
      </c>
      <c r="AD315" s="20" t="n">
        <f aca="false">IF(OR(U315="",NOT(ISNUMBER(U315))),"",U315*$D$3^2/2*$F$3)</f>
        <v>413.343324884163</v>
      </c>
      <c r="AE315" s="19" t="str">
        <f aca="false">IF(OR(V315="",NOT(ISNUMBER(V315))),"",V315*$D$3^2/(2*$H$3))</f>
        <v/>
      </c>
      <c r="AF315" s="20" t="str">
        <f aca="false">IF(OR(V315="",NOT(ISNUMBER(V315))),"",V315*$D$3^2/2*$F$3)</f>
        <v/>
      </c>
      <c r="AG315" s="19" t="str">
        <f aca="false">IF(OR(W315="",NOT(ISNUMBER(W315))),"",W315*$D$3^2/(2*$H$3))</f>
        <v/>
      </c>
      <c r="AH315" s="20" t="str">
        <f aca="false">IF(OR(W315="",NOT(ISNUMBER(W315))),"",W315*$D$3^2/2*$F$3)</f>
        <v/>
      </c>
    </row>
    <row r="316" customFormat="false" ht="15" hidden="false" customHeight="false" outlineLevel="0" collapsed="false">
      <c r="A316" s="10" t="s">
        <v>714</v>
      </c>
      <c r="B316" s="11" t="s">
        <v>41</v>
      </c>
      <c r="C316" s="6" t="s">
        <v>381</v>
      </c>
      <c r="D316" s="6" t="s">
        <v>715</v>
      </c>
      <c r="E316" s="6" t="s">
        <v>145</v>
      </c>
      <c r="F316" s="6" t="s">
        <v>107</v>
      </c>
      <c r="G316" s="6" t="n">
        <v>40</v>
      </c>
      <c r="H316" s="6"/>
      <c r="I316" s="6" t="s">
        <v>127</v>
      </c>
      <c r="J316" s="6" t="n">
        <v>10</v>
      </c>
      <c r="K316" s="6" t="s">
        <v>46</v>
      </c>
      <c r="L316" s="6" t="n">
        <v>92</v>
      </c>
      <c r="M316" s="6" t="n">
        <v>22</v>
      </c>
      <c r="N316" s="12" t="n">
        <v>32.6</v>
      </c>
      <c r="O316" s="12" t="n">
        <v>32.6</v>
      </c>
      <c r="P316" s="13" t="n">
        <v>28</v>
      </c>
      <c r="Q316" s="12"/>
      <c r="R316" s="14" t="n">
        <v>0.022</v>
      </c>
      <c r="S316" s="6" t="n">
        <v>0</v>
      </c>
      <c r="T316" s="6"/>
      <c r="U316" s="15" t="n">
        <f aca="false">(S316*R316+0.5*(1-(P316/N316)^2)+(1-(P316/O316)^2)^2)*(O316/P316)^4</f>
        <v>0.367416288785923</v>
      </c>
      <c r="V316" s="14"/>
      <c r="W316" s="14"/>
      <c r="X316" s="10" t="s">
        <v>47</v>
      </c>
      <c r="Y316" s="16"/>
      <c r="Z316" s="17" t="s">
        <v>48</v>
      </c>
      <c r="AA316" s="6"/>
      <c r="AB316" s="18" t="n">
        <f aca="false">IF(O316="","",$D$3*PI()*(O316/1000)^2/4*3600)</f>
        <v>4.50732466151427</v>
      </c>
      <c r="AC316" s="19" t="n">
        <f aca="false">IF(OR(U316="",NOT(ISNUMBER(U316))),"",U316*$D$3^2/(2*$H$3))</f>
        <v>0.0421348955029728</v>
      </c>
      <c r="AD316" s="20" t="n">
        <f aca="false">IF(OR(U316="",NOT(ISNUMBER(U316))),"",U316*$D$3^2/2*$F$3)</f>
        <v>413.343324884163</v>
      </c>
      <c r="AE316" s="19" t="str">
        <f aca="false">IF(OR(V316="",NOT(ISNUMBER(V316))),"",V316*$D$3^2/(2*$H$3))</f>
        <v/>
      </c>
      <c r="AF316" s="20" t="str">
        <f aca="false">IF(OR(V316="",NOT(ISNUMBER(V316))),"",V316*$D$3^2/2*$F$3)</f>
        <v/>
      </c>
      <c r="AG316" s="19" t="str">
        <f aca="false">IF(OR(W316="",NOT(ISNUMBER(W316))),"",W316*$D$3^2/(2*$H$3))</f>
        <v/>
      </c>
      <c r="AH316" s="20" t="str">
        <f aca="false">IF(OR(W316="",NOT(ISNUMBER(W316))),"",W316*$D$3^2/2*$F$3)</f>
        <v/>
      </c>
    </row>
    <row r="317" customFormat="false" ht="15" hidden="false" customHeight="false" outlineLevel="0" collapsed="false">
      <c r="A317" s="10" t="s">
        <v>716</v>
      </c>
      <c r="B317" s="11" t="s">
        <v>41</v>
      </c>
      <c r="C317" s="6" t="s">
        <v>381</v>
      </c>
      <c r="D317" s="6" t="s">
        <v>717</v>
      </c>
      <c r="E317" s="6" t="s">
        <v>145</v>
      </c>
      <c r="F317" s="6" t="s">
        <v>107</v>
      </c>
      <c r="G317" s="6" t="n">
        <v>40</v>
      </c>
      <c r="H317" s="6"/>
      <c r="I317" s="6" t="s">
        <v>130</v>
      </c>
      <c r="J317" s="6" t="n">
        <v>10</v>
      </c>
      <c r="K317" s="6" t="s">
        <v>46</v>
      </c>
      <c r="L317" s="6" t="n">
        <v>92</v>
      </c>
      <c r="M317" s="6" t="n">
        <v>22</v>
      </c>
      <c r="N317" s="12" t="n">
        <v>32.6</v>
      </c>
      <c r="O317" s="12" t="n">
        <v>32.6</v>
      </c>
      <c r="P317" s="13" t="n">
        <v>28</v>
      </c>
      <c r="Q317" s="12"/>
      <c r="R317" s="14" t="n">
        <v>0.022</v>
      </c>
      <c r="S317" s="6" t="n">
        <v>0</v>
      </c>
      <c r="T317" s="6"/>
      <c r="U317" s="15" t="n">
        <f aca="false">(S317*R317+0.5*(1-(P317/N317)^2)+(1-(P317/O317)^2)^2)*(O317/P317)^4</f>
        <v>0.367416288785923</v>
      </c>
      <c r="V317" s="14"/>
      <c r="W317" s="14"/>
      <c r="X317" s="10" t="s">
        <v>47</v>
      </c>
      <c r="Y317" s="16"/>
      <c r="Z317" s="17" t="s">
        <v>48</v>
      </c>
      <c r="AA317" s="6"/>
      <c r="AB317" s="18" t="n">
        <f aca="false">IF(O317="","",$D$3*PI()*(O317/1000)^2/4*3600)</f>
        <v>4.50732466151427</v>
      </c>
      <c r="AC317" s="19" t="n">
        <f aca="false">IF(OR(U317="",NOT(ISNUMBER(U317))),"",U317*$D$3^2/(2*$H$3))</f>
        <v>0.0421348955029728</v>
      </c>
      <c r="AD317" s="20" t="n">
        <f aca="false">IF(OR(U317="",NOT(ISNUMBER(U317))),"",U317*$D$3^2/2*$F$3)</f>
        <v>413.343324884163</v>
      </c>
      <c r="AE317" s="19" t="str">
        <f aca="false">IF(OR(V317="",NOT(ISNUMBER(V317))),"",V317*$D$3^2/(2*$H$3))</f>
        <v/>
      </c>
      <c r="AF317" s="20" t="str">
        <f aca="false">IF(OR(V317="",NOT(ISNUMBER(V317))),"",V317*$D$3^2/2*$F$3)</f>
        <v/>
      </c>
      <c r="AG317" s="19" t="str">
        <f aca="false">IF(OR(W317="",NOT(ISNUMBER(W317))),"",W317*$D$3^2/(2*$H$3))</f>
        <v/>
      </c>
      <c r="AH317" s="20" t="str">
        <f aca="false">IF(OR(W317="",NOT(ISNUMBER(W317))),"",W317*$D$3^2/2*$F$3)</f>
        <v/>
      </c>
    </row>
    <row r="318" customFormat="false" ht="15" hidden="false" customHeight="false" outlineLevel="0" collapsed="false">
      <c r="A318" s="10" t="s">
        <v>718</v>
      </c>
      <c r="B318" s="11" t="s">
        <v>41</v>
      </c>
      <c r="C318" s="6" t="s">
        <v>381</v>
      </c>
      <c r="D318" s="6" t="s">
        <v>719</v>
      </c>
      <c r="E318" s="6" t="s">
        <v>145</v>
      </c>
      <c r="F318" s="6" t="s">
        <v>107</v>
      </c>
      <c r="G318" s="6" t="n">
        <v>50</v>
      </c>
      <c r="H318" s="6"/>
      <c r="I318" s="6" t="s">
        <v>118</v>
      </c>
      <c r="J318" s="6" t="n">
        <v>10</v>
      </c>
      <c r="K318" s="6" t="s">
        <v>46</v>
      </c>
      <c r="L318" s="6" t="n">
        <v>92</v>
      </c>
      <c r="M318" s="6" t="n">
        <v>22</v>
      </c>
      <c r="N318" s="12" t="n">
        <v>40.8</v>
      </c>
      <c r="O318" s="12" t="n">
        <v>40.8</v>
      </c>
      <c r="P318" s="13" t="n">
        <v>35</v>
      </c>
      <c r="Q318" s="12"/>
      <c r="R318" s="14" t="n">
        <v>0.021</v>
      </c>
      <c r="S318" s="6" t="n">
        <v>0</v>
      </c>
      <c r="T318" s="6"/>
      <c r="U318" s="15" t="n">
        <f aca="false">(S318*R318+0.5*(1-(P318/N318)^2)+(1-(P318/O318)^2)^2)*(O318/P318)^4</f>
        <v>0.372647726380675</v>
      </c>
      <c r="V318" s="14"/>
      <c r="W318" s="14"/>
      <c r="X318" s="10" t="s">
        <v>47</v>
      </c>
      <c r="Y318" s="16"/>
      <c r="Z318" s="17" t="s">
        <v>48</v>
      </c>
      <c r="AA318" s="6"/>
      <c r="AB318" s="18" t="n">
        <f aca="false">IF(O318="","",$D$3*PI()*(O318/1000)^2/4*3600)</f>
        <v>7.05998807307681</v>
      </c>
      <c r="AC318" s="19" t="n">
        <f aca="false">IF(OR(U318="",NOT(ISNUMBER(U318))),"",U318*$D$3^2/(2*$H$3))</f>
        <v>0.0427348310069581</v>
      </c>
      <c r="AD318" s="20" t="n">
        <f aca="false">IF(OR(U318="",NOT(ISNUMBER(U318))),"",U318*$D$3^2/2*$F$3)</f>
        <v>419.228692178259</v>
      </c>
      <c r="AE318" s="19" t="str">
        <f aca="false">IF(OR(V318="",NOT(ISNUMBER(V318))),"",V318*$D$3^2/(2*$H$3))</f>
        <v/>
      </c>
      <c r="AF318" s="20" t="str">
        <f aca="false">IF(OR(V318="",NOT(ISNUMBER(V318))),"",V318*$D$3^2/2*$F$3)</f>
        <v/>
      </c>
      <c r="AG318" s="19" t="str">
        <f aca="false">IF(OR(W318="",NOT(ISNUMBER(W318))),"",W318*$D$3^2/(2*$H$3))</f>
        <v/>
      </c>
      <c r="AH318" s="20" t="str">
        <f aca="false">IF(OR(W318="",NOT(ISNUMBER(W318))),"",W318*$D$3^2/2*$F$3)</f>
        <v/>
      </c>
    </row>
    <row r="319" customFormat="false" ht="15" hidden="false" customHeight="false" outlineLevel="0" collapsed="false">
      <c r="A319" s="10" t="s">
        <v>720</v>
      </c>
      <c r="B319" s="11" t="s">
        <v>41</v>
      </c>
      <c r="C319" s="6" t="s">
        <v>381</v>
      </c>
      <c r="D319" s="6" t="s">
        <v>721</v>
      </c>
      <c r="E319" s="6" t="s">
        <v>145</v>
      </c>
      <c r="F319" s="6" t="s">
        <v>107</v>
      </c>
      <c r="G319" s="6" t="n">
        <v>50</v>
      </c>
      <c r="H319" s="6"/>
      <c r="I319" s="6" t="s">
        <v>127</v>
      </c>
      <c r="J319" s="6" t="n">
        <v>10</v>
      </c>
      <c r="K319" s="6" t="s">
        <v>46</v>
      </c>
      <c r="L319" s="6" t="n">
        <v>108</v>
      </c>
      <c r="M319" s="6" t="n">
        <v>23</v>
      </c>
      <c r="N319" s="12" t="n">
        <v>40.8</v>
      </c>
      <c r="O319" s="12" t="n">
        <v>40.8</v>
      </c>
      <c r="P319" s="13" t="n">
        <v>35</v>
      </c>
      <c r="Q319" s="12"/>
      <c r="R319" s="14" t="n">
        <v>0.021</v>
      </c>
      <c r="S319" s="6" t="n">
        <v>0</v>
      </c>
      <c r="T319" s="6"/>
      <c r="U319" s="15" t="n">
        <f aca="false">(S319*R319+0.5*(1-(P319/N319)^2)+(1-(P319/O319)^2)^2)*(O319/P319)^4</f>
        <v>0.372647726380675</v>
      </c>
      <c r="V319" s="14"/>
      <c r="W319" s="14"/>
      <c r="X319" s="10" t="s">
        <v>47</v>
      </c>
      <c r="Y319" s="16"/>
      <c r="Z319" s="17" t="s">
        <v>48</v>
      </c>
      <c r="AA319" s="6"/>
      <c r="AB319" s="18" t="n">
        <f aca="false">IF(O319="","",$D$3*PI()*(O319/1000)^2/4*3600)</f>
        <v>7.05998807307681</v>
      </c>
      <c r="AC319" s="19" t="n">
        <f aca="false">IF(OR(U319="",NOT(ISNUMBER(U319))),"",U319*$D$3^2/(2*$H$3))</f>
        <v>0.0427348310069581</v>
      </c>
      <c r="AD319" s="20" t="n">
        <f aca="false">IF(OR(U319="",NOT(ISNUMBER(U319))),"",U319*$D$3^2/2*$F$3)</f>
        <v>419.228692178259</v>
      </c>
      <c r="AE319" s="19" t="str">
        <f aca="false">IF(OR(V319="",NOT(ISNUMBER(V319))),"",V319*$D$3^2/(2*$H$3))</f>
        <v/>
      </c>
      <c r="AF319" s="20" t="str">
        <f aca="false">IF(OR(V319="",NOT(ISNUMBER(V319))),"",V319*$D$3^2/2*$F$3)</f>
        <v/>
      </c>
      <c r="AG319" s="19" t="str">
        <f aca="false">IF(OR(W319="",NOT(ISNUMBER(W319))),"",W319*$D$3^2/(2*$H$3))</f>
        <v/>
      </c>
      <c r="AH319" s="20" t="str">
        <f aca="false">IF(OR(W319="",NOT(ISNUMBER(W319))),"",W319*$D$3^2/2*$F$3)</f>
        <v/>
      </c>
    </row>
    <row r="320" customFormat="false" ht="15" hidden="false" customHeight="false" outlineLevel="0" collapsed="false">
      <c r="A320" s="10" t="s">
        <v>722</v>
      </c>
      <c r="B320" s="11" t="s">
        <v>41</v>
      </c>
      <c r="C320" s="6" t="s">
        <v>381</v>
      </c>
      <c r="D320" s="6" t="s">
        <v>723</v>
      </c>
      <c r="E320" s="6" t="s">
        <v>145</v>
      </c>
      <c r="F320" s="6" t="s">
        <v>107</v>
      </c>
      <c r="G320" s="6" t="n">
        <v>50</v>
      </c>
      <c r="H320" s="6"/>
      <c r="I320" s="6" t="s">
        <v>130</v>
      </c>
      <c r="J320" s="6" t="n">
        <v>10</v>
      </c>
      <c r="K320" s="6" t="s">
        <v>46</v>
      </c>
      <c r="L320" s="6" t="n">
        <v>108</v>
      </c>
      <c r="M320" s="6" t="n">
        <v>23</v>
      </c>
      <c r="N320" s="12" t="n">
        <v>40.8</v>
      </c>
      <c r="O320" s="12" t="n">
        <v>40.8</v>
      </c>
      <c r="P320" s="13" t="n">
        <v>35</v>
      </c>
      <c r="Q320" s="12"/>
      <c r="R320" s="14" t="n">
        <v>0.021</v>
      </c>
      <c r="S320" s="6" t="n">
        <v>0</v>
      </c>
      <c r="T320" s="6"/>
      <c r="U320" s="15" t="n">
        <f aca="false">(S320*R320+0.5*(1-(P320/N320)^2)+(1-(P320/O320)^2)^2)*(O320/P320)^4</f>
        <v>0.372647726380675</v>
      </c>
      <c r="V320" s="14"/>
      <c r="W320" s="14"/>
      <c r="X320" s="10" t="s">
        <v>47</v>
      </c>
      <c r="Y320" s="16"/>
      <c r="Z320" s="17" t="s">
        <v>48</v>
      </c>
      <c r="AA320" s="6"/>
      <c r="AB320" s="18" t="n">
        <f aca="false">IF(O320="","",$D$3*PI()*(O320/1000)^2/4*3600)</f>
        <v>7.05998807307681</v>
      </c>
      <c r="AC320" s="19" t="n">
        <f aca="false">IF(OR(U320="",NOT(ISNUMBER(U320))),"",U320*$D$3^2/(2*$H$3))</f>
        <v>0.0427348310069581</v>
      </c>
      <c r="AD320" s="20" t="n">
        <f aca="false">IF(OR(U320="",NOT(ISNUMBER(U320))),"",U320*$D$3^2/2*$F$3)</f>
        <v>419.228692178259</v>
      </c>
      <c r="AE320" s="19" t="str">
        <f aca="false">IF(OR(V320="",NOT(ISNUMBER(V320))),"",V320*$D$3^2/(2*$H$3))</f>
        <v/>
      </c>
      <c r="AF320" s="20" t="str">
        <f aca="false">IF(OR(V320="",NOT(ISNUMBER(V320))),"",V320*$D$3^2/2*$F$3)</f>
        <v/>
      </c>
      <c r="AG320" s="19" t="str">
        <f aca="false">IF(OR(W320="",NOT(ISNUMBER(W320))),"",W320*$D$3^2/(2*$H$3))</f>
        <v/>
      </c>
      <c r="AH320" s="20" t="str">
        <f aca="false">IF(OR(W320="",NOT(ISNUMBER(W320))),"",W320*$D$3^2/2*$F$3)</f>
        <v/>
      </c>
    </row>
    <row r="321" customFormat="false" ht="15" hidden="false" customHeight="false" outlineLevel="0" collapsed="false">
      <c r="A321" s="10" t="s">
        <v>724</v>
      </c>
      <c r="B321" s="11" t="s">
        <v>41</v>
      </c>
      <c r="C321" s="6" t="s">
        <v>381</v>
      </c>
      <c r="D321" s="6" t="s">
        <v>725</v>
      </c>
      <c r="E321" s="6" t="s">
        <v>145</v>
      </c>
      <c r="F321" s="6" t="s">
        <v>107</v>
      </c>
      <c r="G321" s="6" t="n">
        <v>50</v>
      </c>
      <c r="H321" s="6"/>
      <c r="I321" s="6" t="s">
        <v>133</v>
      </c>
      <c r="J321" s="6" t="n">
        <v>10</v>
      </c>
      <c r="K321" s="6" t="s">
        <v>46</v>
      </c>
      <c r="L321" s="6" t="n">
        <v>108</v>
      </c>
      <c r="M321" s="6" t="n">
        <v>23</v>
      </c>
      <c r="N321" s="12" t="n">
        <v>40.8</v>
      </c>
      <c r="O321" s="12" t="n">
        <v>40.8</v>
      </c>
      <c r="P321" s="13" t="n">
        <v>35</v>
      </c>
      <c r="Q321" s="12"/>
      <c r="R321" s="14" t="n">
        <v>0.021</v>
      </c>
      <c r="S321" s="6" t="n">
        <v>0</v>
      </c>
      <c r="T321" s="6"/>
      <c r="U321" s="15" t="n">
        <f aca="false">(S321*R321+0.5*(1-(P321/N321)^2)+(1-(P321/O321)^2)^2)*(O321/P321)^4</f>
        <v>0.372647726380675</v>
      </c>
      <c r="V321" s="14"/>
      <c r="W321" s="14"/>
      <c r="X321" s="10" t="s">
        <v>47</v>
      </c>
      <c r="Y321" s="16"/>
      <c r="Z321" s="17" t="s">
        <v>48</v>
      </c>
      <c r="AA321" s="6"/>
      <c r="AB321" s="18" t="n">
        <f aca="false">IF(O321="","",$D$3*PI()*(O321/1000)^2/4*3600)</f>
        <v>7.05998807307681</v>
      </c>
      <c r="AC321" s="19" t="n">
        <f aca="false">IF(OR(U321="",NOT(ISNUMBER(U321))),"",U321*$D$3^2/(2*$H$3))</f>
        <v>0.0427348310069581</v>
      </c>
      <c r="AD321" s="20" t="n">
        <f aca="false">IF(OR(U321="",NOT(ISNUMBER(U321))),"",U321*$D$3^2/2*$F$3)</f>
        <v>419.228692178259</v>
      </c>
      <c r="AE321" s="19" t="str">
        <f aca="false">IF(OR(V321="",NOT(ISNUMBER(V321))),"",V321*$D$3^2/(2*$H$3))</f>
        <v/>
      </c>
      <c r="AF321" s="20" t="str">
        <f aca="false">IF(OR(V321="",NOT(ISNUMBER(V321))),"",V321*$D$3^2/2*$F$3)</f>
        <v/>
      </c>
      <c r="AG321" s="19" t="str">
        <f aca="false">IF(OR(W321="",NOT(ISNUMBER(W321))),"",W321*$D$3^2/(2*$H$3))</f>
        <v/>
      </c>
      <c r="AH321" s="20" t="str">
        <f aca="false">IF(OR(W321="",NOT(ISNUMBER(W321))),"",W321*$D$3^2/2*$F$3)</f>
        <v/>
      </c>
    </row>
    <row r="322" customFormat="false" ht="15" hidden="false" customHeight="false" outlineLevel="0" collapsed="false">
      <c r="A322" s="10" t="s">
        <v>726</v>
      </c>
      <c r="B322" s="11" t="s">
        <v>41</v>
      </c>
      <c r="C322" s="6" t="s">
        <v>381</v>
      </c>
      <c r="D322" s="6" t="s">
        <v>727</v>
      </c>
      <c r="E322" s="6" t="s">
        <v>145</v>
      </c>
      <c r="F322" s="6" t="s">
        <v>107</v>
      </c>
      <c r="G322" s="6" t="n">
        <v>63</v>
      </c>
      <c r="H322" s="6"/>
      <c r="I322" s="6" t="s">
        <v>130</v>
      </c>
      <c r="J322" s="6" t="n">
        <v>10</v>
      </c>
      <c r="K322" s="6" t="s">
        <v>46</v>
      </c>
      <c r="L322" s="6" t="n">
        <v>125</v>
      </c>
      <c r="M322" s="6" t="n">
        <v>25</v>
      </c>
      <c r="N322" s="12" t="n">
        <v>51.4</v>
      </c>
      <c r="O322" s="12" t="n">
        <v>51.4</v>
      </c>
      <c r="P322" s="13" t="n">
        <v>45</v>
      </c>
      <c r="Q322" s="12"/>
      <c r="R322" s="14" t="n">
        <v>0.019</v>
      </c>
      <c r="S322" s="6" t="n">
        <v>0</v>
      </c>
      <c r="T322" s="6"/>
      <c r="U322" s="15" t="n">
        <f aca="false">(S322*R322+0.5*(1-(P322/N322)^2)+(1-(P322/O322)^2)^2)*(O322/P322)^4</f>
        <v>0.291572982752629</v>
      </c>
      <c r="V322" s="14"/>
      <c r="W322" s="14"/>
      <c r="X322" s="10" t="s">
        <v>47</v>
      </c>
      <c r="Y322" s="16"/>
      <c r="Z322" s="17" t="s">
        <v>48</v>
      </c>
      <c r="AA322" s="6"/>
      <c r="AB322" s="18" t="n">
        <f aca="false">IF(O322="","",$D$3*PI()*(O322/1000)^2/4*3600)</f>
        <v>11.2049488715554</v>
      </c>
      <c r="AC322" s="19" t="n">
        <f aca="false">IF(OR(U322="",NOT(ISNUMBER(U322))),"",U322*$D$3^2/(2*$H$3))</f>
        <v>0.0334372686642924</v>
      </c>
      <c r="AD322" s="20" t="n">
        <f aca="false">IF(OR(U322="",NOT(ISNUMBER(U322))),"",U322*$D$3^2/2*$F$3)</f>
        <v>328.019605596708</v>
      </c>
      <c r="AE322" s="19" t="str">
        <f aca="false">IF(OR(V322="",NOT(ISNUMBER(V322))),"",V322*$D$3^2/(2*$H$3))</f>
        <v/>
      </c>
      <c r="AF322" s="20" t="str">
        <f aca="false">IF(OR(V322="",NOT(ISNUMBER(V322))),"",V322*$D$3^2/2*$F$3)</f>
        <v/>
      </c>
      <c r="AG322" s="19" t="str">
        <f aca="false">IF(OR(W322="",NOT(ISNUMBER(W322))),"",W322*$D$3^2/(2*$H$3))</f>
        <v/>
      </c>
      <c r="AH322" s="20" t="str">
        <f aca="false">IF(OR(W322="",NOT(ISNUMBER(W322))),"",W322*$D$3^2/2*$F$3)</f>
        <v/>
      </c>
    </row>
    <row r="323" customFormat="false" ht="15" hidden="false" customHeight="false" outlineLevel="0" collapsed="false">
      <c r="A323" s="10" t="s">
        <v>728</v>
      </c>
      <c r="B323" s="11" t="s">
        <v>41</v>
      </c>
      <c r="C323" s="6" t="s">
        <v>381</v>
      </c>
      <c r="D323" s="6" t="s">
        <v>729</v>
      </c>
      <c r="E323" s="6" t="s">
        <v>145</v>
      </c>
      <c r="F323" s="6" t="s">
        <v>107</v>
      </c>
      <c r="G323" s="6" t="n">
        <v>63</v>
      </c>
      <c r="H323" s="6"/>
      <c r="I323" s="6" t="s">
        <v>133</v>
      </c>
      <c r="J323" s="6" t="n">
        <v>10</v>
      </c>
      <c r="K323" s="6" t="s">
        <v>46</v>
      </c>
      <c r="L323" s="6" t="n">
        <v>125</v>
      </c>
      <c r="M323" s="6" t="n">
        <v>25</v>
      </c>
      <c r="N323" s="12" t="n">
        <v>51.4</v>
      </c>
      <c r="O323" s="12" t="n">
        <v>51.4</v>
      </c>
      <c r="P323" s="13" t="n">
        <v>45</v>
      </c>
      <c r="Q323" s="12"/>
      <c r="R323" s="14" t="n">
        <v>0.019</v>
      </c>
      <c r="S323" s="6" t="n">
        <v>0</v>
      </c>
      <c r="T323" s="6"/>
      <c r="U323" s="15" t="n">
        <f aca="false">(S323*R323+0.5*(1-(P323/N323)^2)+(1-(P323/O323)^2)^2)*(O323/P323)^4</f>
        <v>0.291572982752629</v>
      </c>
      <c r="V323" s="14"/>
      <c r="W323" s="14"/>
      <c r="X323" s="10" t="s">
        <v>47</v>
      </c>
      <c r="Y323" s="16"/>
      <c r="Z323" s="17" t="s">
        <v>48</v>
      </c>
      <c r="AA323" s="6"/>
      <c r="AB323" s="18" t="n">
        <f aca="false">IF(O323="","",$D$3*PI()*(O323/1000)^2/4*3600)</f>
        <v>11.2049488715554</v>
      </c>
      <c r="AC323" s="19" t="n">
        <f aca="false">IF(OR(U323="",NOT(ISNUMBER(U323))),"",U323*$D$3^2/(2*$H$3))</f>
        <v>0.0334372686642924</v>
      </c>
      <c r="AD323" s="20" t="n">
        <f aca="false">IF(OR(U323="",NOT(ISNUMBER(U323))),"",U323*$D$3^2/2*$F$3)</f>
        <v>328.019605596708</v>
      </c>
      <c r="AE323" s="19" t="str">
        <f aca="false">IF(OR(V323="",NOT(ISNUMBER(V323))),"",V323*$D$3^2/(2*$H$3))</f>
        <v/>
      </c>
      <c r="AF323" s="20" t="str">
        <f aca="false">IF(OR(V323="",NOT(ISNUMBER(V323))),"",V323*$D$3^2/2*$F$3)</f>
        <v/>
      </c>
      <c r="AG323" s="19" t="str">
        <f aca="false">IF(OR(W323="",NOT(ISNUMBER(W323))),"",W323*$D$3^2/(2*$H$3))</f>
        <v/>
      </c>
      <c r="AH323" s="20" t="str">
        <f aca="false">IF(OR(W323="",NOT(ISNUMBER(W323))),"",W323*$D$3^2/2*$F$3)</f>
        <v/>
      </c>
    </row>
    <row r="324" customFormat="false" ht="15" hidden="false" customHeight="false" outlineLevel="0" collapsed="false">
      <c r="A324" s="10" t="s">
        <v>730</v>
      </c>
      <c r="B324" s="11" t="s">
        <v>41</v>
      </c>
      <c r="C324" s="6" t="s">
        <v>381</v>
      </c>
      <c r="D324" s="6" t="s">
        <v>731</v>
      </c>
      <c r="E324" s="6" t="s">
        <v>145</v>
      </c>
      <c r="F324" s="6" t="s">
        <v>107</v>
      </c>
      <c r="G324" s="6" t="n">
        <v>75</v>
      </c>
      <c r="H324" s="6"/>
      <c r="I324" s="6" t="s">
        <v>133</v>
      </c>
      <c r="J324" s="6" t="n">
        <v>10</v>
      </c>
      <c r="K324" s="6" t="s">
        <v>46</v>
      </c>
      <c r="L324" s="6" t="n">
        <v>140</v>
      </c>
      <c r="M324" s="6" t="n">
        <v>39</v>
      </c>
      <c r="N324" s="12" t="n">
        <v>61.4</v>
      </c>
      <c r="O324" s="12" t="n">
        <v>61.4</v>
      </c>
      <c r="P324" s="13" t="n">
        <v>54</v>
      </c>
      <c r="Q324" s="12"/>
      <c r="R324" s="14" t="n">
        <v>0.018</v>
      </c>
      <c r="S324" s="6" t="n">
        <v>0</v>
      </c>
      <c r="T324" s="6"/>
      <c r="U324" s="15" t="n">
        <f aca="false">(S324*R324+0.5*(1-(P324/N324)^2)+(1-(P324/O324)^2)^2)*(O324/P324)^4</f>
        <v>0.275071127651047</v>
      </c>
      <c r="V324" s="14"/>
      <c r="W324" s="14"/>
      <c r="X324" s="10" t="s">
        <v>47</v>
      </c>
      <c r="Y324" s="16"/>
      <c r="Z324" s="17" t="s">
        <v>48</v>
      </c>
      <c r="AA324" s="6"/>
      <c r="AB324" s="18" t="n">
        <f aca="false">IF(O324="","",$D$3*PI()*(O324/1000)^2/4*3600)</f>
        <v>15.988966164442</v>
      </c>
      <c r="AC324" s="19" t="n">
        <f aca="false">IF(OR(U324="",NOT(ISNUMBER(U324))),"",U324*$D$3^2/(2*$H$3))</f>
        <v>0.0315448540884228</v>
      </c>
      <c r="AD324" s="20" t="n">
        <f aca="false">IF(OR(U324="",NOT(ISNUMBER(U324))),"",U324*$D$3^2/2*$F$3)</f>
        <v>309.455018607428</v>
      </c>
      <c r="AE324" s="19" t="str">
        <f aca="false">IF(OR(V324="",NOT(ISNUMBER(V324))),"",V324*$D$3^2/(2*$H$3))</f>
        <v/>
      </c>
      <c r="AF324" s="20" t="str">
        <f aca="false">IF(OR(V324="",NOT(ISNUMBER(V324))),"",V324*$D$3^2/2*$F$3)</f>
        <v/>
      </c>
      <c r="AG324" s="19" t="str">
        <f aca="false">IF(OR(W324="",NOT(ISNUMBER(W324))),"",W324*$D$3^2/(2*$H$3))</f>
        <v/>
      </c>
      <c r="AH324" s="20" t="str">
        <f aca="false">IF(OR(W324="",NOT(ISNUMBER(W324))),"",W324*$D$3^2/2*$F$3)</f>
        <v/>
      </c>
    </row>
    <row r="325" customFormat="false" ht="15" hidden="false" customHeight="false" outlineLevel="0" collapsed="false">
      <c r="A325" s="10" t="s">
        <v>732</v>
      </c>
      <c r="B325" s="11" t="s">
        <v>41</v>
      </c>
      <c r="C325" s="6" t="s">
        <v>381</v>
      </c>
      <c r="D325" s="6" t="s">
        <v>733</v>
      </c>
      <c r="E325" s="6" t="s">
        <v>145</v>
      </c>
      <c r="F325" s="6" t="s">
        <v>107</v>
      </c>
      <c r="G325" s="6" t="n">
        <v>75</v>
      </c>
      <c r="H325" s="6"/>
      <c r="I325" s="6" t="s">
        <v>136</v>
      </c>
      <c r="J325" s="6" t="n">
        <v>10</v>
      </c>
      <c r="K325" s="6" t="s">
        <v>46</v>
      </c>
      <c r="L325" s="6" t="n">
        <v>140</v>
      </c>
      <c r="M325" s="6" t="n">
        <v>39</v>
      </c>
      <c r="N325" s="12" t="n">
        <v>61.4</v>
      </c>
      <c r="O325" s="12" t="n">
        <v>61.4</v>
      </c>
      <c r="P325" s="13" t="n">
        <v>54</v>
      </c>
      <c r="Q325" s="12"/>
      <c r="R325" s="14" t="n">
        <v>0.018</v>
      </c>
      <c r="S325" s="6" t="n">
        <v>0</v>
      </c>
      <c r="T325" s="6"/>
      <c r="U325" s="15" t="n">
        <f aca="false">(S325*R325+0.5*(1-(P325/N325)^2)+(1-(P325/O325)^2)^2)*(O325/P325)^4</f>
        <v>0.275071127651047</v>
      </c>
      <c r="V325" s="14"/>
      <c r="W325" s="14"/>
      <c r="X325" s="10" t="s">
        <v>47</v>
      </c>
      <c r="Y325" s="16"/>
      <c r="Z325" s="17" t="s">
        <v>48</v>
      </c>
      <c r="AA325" s="6"/>
      <c r="AB325" s="18" t="n">
        <f aca="false">IF(O325="","",$D$3*PI()*(O325/1000)^2/4*3600)</f>
        <v>15.988966164442</v>
      </c>
      <c r="AC325" s="19" t="n">
        <f aca="false">IF(OR(U325="",NOT(ISNUMBER(U325))),"",U325*$D$3^2/(2*$H$3))</f>
        <v>0.0315448540884228</v>
      </c>
      <c r="AD325" s="20" t="n">
        <f aca="false">IF(OR(U325="",NOT(ISNUMBER(U325))),"",U325*$D$3^2/2*$F$3)</f>
        <v>309.455018607428</v>
      </c>
      <c r="AE325" s="19" t="str">
        <f aca="false">IF(OR(V325="",NOT(ISNUMBER(V325))),"",V325*$D$3^2/(2*$H$3))</f>
        <v/>
      </c>
      <c r="AF325" s="20" t="str">
        <f aca="false">IF(OR(V325="",NOT(ISNUMBER(V325))),"",V325*$D$3^2/2*$F$3)</f>
        <v/>
      </c>
      <c r="AG325" s="19" t="str">
        <f aca="false">IF(OR(W325="",NOT(ISNUMBER(W325))),"",W325*$D$3^2/(2*$H$3))</f>
        <v/>
      </c>
      <c r="AH325" s="20" t="str">
        <f aca="false">IF(OR(W325="",NOT(ISNUMBER(W325))),"",W325*$D$3^2/2*$F$3)</f>
        <v/>
      </c>
    </row>
    <row r="326" customFormat="false" ht="15" hidden="false" customHeight="false" outlineLevel="0" collapsed="false">
      <c r="A326" s="10" t="s">
        <v>734</v>
      </c>
      <c r="B326" s="11" t="s">
        <v>41</v>
      </c>
      <c r="C326" s="6" t="s">
        <v>381</v>
      </c>
      <c r="D326" s="6" t="s">
        <v>735</v>
      </c>
      <c r="E326" s="6" t="s">
        <v>145</v>
      </c>
      <c r="F326" s="6" t="s">
        <v>107</v>
      </c>
      <c r="G326" s="6" t="n">
        <v>75</v>
      </c>
      <c r="H326" s="6"/>
      <c r="I326" s="6" t="s">
        <v>139</v>
      </c>
      <c r="J326" s="6" t="n">
        <v>10</v>
      </c>
      <c r="K326" s="6" t="s">
        <v>46</v>
      </c>
      <c r="L326" s="6" t="n">
        <v>140</v>
      </c>
      <c r="M326" s="6" t="n">
        <v>39</v>
      </c>
      <c r="N326" s="12" t="n">
        <v>61.4</v>
      </c>
      <c r="O326" s="12" t="n">
        <v>61.4</v>
      </c>
      <c r="P326" s="13" t="n">
        <v>54</v>
      </c>
      <c r="Q326" s="12"/>
      <c r="R326" s="14" t="n">
        <v>0.018</v>
      </c>
      <c r="S326" s="6" t="n">
        <v>0</v>
      </c>
      <c r="T326" s="6"/>
      <c r="U326" s="15" t="n">
        <f aca="false">(S326*R326+0.5*(1-(P326/N326)^2)+(1-(P326/O326)^2)^2)*(O326/P326)^4</f>
        <v>0.275071127651047</v>
      </c>
      <c r="V326" s="14"/>
      <c r="W326" s="14"/>
      <c r="X326" s="10" t="s">
        <v>47</v>
      </c>
      <c r="Y326" s="16"/>
      <c r="Z326" s="17" t="s">
        <v>48</v>
      </c>
      <c r="AA326" s="6"/>
      <c r="AB326" s="18" t="n">
        <f aca="false">IF(O326="","",$D$3*PI()*(O326/1000)^2/4*3600)</f>
        <v>15.988966164442</v>
      </c>
      <c r="AC326" s="19" t="n">
        <f aca="false">IF(OR(U326="",NOT(ISNUMBER(U326))),"",U326*$D$3^2/(2*$H$3))</f>
        <v>0.0315448540884228</v>
      </c>
      <c r="AD326" s="20" t="n">
        <f aca="false">IF(OR(U326="",NOT(ISNUMBER(U326))),"",U326*$D$3^2/2*$F$3)</f>
        <v>309.455018607428</v>
      </c>
      <c r="AE326" s="19" t="str">
        <f aca="false">IF(OR(V326="",NOT(ISNUMBER(V326))),"",V326*$D$3^2/(2*$H$3))</f>
        <v/>
      </c>
      <c r="AF326" s="20" t="str">
        <f aca="false">IF(OR(V326="",NOT(ISNUMBER(V326))),"",V326*$D$3^2/2*$F$3)</f>
        <v/>
      </c>
      <c r="AG326" s="19" t="str">
        <f aca="false">IF(OR(W326="",NOT(ISNUMBER(W326))),"",W326*$D$3^2/(2*$H$3))</f>
        <v/>
      </c>
      <c r="AH326" s="20" t="str">
        <f aca="false">IF(OR(W326="",NOT(ISNUMBER(W326))),"",W326*$D$3^2/2*$F$3)</f>
        <v/>
      </c>
    </row>
    <row r="327" customFormat="false" ht="15" hidden="false" customHeight="false" outlineLevel="0" collapsed="false">
      <c r="A327" s="10" t="s">
        <v>736</v>
      </c>
      <c r="B327" s="11" t="s">
        <v>41</v>
      </c>
      <c r="C327" s="6" t="s">
        <v>381</v>
      </c>
      <c r="D327" s="6" t="s">
        <v>737</v>
      </c>
      <c r="E327" s="6" t="s">
        <v>145</v>
      </c>
      <c r="F327" s="6" t="s">
        <v>107</v>
      </c>
      <c r="G327" s="6" t="n">
        <v>90</v>
      </c>
      <c r="H327" s="6"/>
      <c r="I327" s="6" t="s">
        <v>133</v>
      </c>
      <c r="J327" s="6" t="n">
        <v>10</v>
      </c>
      <c r="K327" s="6" t="s">
        <v>46</v>
      </c>
      <c r="L327" s="6" t="n">
        <v>148</v>
      </c>
      <c r="M327" s="6" t="n">
        <v>30.5</v>
      </c>
      <c r="N327" s="12" t="n">
        <v>73.6</v>
      </c>
      <c r="O327" s="12" t="n">
        <v>73.6</v>
      </c>
      <c r="P327" s="13" t="n">
        <v>66</v>
      </c>
      <c r="Q327" s="12"/>
      <c r="R327" s="14" t="n">
        <v>0.018</v>
      </c>
      <c r="S327" s="6" t="n">
        <v>0</v>
      </c>
      <c r="T327" s="6"/>
      <c r="U327" s="15" t="n">
        <f aca="false">(S327*R327+0.5*(1-(P327/N327)^2)+(1-(P327/O327)^2)^2)*(O327/P327)^4</f>
        <v>0.210765781531822</v>
      </c>
      <c r="V327" s="14"/>
      <c r="W327" s="14"/>
      <c r="X327" s="10" t="s">
        <v>47</v>
      </c>
      <c r="Y327" s="16"/>
      <c r="Z327" s="17" t="s">
        <v>48</v>
      </c>
      <c r="AA327" s="6"/>
      <c r="AB327" s="18" t="n">
        <f aca="false">IF(O327="","",$D$3*PI()*(O327/1000)^2/4*3600)</f>
        <v>22.9741403500662</v>
      </c>
      <c r="AC327" s="19" t="n">
        <f aca="false">IF(OR(U327="",NOT(ISNUMBER(U327))),"",U327*$D$3^2/(2*$H$3))</f>
        <v>0.0241703877903465</v>
      </c>
      <c r="AD327" s="20" t="n">
        <f aca="false">IF(OR(U327="",NOT(ISNUMBER(U327))),"",U327*$D$3^2/2*$F$3)</f>
        <v>237.1115042233</v>
      </c>
      <c r="AE327" s="19" t="str">
        <f aca="false">IF(OR(V327="",NOT(ISNUMBER(V327))),"",V327*$D$3^2/(2*$H$3))</f>
        <v/>
      </c>
      <c r="AF327" s="20" t="str">
        <f aca="false">IF(OR(V327="",NOT(ISNUMBER(V327))),"",V327*$D$3^2/2*$F$3)</f>
        <v/>
      </c>
      <c r="AG327" s="19" t="str">
        <f aca="false">IF(OR(W327="",NOT(ISNUMBER(W327))),"",W327*$D$3^2/(2*$H$3))</f>
        <v/>
      </c>
      <c r="AH327" s="20" t="str">
        <f aca="false">IF(OR(W327="",NOT(ISNUMBER(W327))),"",W327*$D$3^2/2*$F$3)</f>
        <v/>
      </c>
    </row>
    <row r="328" customFormat="false" ht="15" hidden="false" customHeight="false" outlineLevel="0" collapsed="false">
      <c r="A328" s="10" t="s">
        <v>738</v>
      </c>
      <c r="B328" s="11" t="s">
        <v>41</v>
      </c>
      <c r="C328" s="6" t="s">
        <v>381</v>
      </c>
      <c r="D328" s="6" t="s">
        <v>739</v>
      </c>
      <c r="E328" s="6" t="s">
        <v>145</v>
      </c>
      <c r="F328" s="6" t="s">
        <v>107</v>
      </c>
      <c r="G328" s="6" t="n">
        <v>90</v>
      </c>
      <c r="H328" s="6"/>
      <c r="I328" s="6" t="s">
        <v>136</v>
      </c>
      <c r="J328" s="6" t="n">
        <v>10</v>
      </c>
      <c r="K328" s="6" t="s">
        <v>46</v>
      </c>
      <c r="L328" s="6" t="n">
        <v>148</v>
      </c>
      <c r="M328" s="6" t="n">
        <v>30</v>
      </c>
      <c r="N328" s="12" t="n">
        <v>73.6</v>
      </c>
      <c r="O328" s="12" t="n">
        <v>73.6</v>
      </c>
      <c r="P328" s="13" t="n">
        <v>66</v>
      </c>
      <c r="Q328" s="12"/>
      <c r="R328" s="14" t="n">
        <v>0.018</v>
      </c>
      <c r="S328" s="6" t="n">
        <v>0</v>
      </c>
      <c r="T328" s="6"/>
      <c r="U328" s="15" t="n">
        <f aca="false">(S328*R328+0.5*(1-(P328/N328)^2)+(1-(P328/O328)^2)^2)*(O328/P328)^4</f>
        <v>0.210765781531822</v>
      </c>
      <c r="V328" s="14"/>
      <c r="W328" s="14"/>
      <c r="X328" s="10" t="s">
        <v>47</v>
      </c>
      <c r="Y328" s="16"/>
      <c r="Z328" s="17" t="s">
        <v>48</v>
      </c>
      <c r="AA328" s="6"/>
      <c r="AB328" s="18" t="n">
        <f aca="false">IF(O328="","",$D$3*PI()*(O328/1000)^2/4*3600)</f>
        <v>22.9741403500662</v>
      </c>
      <c r="AC328" s="19" t="n">
        <f aca="false">IF(OR(U328="",NOT(ISNUMBER(U328))),"",U328*$D$3^2/(2*$H$3))</f>
        <v>0.0241703877903465</v>
      </c>
      <c r="AD328" s="20" t="n">
        <f aca="false">IF(OR(U328="",NOT(ISNUMBER(U328))),"",U328*$D$3^2/2*$F$3)</f>
        <v>237.1115042233</v>
      </c>
      <c r="AE328" s="19" t="str">
        <f aca="false">IF(OR(V328="",NOT(ISNUMBER(V328))),"",V328*$D$3^2/(2*$H$3))</f>
        <v/>
      </c>
      <c r="AF328" s="20" t="str">
        <f aca="false">IF(OR(V328="",NOT(ISNUMBER(V328))),"",V328*$D$3^2/2*$F$3)</f>
        <v/>
      </c>
      <c r="AG328" s="19" t="str">
        <f aca="false">IF(OR(W328="",NOT(ISNUMBER(W328))),"",W328*$D$3^2/(2*$H$3))</f>
        <v/>
      </c>
      <c r="AH328" s="20" t="str">
        <f aca="false">IF(OR(W328="",NOT(ISNUMBER(W328))),"",W328*$D$3^2/2*$F$3)</f>
        <v/>
      </c>
    </row>
    <row r="329" customFormat="false" ht="15" hidden="false" customHeight="false" outlineLevel="0" collapsed="false">
      <c r="A329" s="10" t="s">
        <v>740</v>
      </c>
      <c r="B329" s="11" t="s">
        <v>41</v>
      </c>
      <c r="C329" s="6" t="s">
        <v>381</v>
      </c>
      <c r="D329" s="6" t="s">
        <v>741</v>
      </c>
      <c r="E329" s="6" t="s">
        <v>145</v>
      </c>
      <c r="F329" s="6" t="s">
        <v>107</v>
      </c>
      <c r="G329" s="6" t="n">
        <v>90</v>
      </c>
      <c r="H329" s="6"/>
      <c r="I329" s="6" t="s">
        <v>139</v>
      </c>
      <c r="J329" s="6" t="n">
        <v>10</v>
      </c>
      <c r="K329" s="6" t="s">
        <v>46</v>
      </c>
      <c r="L329" s="6" t="n">
        <v>148</v>
      </c>
      <c r="M329" s="6" t="n">
        <v>30</v>
      </c>
      <c r="N329" s="12" t="n">
        <v>73.6</v>
      </c>
      <c r="O329" s="12" t="n">
        <v>73.6</v>
      </c>
      <c r="P329" s="13" t="n">
        <v>66</v>
      </c>
      <c r="Q329" s="12"/>
      <c r="R329" s="14" t="n">
        <v>0.018</v>
      </c>
      <c r="S329" s="6" t="n">
        <v>0</v>
      </c>
      <c r="T329" s="6"/>
      <c r="U329" s="15" t="n">
        <f aca="false">(S329*R329+0.5*(1-(P329/N329)^2)+(1-(P329/O329)^2)^2)*(O329/P329)^4</f>
        <v>0.210765781531822</v>
      </c>
      <c r="V329" s="14"/>
      <c r="W329" s="14"/>
      <c r="X329" s="10" t="s">
        <v>47</v>
      </c>
      <c r="Y329" s="16"/>
      <c r="Z329" s="17" t="s">
        <v>48</v>
      </c>
      <c r="AA329" s="6"/>
      <c r="AB329" s="18" t="n">
        <f aca="false">IF(O329="","",$D$3*PI()*(O329/1000)^2/4*3600)</f>
        <v>22.9741403500662</v>
      </c>
      <c r="AC329" s="19" t="n">
        <f aca="false">IF(OR(U329="",NOT(ISNUMBER(U329))),"",U329*$D$3^2/(2*$H$3))</f>
        <v>0.0241703877903465</v>
      </c>
      <c r="AD329" s="20" t="n">
        <f aca="false">IF(OR(U329="",NOT(ISNUMBER(U329))),"",U329*$D$3^2/2*$F$3)</f>
        <v>237.1115042233</v>
      </c>
      <c r="AE329" s="19" t="str">
        <f aca="false">IF(OR(V329="",NOT(ISNUMBER(V329))),"",V329*$D$3^2/(2*$H$3))</f>
        <v/>
      </c>
      <c r="AF329" s="20" t="str">
        <f aca="false">IF(OR(V329="",NOT(ISNUMBER(V329))),"",V329*$D$3^2/2*$F$3)</f>
        <v/>
      </c>
      <c r="AG329" s="19" t="str">
        <f aca="false">IF(OR(W329="",NOT(ISNUMBER(W329))),"",W329*$D$3^2/(2*$H$3))</f>
        <v/>
      </c>
      <c r="AH329" s="20" t="str">
        <f aca="false">IF(OR(W329="",NOT(ISNUMBER(W329))),"",W329*$D$3^2/2*$F$3)</f>
        <v/>
      </c>
    </row>
    <row r="330" customFormat="false" ht="15" hidden="false" customHeight="false" outlineLevel="0" collapsed="false">
      <c r="A330" s="10" t="s">
        <v>742</v>
      </c>
      <c r="B330" s="11" t="s">
        <v>41</v>
      </c>
      <c r="C330" s="6" t="s">
        <v>381</v>
      </c>
      <c r="D330" s="6" t="s">
        <v>743</v>
      </c>
      <c r="E330" s="6" t="s">
        <v>145</v>
      </c>
      <c r="F330" s="6" t="s">
        <v>107</v>
      </c>
      <c r="G330" s="6" t="n">
        <v>90</v>
      </c>
      <c r="H330" s="6"/>
      <c r="I330" s="6" t="s">
        <v>142</v>
      </c>
      <c r="J330" s="6" t="n">
        <v>10</v>
      </c>
      <c r="K330" s="6" t="s">
        <v>46</v>
      </c>
      <c r="L330" s="6" t="n">
        <v>148</v>
      </c>
      <c r="M330" s="6" t="n">
        <v>29</v>
      </c>
      <c r="N330" s="12" t="n">
        <v>73.6</v>
      </c>
      <c r="O330" s="12" t="n">
        <v>73.6</v>
      </c>
      <c r="P330" s="13" t="n">
        <v>66</v>
      </c>
      <c r="Q330" s="12"/>
      <c r="R330" s="14" t="n">
        <v>0.018</v>
      </c>
      <c r="S330" s="6" t="n">
        <v>0</v>
      </c>
      <c r="T330" s="6"/>
      <c r="U330" s="15" t="n">
        <f aca="false">(S330*R330+0.5*(1-(P330/N330)^2)+(1-(P330/O330)^2)^2)*(O330/P330)^4</f>
        <v>0.210765781531822</v>
      </c>
      <c r="V330" s="14"/>
      <c r="W330" s="14"/>
      <c r="X330" s="10" t="s">
        <v>47</v>
      </c>
      <c r="Y330" s="16"/>
      <c r="Z330" s="17" t="s">
        <v>48</v>
      </c>
      <c r="AA330" s="6"/>
      <c r="AB330" s="18" t="n">
        <f aca="false">IF(O330="","",$D$3*PI()*(O330/1000)^2/4*3600)</f>
        <v>22.9741403500662</v>
      </c>
      <c r="AC330" s="19" t="n">
        <f aca="false">IF(OR(U330="",NOT(ISNUMBER(U330))),"",U330*$D$3^2/(2*$H$3))</f>
        <v>0.0241703877903465</v>
      </c>
      <c r="AD330" s="20" t="n">
        <f aca="false">IF(OR(U330="",NOT(ISNUMBER(U330))),"",U330*$D$3^2/2*$F$3)</f>
        <v>237.1115042233</v>
      </c>
      <c r="AE330" s="19" t="str">
        <f aca="false">IF(OR(V330="",NOT(ISNUMBER(V330))),"",V330*$D$3^2/(2*$H$3))</f>
        <v/>
      </c>
      <c r="AF330" s="20" t="str">
        <f aca="false">IF(OR(V330="",NOT(ISNUMBER(V330))),"",V330*$D$3^2/2*$F$3)</f>
        <v/>
      </c>
      <c r="AG330" s="19" t="str">
        <f aca="false">IF(OR(W330="",NOT(ISNUMBER(W330))),"",W330*$D$3^2/(2*$H$3))</f>
        <v/>
      </c>
      <c r="AH330" s="20" t="str">
        <f aca="false">IF(OR(W330="",NOT(ISNUMBER(W330))),"",W330*$D$3^2/2*$F$3)</f>
        <v/>
      </c>
    </row>
    <row r="331" customFormat="false" ht="15" hidden="false" customHeight="false" outlineLevel="0" collapsed="false">
      <c r="A331" s="10" t="s">
        <v>744</v>
      </c>
      <c r="B331" s="11" t="s">
        <v>41</v>
      </c>
      <c r="C331" s="6" t="s">
        <v>381</v>
      </c>
      <c r="D331" s="6" t="s">
        <v>745</v>
      </c>
      <c r="E331" s="6" t="s">
        <v>145</v>
      </c>
      <c r="F331" s="6" t="s">
        <v>107</v>
      </c>
      <c r="G331" s="6" t="n">
        <v>110</v>
      </c>
      <c r="H331" s="6"/>
      <c r="I331" s="6" t="s">
        <v>133</v>
      </c>
      <c r="J331" s="6" t="n">
        <v>10</v>
      </c>
      <c r="K331" s="6" t="s">
        <v>46</v>
      </c>
      <c r="L331" s="6" t="n">
        <v>167</v>
      </c>
      <c r="M331" s="6" t="n">
        <v>31</v>
      </c>
      <c r="N331" s="12" t="n">
        <v>90</v>
      </c>
      <c r="O331" s="12" t="n">
        <v>90</v>
      </c>
      <c r="P331" s="13" t="n">
        <v>81</v>
      </c>
      <c r="Q331" s="12"/>
      <c r="R331" s="14" t="n">
        <v>0.017</v>
      </c>
      <c r="S331" s="6" t="n">
        <v>0</v>
      </c>
      <c r="T331" s="6"/>
      <c r="U331" s="15" t="n">
        <f aca="false">(S331*R331+0.5*(1-(P331/N331)^2)+(1-(P331/O331)^2)^2)*(O331/P331)^4</f>
        <v>0.199817101051669</v>
      </c>
      <c r="V331" s="14"/>
      <c r="W331" s="14"/>
      <c r="X331" s="10" t="s">
        <v>47</v>
      </c>
      <c r="Y331" s="16"/>
      <c r="Z331" s="17" t="s">
        <v>48</v>
      </c>
      <c r="AA331" s="6"/>
      <c r="AB331" s="18" t="n">
        <f aca="false">IF(O331="","",$D$3*PI()*(O331/1000)^2/4*3600)</f>
        <v>34.3533156670044</v>
      </c>
      <c r="AC331" s="19" t="n">
        <f aca="false">IF(OR(U331="",NOT(ISNUMBER(U331))),"",U331*$D$3^2/(2*$H$3))</f>
        <v>0.0229148051664758</v>
      </c>
      <c r="AD331" s="20" t="n">
        <f aca="false">IF(OR(U331="",NOT(ISNUMBER(U331))),"",U331*$D$3^2/2*$F$3)</f>
        <v>224.794238683128</v>
      </c>
      <c r="AE331" s="19" t="str">
        <f aca="false">IF(OR(V331="",NOT(ISNUMBER(V331))),"",V331*$D$3^2/(2*$H$3))</f>
        <v/>
      </c>
      <c r="AF331" s="20" t="str">
        <f aca="false">IF(OR(V331="",NOT(ISNUMBER(V331))),"",V331*$D$3^2/2*$F$3)</f>
        <v/>
      </c>
      <c r="AG331" s="19" t="str">
        <f aca="false">IF(OR(W331="",NOT(ISNUMBER(W331))),"",W331*$D$3^2/(2*$H$3))</f>
        <v/>
      </c>
      <c r="AH331" s="20" t="str">
        <f aca="false">IF(OR(W331="",NOT(ISNUMBER(W331))),"",W331*$D$3^2/2*$F$3)</f>
        <v/>
      </c>
    </row>
    <row r="332" customFormat="false" ht="15" hidden="false" customHeight="false" outlineLevel="0" collapsed="false">
      <c r="A332" s="10" t="s">
        <v>746</v>
      </c>
      <c r="B332" s="11" t="s">
        <v>41</v>
      </c>
      <c r="C332" s="6" t="s">
        <v>381</v>
      </c>
      <c r="D332" s="6" t="s">
        <v>747</v>
      </c>
      <c r="E332" s="6" t="s">
        <v>145</v>
      </c>
      <c r="F332" s="6" t="s">
        <v>107</v>
      </c>
      <c r="G332" s="6" t="n">
        <v>110</v>
      </c>
      <c r="H332" s="6"/>
      <c r="I332" s="6" t="s">
        <v>139</v>
      </c>
      <c r="J332" s="6" t="n">
        <v>10</v>
      </c>
      <c r="K332" s="6" t="s">
        <v>46</v>
      </c>
      <c r="L332" s="6" t="n">
        <v>167</v>
      </c>
      <c r="M332" s="6" t="n">
        <v>31</v>
      </c>
      <c r="N332" s="12" t="n">
        <v>90</v>
      </c>
      <c r="O332" s="12" t="n">
        <v>90</v>
      </c>
      <c r="P332" s="13" t="n">
        <v>81</v>
      </c>
      <c r="Q332" s="12"/>
      <c r="R332" s="14" t="n">
        <v>0.017</v>
      </c>
      <c r="S332" s="6" t="n">
        <v>0</v>
      </c>
      <c r="T332" s="6"/>
      <c r="U332" s="15" t="n">
        <f aca="false">(S332*R332+0.5*(1-(P332/N332)^2)+(1-(P332/O332)^2)^2)*(O332/P332)^4</f>
        <v>0.199817101051669</v>
      </c>
      <c r="V332" s="14"/>
      <c r="W332" s="14"/>
      <c r="X332" s="10" t="s">
        <v>47</v>
      </c>
      <c r="Y332" s="16"/>
      <c r="Z332" s="17" t="s">
        <v>48</v>
      </c>
      <c r="AA332" s="6"/>
      <c r="AB332" s="18" t="n">
        <f aca="false">IF(O332="","",$D$3*PI()*(O332/1000)^2/4*3600)</f>
        <v>34.3533156670044</v>
      </c>
      <c r="AC332" s="19" t="n">
        <f aca="false">IF(OR(U332="",NOT(ISNUMBER(U332))),"",U332*$D$3^2/(2*$H$3))</f>
        <v>0.0229148051664758</v>
      </c>
      <c r="AD332" s="20" t="n">
        <f aca="false">IF(OR(U332="",NOT(ISNUMBER(U332))),"",U332*$D$3^2/2*$F$3)</f>
        <v>224.794238683128</v>
      </c>
      <c r="AE332" s="19" t="str">
        <f aca="false">IF(OR(V332="",NOT(ISNUMBER(V332))),"",V332*$D$3^2/(2*$H$3))</f>
        <v/>
      </c>
      <c r="AF332" s="20" t="str">
        <f aca="false">IF(OR(V332="",NOT(ISNUMBER(V332))),"",V332*$D$3^2/2*$F$3)</f>
        <v/>
      </c>
      <c r="AG332" s="19" t="str">
        <f aca="false">IF(OR(W332="",NOT(ISNUMBER(W332))),"",W332*$D$3^2/(2*$H$3))</f>
        <v/>
      </c>
      <c r="AH332" s="20" t="str">
        <f aca="false">IF(OR(W332="",NOT(ISNUMBER(W332))),"",W332*$D$3^2/2*$F$3)</f>
        <v/>
      </c>
    </row>
    <row r="333" customFormat="false" ht="15" hidden="false" customHeight="false" outlineLevel="0" collapsed="false">
      <c r="A333" s="10" t="s">
        <v>748</v>
      </c>
      <c r="B333" s="11" t="s">
        <v>41</v>
      </c>
      <c r="C333" s="6" t="s">
        <v>381</v>
      </c>
      <c r="D333" s="6" t="s">
        <v>749</v>
      </c>
      <c r="E333" s="6" t="s">
        <v>145</v>
      </c>
      <c r="F333" s="6" t="s">
        <v>107</v>
      </c>
      <c r="G333" s="6" t="n">
        <v>110</v>
      </c>
      <c r="H333" s="6"/>
      <c r="I333" s="6" t="s">
        <v>142</v>
      </c>
      <c r="J333" s="6" t="n">
        <v>10</v>
      </c>
      <c r="K333" s="6" t="s">
        <v>46</v>
      </c>
      <c r="L333" s="6" t="n">
        <v>167</v>
      </c>
      <c r="M333" s="6" t="n">
        <v>31</v>
      </c>
      <c r="N333" s="12" t="n">
        <v>90</v>
      </c>
      <c r="O333" s="12" t="n">
        <v>90</v>
      </c>
      <c r="P333" s="13" t="n">
        <v>81</v>
      </c>
      <c r="Q333" s="12"/>
      <c r="R333" s="14" t="n">
        <v>0.017</v>
      </c>
      <c r="S333" s="6" t="n">
        <v>0</v>
      </c>
      <c r="T333" s="6"/>
      <c r="U333" s="15" t="n">
        <f aca="false">(S333*R333+0.5*(1-(P333/N333)^2)+(1-(P333/O333)^2)^2)*(O333/P333)^4</f>
        <v>0.199817101051669</v>
      </c>
      <c r="V333" s="14"/>
      <c r="W333" s="14"/>
      <c r="X333" s="10" t="s">
        <v>47</v>
      </c>
      <c r="Y333" s="16"/>
      <c r="Z333" s="17" t="s">
        <v>48</v>
      </c>
      <c r="AA333" s="6"/>
      <c r="AB333" s="18" t="n">
        <f aca="false">IF(O333="","",$D$3*PI()*(O333/1000)^2/4*3600)</f>
        <v>34.3533156670044</v>
      </c>
      <c r="AC333" s="19" t="n">
        <f aca="false">IF(OR(U333="",NOT(ISNUMBER(U333))),"",U333*$D$3^2/(2*$H$3))</f>
        <v>0.0229148051664758</v>
      </c>
      <c r="AD333" s="20" t="n">
        <f aca="false">IF(OR(U333="",NOT(ISNUMBER(U333))),"",U333*$D$3^2/2*$F$3)</f>
        <v>224.794238683128</v>
      </c>
      <c r="AE333" s="19" t="str">
        <f aca="false">IF(OR(V333="",NOT(ISNUMBER(V333))),"",V333*$D$3^2/(2*$H$3))</f>
        <v/>
      </c>
      <c r="AF333" s="20" t="str">
        <f aca="false">IF(OR(V333="",NOT(ISNUMBER(V333))),"",V333*$D$3^2/2*$F$3)</f>
        <v/>
      </c>
      <c r="AG333" s="19" t="str">
        <f aca="false">IF(OR(W333="",NOT(ISNUMBER(W333))),"",W333*$D$3^2/(2*$H$3))</f>
        <v/>
      </c>
      <c r="AH333" s="20" t="str">
        <f aca="false">IF(OR(W333="",NOT(ISNUMBER(W333))),"",W333*$D$3^2/2*$F$3)</f>
        <v/>
      </c>
    </row>
    <row r="334" customFormat="false" ht="15" hidden="false" customHeight="false" outlineLevel="0" collapsed="false">
      <c r="A334" s="10" t="s">
        <v>750</v>
      </c>
      <c r="B334" s="11" t="s">
        <v>41</v>
      </c>
      <c r="C334" s="6" t="s">
        <v>381</v>
      </c>
      <c r="D334" s="6" t="s">
        <v>751</v>
      </c>
      <c r="E334" s="6" t="s">
        <v>67</v>
      </c>
      <c r="F334" s="6" t="s">
        <v>68</v>
      </c>
      <c r="G334" s="6" t="n">
        <v>20</v>
      </c>
      <c r="H334" s="6" t="n">
        <v>16</v>
      </c>
      <c r="I334" s="6"/>
      <c r="J334" s="6" t="n">
        <v>16</v>
      </c>
      <c r="K334" s="6" t="s">
        <v>46</v>
      </c>
      <c r="L334" s="6" t="n">
        <v>49</v>
      </c>
      <c r="M334" s="6" t="n">
        <v>4</v>
      </c>
      <c r="N334" s="12" t="n">
        <v>16</v>
      </c>
      <c r="O334" s="12" t="n">
        <v>12</v>
      </c>
      <c r="P334" s="13" t="n">
        <v>10</v>
      </c>
      <c r="Q334" s="12"/>
      <c r="R334" s="14" t="n">
        <v>0.027</v>
      </c>
      <c r="S334" s="6" t="n">
        <v>0</v>
      </c>
      <c r="T334" s="6"/>
      <c r="U334" s="15" t="n">
        <f aca="false">(S334*R334+0.5*(1-(P334/N334)^2)+(1-(P334/O334)^2)^2)*(O334/P334)^4</f>
        <v>0.8254</v>
      </c>
      <c r="V334" s="14"/>
      <c r="W334" s="15" t="n">
        <f aca="false">(S334*R334+0.5*(1-(P334/O334)^2)+(1-(P334/N334)^2)^2)*(O334/P334)^4</f>
        <v>1.08680625</v>
      </c>
      <c r="X334" s="10" t="s">
        <v>47</v>
      </c>
      <c r="Y334" s="16"/>
      <c r="Z334" s="17" t="s">
        <v>48</v>
      </c>
      <c r="AA334" s="6"/>
      <c r="AB334" s="18" t="n">
        <f aca="false">IF(O334="","",$D$3*PI()*(O334/1000)^2/4*3600)</f>
        <v>0.610725611857856</v>
      </c>
      <c r="AC334" s="19" t="n">
        <f aca="false">IF(OR(U334="",NOT(ISNUMBER(U334))),"",U334*$D$3^2/(2*$H$3))</f>
        <v>0.0946559633027523</v>
      </c>
      <c r="AD334" s="20" t="n">
        <f aca="false">IF(OR(U334="",NOT(ISNUMBER(U334))),"",U334*$D$3^2/2*$F$3)</f>
        <v>928.575</v>
      </c>
      <c r="AE334" s="19" t="str">
        <f aca="false">IF(OR(V334="",NOT(ISNUMBER(V334))),"",V334*$D$3^2/(2*$H$3))</f>
        <v/>
      </c>
      <c r="AF334" s="20" t="str">
        <f aca="false">IF(OR(V334="",NOT(ISNUMBER(V334))),"",V334*$D$3^2/2*$F$3)</f>
        <v/>
      </c>
      <c r="AG334" s="19" t="n">
        <f aca="false">IF(OR(W334="",NOT(ISNUMBER(W334))),"",W334*$D$3^2/(2*$H$3))</f>
        <v>0.124633744266055</v>
      </c>
      <c r="AH334" s="20" t="n">
        <f aca="false">IF(OR(W334="",NOT(ISNUMBER(W334))),"",W334*$D$3^2/2*$F$3)</f>
        <v>1222.65703125</v>
      </c>
    </row>
    <row r="335" customFormat="false" ht="15" hidden="false" customHeight="false" outlineLevel="0" collapsed="false">
      <c r="A335" s="10" t="s">
        <v>752</v>
      </c>
      <c r="B335" s="11" t="s">
        <v>41</v>
      </c>
      <c r="C335" s="6" t="s">
        <v>381</v>
      </c>
      <c r="D335" s="6" t="s">
        <v>753</v>
      </c>
      <c r="E335" s="6" t="s">
        <v>67</v>
      </c>
      <c r="F335" s="6" t="s">
        <v>68</v>
      </c>
      <c r="G335" s="6" t="n">
        <v>25</v>
      </c>
      <c r="H335" s="6" t="n">
        <v>20</v>
      </c>
      <c r="I335" s="6"/>
      <c r="J335" s="6" t="n">
        <v>16</v>
      </c>
      <c r="K335" s="6" t="s">
        <v>46</v>
      </c>
      <c r="L335" s="6" t="n">
        <v>58</v>
      </c>
      <c r="M335" s="6" t="n">
        <v>4</v>
      </c>
      <c r="N335" s="12" t="n">
        <v>20.4</v>
      </c>
      <c r="O335" s="12" t="n">
        <v>16</v>
      </c>
      <c r="P335" s="13" t="n">
        <v>13</v>
      </c>
      <c r="Q335" s="12"/>
      <c r="R335" s="14" t="n">
        <v>0.025</v>
      </c>
      <c r="S335" s="6" t="n">
        <v>0</v>
      </c>
      <c r="T335" s="6"/>
      <c r="U335" s="15" t="n">
        <f aca="false">(S335*R335+0.5*(1-(P335/N335)^2)+(1-(P335/O335)^2)^2)*(O335/P335)^4</f>
        <v>0.946399566945357</v>
      </c>
      <c r="V335" s="14"/>
      <c r="W335" s="15" t="n">
        <f aca="false">(S335*R335+0.5*(1-(P335/O335)^2)+(1-(P335/N335)^2)^2)*(O335/P335)^4</f>
        <v>1.19926322340412</v>
      </c>
      <c r="X335" s="10" t="s">
        <v>47</v>
      </c>
      <c r="Y335" s="16"/>
      <c r="Z335" s="17" t="s">
        <v>48</v>
      </c>
      <c r="AA335" s="6"/>
      <c r="AB335" s="18" t="n">
        <f aca="false">IF(O335="","",$D$3*PI()*(O335/1000)^2/4*3600)</f>
        <v>1.08573442108063</v>
      </c>
      <c r="AC335" s="19" t="n">
        <f aca="false">IF(OR(U335="",NOT(ISNUMBER(U335))),"",U335*$D$3^2/(2*$H$3))</f>
        <v>0.108532060429513</v>
      </c>
      <c r="AD335" s="20" t="n">
        <f aca="false">IF(OR(U335="",NOT(ISNUMBER(U335))),"",U335*$D$3^2/2*$F$3)</f>
        <v>1064.69951281353</v>
      </c>
      <c r="AE335" s="19" t="str">
        <f aca="false">IF(OR(V335="",NOT(ISNUMBER(V335))),"",V335*$D$3^2/(2*$H$3))</f>
        <v/>
      </c>
      <c r="AF335" s="20" t="str">
        <f aca="false">IF(OR(V335="",NOT(ISNUMBER(V335))),"",V335*$D$3^2/2*$F$3)</f>
        <v/>
      </c>
      <c r="AG335" s="19" t="n">
        <f aca="false">IF(OR(W335="",NOT(ISNUMBER(W335))),"",W335*$D$3^2/(2*$H$3))</f>
        <v>0.137530186170197</v>
      </c>
      <c r="AH335" s="20" t="n">
        <f aca="false">IF(OR(W335="",NOT(ISNUMBER(W335))),"",W335*$D$3^2/2*$F$3)</f>
        <v>1349.17112632963</v>
      </c>
    </row>
    <row r="336" customFormat="false" ht="15" hidden="false" customHeight="false" outlineLevel="0" collapsed="false">
      <c r="A336" s="10" t="s">
        <v>754</v>
      </c>
      <c r="B336" s="11" t="s">
        <v>41</v>
      </c>
      <c r="C336" s="6" t="s">
        <v>381</v>
      </c>
      <c r="D336" s="6" t="s">
        <v>755</v>
      </c>
      <c r="E336" s="6" t="s">
        <v>67</v>
      </c>
      <c r="F336" s="6" t="s">
        <v>68</v>
      </c>
      <c r="G336" s="6" t="n">
        <v>32</v>
      </c>
      <c r="H336" s="6" t="n">
        <v>20</v>
      </c>
      <c r="I336" s="6"/>
      <c r="J336" s="6" t="n">
        <v>16</v>
      </c>
      <c r="K336" s="6" t="s">
        <v>46</v>
      </c>
      <c r="L336" s="6" t="n">
        <v>81</v>
      </c>
      <c r="M336" s="6" t="n">
        <v>5</v>
      </c>
      <c r="N336" s="12" t="n">
        <v>26.2</v>
      </c>
      <c r="O336" s="12" t="n">
        <v>16</v>
      </c>
      <c r="P336" s="13" t="n">
        <v>13</v>
      </c>
      <c r="Q336" s="12"/>
      <c r="R336" s="14" t="n">
        <v>0.023</v>
      </c>
      <c r="S336" s="6" t="n">
        <v>0</v>
      </c>
      <c r="T336" s="6"/>
      <c r="U336" s="15" t="n">
        <f aca="false">(S336*R336+0.5*(1-(P336/N336)^2)+(1-(P336/O336)^2)^2)*(O336/P336)^4</f>
        <v>1.12984809148247</v>
      </c>
      <c r="V336" s="14"/>
      <c r="W336" s="15" t="n">
        <f aca="false">(S336*R336+0.5*(1-(P336/O336)^2)+(1-(P336/N336)^2)^2)*(O336/P336)^4</f>
        <v>1.69373346421198</v>
      </c>
      <c r="X336" s="10" t="s">
        <v>47</v>
      </c>
      <c r="Y336" s="16"/>
      <c r="Z336" s="17" t="s">
        <v>48</v>
      </c>
      <c r="AA336" s="6"/>
      <c r="AB336" s="18" t="n">
        <f aca="false">IF(O336="","",$D$3*PI()*(O336/1000)^2/4*3600)</f>
        <v>1.08573442108063</v>
      </c>
      <c r="AC336" s="19" t="n">
        <f aca="false">IF(OR(U336="",NOT(ISNUMBER(U336))),"",U336*$D$3^2/(2*$H$3))</f>
        <v>0.129569735261752</v>
      </c>
      <c r="AD336" s="20" t="n">
        <f aca="false">IF(OR(U336="",NOT(ISNUMBER(U336))),"",U336*$D$3^2/2*$F$3)</f>
        <v>1271.07910291778</v>
      </c>
      <c r="AE336" s="19" t="str">
        <f aca="false">IF(OR(V336="",NOT(ISNUMBER(V336))),"",V336*$D$3^2/(2*$H$3))</f>
        <v/>
      </c>
      <c r="AF336" s="20" t="str">
        <f aca="false">IF(OR(V336="",NOT(ISNUMBER(V336))),"",V336*$D$3^2/2*$F$3)</f>
        <v/>
      </c>
      <c r="AG336" s="19" t="n">
        <f aca="false">IF(OR(W336="",NOT(ISNUMBER(W336))),"",W336*$D$3^2/(2*$H$3))</f>
        <v>0.194235489015135</v>
      </c>
      <c r="AH336" s="20" t="n">
        <f aca="false">IF(OR(W336="",NOT(ISNUMBER(W336))),"",W336*$D$3^2/2*$F$3)</f>
        <v>1905.45014723847</v>
      </c>
    </row>
    <row r="337" customFormat="false" ht="15" hidden="false" customHeight="false" outlineLevel="0" collapsed="false">
      <c r="A337" s="10" t="s">
        <v>756</v>
      </c>
      <c r="B337" s="11" t="s">
        <v>41</v>
      </c>
      <c r="C337" s="6" t="s">
        <v>381</v>
      </c>
      <c r="D337" s="6" t="s">
        <v>757</v>
      </c>
      <c r="E337" s="6" t="s">
        <v>67</v>
      </c>
      <c r="F337" s="6" t="s">
        <v>68</v>
      </c>
      <c r="G337" s="6" t="n">
        <v>32</v>
      </c>
      <c r="H337" s="6" t="n">
        <v>25</v>
      </c>
      <c r="I337" s="6"/>
      <c r="J337" s="6" t="n">
        <v>16</v>
      </c>
      <c r="K337" s="6" t="s">
        <v>46</v>
      </c>
      <c r="L337" s="6" t="n">
        <v>81</v>
      </c>
      <c r="M337" s="6" t="n">
        <v>4</v>
      </c>
      <c r="N337" s="12" t="n">
        <v>26.2</v>
      </c>
      <c r="O337" s="12" t="n">
        <v>20.4</v>
      </c>
      <c r="P337" s="13" t="n">
        <v>17</v>
      </c>
      <c r="Q337" s="12"/>
      <c r="R337" s="14" t="n">
        <v>0.023</v>
      </c>
      <c r="S337" s="6" t="n">
        <v>0</v>
      </c>
      <c r="T337" s="6"/>
      <c r="U337" s="15" t="n">
        <f aca="false">(S337*R337+0.5*(1-(P337/N337)^2)+(1-(P337/O337)^2)^2)*(O337/P337)^4</f>
        <v>0.793893968882932</v>
      </c>
      <c r="V337" s="14"/>
      <c r="W337" s="15" t="n">
        <f aca="false">(S337*R337+0.5*(1-(P337/O337)^2)+(1-(P337/N337)^2)^2)*(O337/P337)^4</f>
        <v>1.01192509467057</v>
      </c>
      <c r="X337" s="10" t="s">
        <v>47</v>
      </c>
      <c r="Y337" s="16"/>
      <c r="Z337" s="17" t="s">
        <v>48</v>
      </c>
      <c r="AA337" s="6"/>
      <c r="AB337" s="18" t="n">
        <f aca="false">IF(O337="","",$D$3*PI()*(O337/1000)^2/4*3600)</f>
        <v>1.7649970182692</v>
      </c>
      <c r="AC337" s="19" t="n">
        <f aca="false">IF(OR(U337="",NOT(ISNUMBER(U337))),"",U337*$D$3^2/(2*$H$3))</f>
        <v>0.0910428863397858</v>
      </c>
      <c r="AD337" s="20" t="n">
        <f aca="false">IF(OR(U337="",NOT(ISNUMBER(U337))),"",U337*$D$3^2/2*$F$3)</f>
        <v>893.130714993299</v>
      </c>
      <c r="AE337" s="19" t="str">
        <f aca="false">IF(OR(V337="",NOT(ISNUMBER(V337))),"",V337*$D$3^2/(2*$H$3))</f>
        <v/>
      </c>
      <c r="AF337" s="20" t="str">
        <f aca="false">IF(OR(V337="",NOT(ISNUMBER(V337))),"",V337*$D$3^2/2*$F$3)</f>
        <v/>
      </c>
      <c r="AG337" s="19" t="n">
        <f aca="false">IF(OR(W337="",NOT(ISNUMBER(W337))),"",W337*$D$3^2/(2*$H$3))</f>
        <v>0.116046455810845</v>
      </c>
      <c r="AH337" s="20" t="n">
        <f aca="false">IF(OR(W337="",NOT(ISNUMBER(W337))),"",W337*$D$3^2/2*$F$3)</f>
        <v>1138.41573150439</v>
      </c>
    </row>
    <row r="338" customFormat="false" ht="15" hidden="false" customHeight="false" outlineLevel="0" collapsed="false">
      <c r="A338" s="10" t="s">
        <v>758</v>
      </c>
      <c r="B338" s="11" t="s">
        <v>41</v>
      </c>
      <c r="C338" s="6" t="s">
        <v>381</v>
      </c>
      <c r="D338" s="6" t="s">
        <v>759</v>
      </c>
      <c r="E338" s="6" t="s">
        <v>67</v>
      </c>
      <c r="F338" s="6" t="s">
        <v>68</v>
      </c>
      <c r="G338" s="6" t="n">
        <v>40</v>
      </c>
      <c r="H338" s="6" t="n">
        <v>25</v>
      </c>
      <c r="I338" s="6"/>
      <c r="J338" s="6" t="n">
        <v>16</v>
      </c>
      <c r="K338" s="6" t="s">
        <v>46</v>
      </c>
      <c r="L338" s="6" t="n">
        <v>92</v>
      </c>
      <c r="M338" s="6" t="n">
        <v>12</v>
      </c>
      <c r="N338" s="12" t="n">
        <v>32.6</v>
      </c>
      <c r="O338" s="12" t="n">
        <v>20.4</v>
      </c>
      <c r="P338" s="13" t="n">
        <v>17</v>
      </c>
      <c r="Q338" s="12"/>
      <c r="R338" s="14" t="n">
        <v>0.022</v>
      </c>
      <c r="S338" s="6" t="n">
        <v>0</v>
      </c>
      <c r="T338" s="6"/>
      <c r="U338" s="15" t="n">
        <f aca="false">(S338*R338+0.5*(1-(P338/N338)^2)+(1-(P338/O338)^2)^2)*(O338/P338)^4</f>
        <v>0.948459392525123</v>
      </c>
      <c r="V338" s="14"/>
      <c r="W338" s="15" t="n">
        <f aca="false">(S338*R338+0.5*(1-(P338/O338)^2)+(1-(P338/N338)^2)^2)*(O338/P338)^4</f>
        <v>1.4159757378152</v>
      </c>
      <c r="X338" s="10" t="s">
        <v>47</v>
      </c>
      <c r="Y338" s="16"/>
      <c r="Z338" s="17" t="s">
        <v>48</v>
      </c>
      <c r="AA338" s="6"/>
      <c r="AB338" s="18" t="n">
        <f aca="false">IF(O338="","",$D$3*PI()*(O338/1000)^2/4*3600)</f>
        <v>1.7649970182692</v>
      </c>
      <c r="AC338" s="19" t="n">
        <f aca="false">IF(OR(U338="",NOT(ISNUMBER(U338))),"",U338*$D$3^2/(2*$H$3))</f>
        <v>0.108768278959303</v>
      </c>
      <c r="AD338" s="20" t="n">
        <f aca="false">IF(OR(U338="",NOT(ISNUMBER(U338))),"",U338*$D$3^2/2*$F$3)</f>
        <v>1067.01681659076</v>
      </c>
      <c r="AE338" s="19" t="str">
        <f aca="false">IF(OR(V338="",NOT(ISNUMBER(V338))),"",V338*$D$3^2/(2*$H$3))</f>
        <v/>
      </c>
      <c r="AF338" s="20" t="str">
        <f aca="false">IF(OR(V338="",NOT(ISNUMBER(V338))),"",V338*$D$3^2/2*$F$3)</f>
        <v/>
      </c>
      <c r="AG338" s="19" t="n">
        <f aca="false">IF(OR(W338="",NOT(ISNUMBER(W338))),"",W338*$D$3^2/(2*$H$3))</f>
        <v>0.162382538740275</v>
      </c>
      <c r="AH338" s="20" t="n">
        <f aca="false">IF(OR(W338="",NOT(ISNUMBER(W338))),"",W338*$D$3^2/2*$F$3)</f>
        <v>1592.9727050421</v>
      </c>
    </row>
    <row r="339" customFormat="false" ht="15" hidden="false" customHeight="false" outlineLevel="0" collapsed="false">
      <c r="A339" s="10" t="s">
        <v>760</v>
      </c>
      <c r="B339" s="11" t="s">
        <v>41</v>
      </c>
      <c r="C339" s="6" t="s">
        <v>381</v>
      </c>
      <c r="D339" s="6" t="s">
        <v>761</v>
      </c>
      <c r="E339" s="6" t="s">
        <v>67</v>
      </c>
      <c r="F339" s="6" t="s">
        <v>68</v>
      </c>
      <c r="G339" s="6" t="n">
        <v>40</v>
      </c>
      <c r="H339" s="6" t="n">
        <v>32</v>
      </c>
      <c r="I339" s="6"/>
      <c r="J339" s="6" t="n">
        <v>16</v>
      </c>
      <c r="K339" s="6" t="s">
        <v>46</v>
      </c>
      <c r="L339" s="6" t="n">
        <v>92</v>
      </c>
      <c r="M339" s="6" t="n">
        <v>4</v>
      </c>
      <c r="N339" s="12" t="n">
        <v>32.6</v>
      </c>
      <c r="O339" s="12" t="n">
        <v>26.2</v>
      </c>
      <c r="P339" s="13" t="n">
        <v>22</v>
      </c>
      <c r="Q339" s="12"/>
      <c r="R339" s="14" t="n">
        <v>0.022</v>
      </c>
      <c r="S339" s="6" t="n">
        <v>0</v>
      </c>
      <c r="T339" s="6"/>
      <c r="U339" s="15" t="n">
        <f aca="false">(S339*R339+0.5*(1-(P339/N339)^2)+(1-(P339/O339)^2)^2)*(O339/P339)^4</f>
        <v>0.722651483201418</v>
      </c>
      <c r="V339" s="14"/>
      <c r="W339" s="15" t="n">
        <f aca="false">(S339*R339+0.5*(1-(P339/O339)^2)+(1-(P339/N339)^2)^2)*(O339/P339)^4</f>
        <v>0.893146855422511</v>
      </c>
      <c r="X339" s="10" t="s">
        <v>47</v>
      </c>
      <c r="Y339" s="16"/>
      <c r="Z339" s="17" t="s">
        <v>48</v>
      </c>
      <c r="AA339" s="6"/>
      <c r="AB339" s="18" t="n">
        <f aca="false">IF(O339="","",$D$3*PI()*(O339/1000)^2/4*3600)</f>
        <v>2.91129506252574</v>
      </c>
      <c r="AC339" s="19" t="n">
        <f aca="false">IF(OR(U339="",NOT(ISNUMBER(U339))),"",U339*$D$3^2/(2*$H$3))</f>
        <v>0.082872876513924</v>
      </c>
      <c r="AD339" s="20" t="n">
        <f aca="false">IF(OR(U339="",NOT(ISNUMBER(U339))),"",U339*$D$3^2/2*$F$3)</f>
        <v>812.982918601595</v>
      </c>
      <c r="AE339" s="19" t="str">
        <f aca="false">IF(OR(V339="",NOT(ISNUMBER(V339))),"",V339*$D$3^2/(2*$H$3))</f>
        <v/>
      </c>
      <c r="AF339" s="20" t="str">
        <f aca="false">IF(OR(V339="",NOT(ISNUMBER(V339))),"",V339*$D$3^2/2*$F$3)</f>
        <v/>
      </c>
      <c r="AG339" s="19" t="n">
        <f aca="false">IF(OR(W339="",NOT(ISNUMBER(W339))),"",W339*$D$3^2/(2*$H$3))</f>
        <v>0.102425098098912</v>
      </c>
      <c r="AH339" s="20" t="n">
        <f aca="false">IF(OR(W339="",NOT(ISNUMBER(W339))),"",W339*$D$3^2/2*$F$3)</f>
        <v>1004.79021235032</v>
      </c>
    </row>
    <row r="340" customFormat="false" ht="15" hidden="false" customHeight="false" outlineLevel="0" collapsed="false">
      <c r="A340" s="10" t="s">
        <v>762</v>
      </c>
      <c r="B340" s="11" t="s">
        <v>41</v>
      </c>
      <c r="C340" s="6" t="s">
        <v>381</v>
      </c>
      <c r="D340" s="6" t="s">
        <v>763</v>
      </c>
      <c r="E340" s="6" t="s">
        <v>67</v>
      </c>
      <c r="F340" s="6" t="s">
        <v>68</v>
      </c>
      <c r="G340" s="6" t="n">
        <v>50</v>
      </c>
      <c r="H340" s="6" t="n">
        <v>32</v>
      </c>
      <c r="I340" s="6"/>
      <c r="J340" s="6" t="n">
        <v>16</v>
      </c>
      <c r="K340" s="6" t="s">
        <v>46</v>
      </c>
      <c r="L340" s="6" t="n">
        <v>108</v>
      </c>
      <c r="M340" s="6" t="n">
        <v>5</v>
      </c>
      <c r="N340" s="12" t="n">
        <v>40.8</v>
      </c>
      <c r="O340" s="12" t="n">
        <v>26.2</v>
      </c>
      <c r="P340" s="13" t="n">
        <v>22</v>
      </c>
      <c r="Q340" s="12"/>
      <c r="R340" s="14" t="n">
        <v>0.021</v>
      </c>
      <c r="S340" s="6" t="n">
        <v>0</v>
      </c>
      <c r="T340" s="6"/>
      <c r="U340" s="15" t="n">
        <f aca="false">(S340*R340+0.5*(1-(P340/N340)^2)+(1-(P340/O340)^2)^2)*(O340/P340)^4</f>
        <v>0.888260582036638</v>
      </c>
      <c r="V340" s="14"/>
      <c r="W340" s="15" t="n">
        <f aca="false">(S340*R340+0.5*(1-(P340/O340)^2)+(1-(P340/N340)^2)^2)*(O340/P340)^4</f>
        <v>1.30843766322131</v>
      </c>
      <c r="X340" s="10" t="s">
        <v>47</v>
      </c>
      <c r="Y340" s="16"/>
      <c r="Z340" s="17" t="s">
        <v>48</v>
      </c>
      <c r="AA340" s="6"/>
      <c r="AB340" s="18" t="n">
        <f aca="false">IF(O340="","",$D$3*PI()*(O340/1000)^2/4*3600)</f>
        <v>2.91129506252574</v>
      </c>
      <c r="AC340" s="19" t="n">
        <f aca="false">IF(OR(U340="",NOT(ISNUMBER(U340))),"",U340*$D$3^2/(2*$H$3))</f>
        <v>0.101864745646403</v>
      </c>
      <c r="AD340" s="20" t="n">
        <f aca="false">IF(OR(U340="",NOT(ISNUMBER(U340))),"",U340*$D$3^2/2*$F$3)</f>
        <v>999.293154791218</v>
      </c>
      <c r="AE340" s="19" t="str">
        <f aca="false">IF(OR(V340="",NOT(ISNUMBER(V340))),"",V340*$D$3^2/(2*$H$3))</f>
        <v/>
      </c>
      <c r="AF340" s="20" t="str">
        <f aca="false">IF(OR(V340="",NOT(ISNUMBER(V340))),"",V340*$D$3^2/2*$F$3)</f>
        <v/>
      </c>
      <c r="AG340" s="19" t="n">
        <f aca="false">IF(OR(W340="",NOT(ISNUMBER(W340))),"",W340*$D$3^2/(2*$H$3))</f>
        <v>0.150050190736388</v>
      </c>
      <c r="AH340" s="20" t="n">
        <f aca="false">IF(OR(W340="",NOT(ISNUMBER(W340))),"",W340*$D$3^2/2*$F$3)</f>
        <v>1471.99237112397</v>
      </c>
    </row>
    <row r="341" customFormat="false" ht="15" hidden="false" customHeight="false" outlineLevel="0" collapsed="false">
      <c r="A341" s="10" t="s">
        <v>764</v>
      </c>
      <c r="B341" s="11" t="s">
        <v>41</v>
      </c>
      <c r="C341" s="6" t="s">
        <v>381</v>
      </c>
      <c r="D341" s="6" t="s">
        <v>765</v>
      </c>
      <c r="E341" s="6" t="s">
        <v>67</v>
      </c>
      <c r="F341" s="6" t="s">
        <v>68</v>
      </c>
      <c r="G341" s="6" t="n">
        <v>50</v>
      </c>
      <c r="H341" s="6" t="n">
        <v>40</v>
      </c>
      <c r="I341" s="6"/>
      <c r="J341" s="6" t="n">
        <v>16</v>
      </c>
      <c r="K341" s="6" t="s">
        <v>46</v>
      </c>
      <c r="L341" s="6" t="n">
        <v>108</v>
      </c>
      <c r="M341" s="6" t="n">
        <v>5</v>
      </c>
      <c r="N341" s="12" t="n">
        <v>40.8</v>
      </c>
      <c r="O341" s="12" t="n">
        <v>32.6</v>
      </c>
      <c r="P341" s="13" t="n">
        <v>28</v>
      </c>
      <c r="Q341" s="12"/>
      <c r="R341" s="14" t="n">
        <v>0.021</v>
      </c>
      <c r="S341" s="6" t="n">
        <v>0</v>
      </c>
      <c r="T341" s="6"/>
      <c r="U341" s="15" t="n">
        <f aca="false">(S341*R341+0.5*(1-(P341/N341)^2)+(1-(P341/O341)^2)^2)*(O341/P341)^4</f>
        <v>0.612479843006631</v>
      </c>
      <c r="V341" s="14"/>
      <c r="W341" s="15" t="n">
        <f aca="false">(S341*R341+0.5*(1-(P341/O341)^2)+(1-(P341/N341)^2)^2)*(O341/P341)^4</f>
        <v>0.755266350405112</v>
      </c>
      <c r="X341" s="10" t="s">
        <v>47</v>
      </c>
      <c r="Y341" s="16"/>
      <c r="Z341" s="17" t="s">
        <v>48</v>
      </c>
      <c r="AA341" s="6"/>
      <c r="AB341" s="18" t="n">
        <f aca="false">IF(O341="","",$D$3*PI()*(O341/1000)^2/4*3600)</f>
        <v>4.50732466151427</v>
      </c>
      <c r="AC341" s="19" t="n">
        <f aca="false">IF(OR(U341="",NOT(ISNUMBER(U341))),"",U341*$D$3^2/(2*$H$3))</f>
        <v>0.070238514106265</v>
      </c>
      <c r="AD341" s="20" t="n">
        <f aca="false">IF(OR(U341="",NOT(ISNUMBER(U341))),"",U341*$D$3^2/2*$F$3)</f>
        <v>689.03982338246</v>
      </c>
      <c r="AE341" s="19" t="str">
        <f aca="false">IF(OR(V341="",NOT(ISNUMBER(V341))),"",V341*$D$3^2/(2*$H$3))</f>
        <v/>
      </c>
      <c r="AF341" s="20" t="str">
        <f aca="false">IF(OR(V341="",NOT(ISNUMBER(V341))),"",V341*$D$3^2/2*$F$3)</f>
        <v/>
      </c>
      <c r="AG341" s="19" t="n">
        <f aca="false">IF(OR(W341="",NOT(ISNUMBER(W341))),"",W341*$D$3^2/(2*$H$3))</f>
        <v>0.0866131135785679</v>
      </c>
      <c r="AH341" s="20" t="n">
        <f aca="false">IF(OR(W341="",NOT(ISNUMBER(W341))),"",W341*$D$3^2/2*$F$3)</f>
        <v>849.674644205751</v>
      </c>
    </row>
    <row r="342" customFormat="false" ht="15" hidden="false" customHeight="false" outlineLevel="0" collapsed="false">
      <c r="A342" s="10" t="s">
        <v>766</v>
      </c>
      <c r="B342" s="11" t="s">
        <v>41</v>
      </c>
      <c r="C342" s="6" t="s">
        <v>381</v>
      </c>
      <c r="D342" s="6" t="s">
        <v>767</v>
      </c>
      <c r="E342" s="6" t="s">
        <v>67</v>
      </c>
      <c r="F342" s="6" t="s">
        <v>68</v>
      </c>
      <c r="G342" s="6" t="n">
        <v>63</v>
      </c>
      <c r="H342" s="6" t="n">
        <v>50</v>
      </c>
      <c r="I342" s="6"/>
      <c r="J342" s="6" t="n">
        <v>16</v>
      </c>
      <c r="K342" s="6" t="s">
        <v>46</v>
      </c>
      <c r="L342" s="6" t="n">
        <v>125</v>
      </c>
      <c r="M342" s="6" t="n">
        <v>8</v>
      </c>
      <c r="N342" s="12" t="n">
        <v>51.4</v>
      </c>
      <c r="O342" s="12" t="n">
        <v>40.8</v>
      </c>
      <c r="P342" s="13" t="n">
        <v>35</v>
      </c>
      <c r="Q342" s="12"/>
      <c r="R342" s="14" t="n">
        <v>0.019</v>
      </c>
      <c r="S342" s="6" t="n">
        <v>0</v>
      </c>
      <c r="T342" s="6"/>
      <c r="U342" s="15" t="n">
        <f aca="false">(S342*R342+0.5*(1-(P342/N342)^2)+(1-(P342/O342)^2)^2)*(O342/P342)^4</f>
        <v>0.623989566406061</v>
      </c>
      <c r="V342" s="14"/>
      <c r="W342" s="15" t="n">
        <f aca="false">(S342*R342+0.5*(1-(P342/O342)^2)+(1-(P342/N342)^2)^2)*(O342/P342)^4</f>
        <v>0.775012956222035</v>
      </c>
      <c r="X342" s="10" t="s">
        <v>47</v>
      </c>
      <c r="Y342" s="16"/>
      <c r="Z342" s="17" t="s">
        <v>48</v>
      </c>
      <c r="AA342" s="6"/>
      <c r="AB342" s="18" t="n">
        <f aca="false">IF(O342="","",$D$3*PI()*(O342/1000)^2/4*3600)</f>
        <v>7.05998807307681</v>
      </c>
      <c r="AC342" s="19" t="n">
        <f aca="false">IF(OR(U342="",NOT(ISNUMBER(U342))),"",U342*$D$3^2/(2*$H$3))</f>
        <v>0.0715584365144565</v>
      </c>
      <c r="AD342" s="20" t="n">
        <f aca="false">IF(OR(U342="",NOT(ISNUMBER(U342))),"",U342*$D$3^2/2*$F$3)</f>
        <v>701.988262206818</v>
      </c>
      <c r="AE342" s="19" t="str">
        <f aca="false">IF(OR(V342="",NOT(ISNUMBER(V342))),"",V342*$D$3^2/(2*$H$3))</f>
        <v/>
      </c>
      <c r="AF342" s="20" t="str">
        <f aca="false">IF(OR(V342="",NOT(ISNUMBER(V342))),"",V342*$D$3^2/2*$F$3)</f>
        <v/>
      </c>
      <c r="AG342" s="19" t="n">
        <f aca="false">IF(OR(W342="",NOT(ISNUMBER(W342))),"",W342*$D$3^2/(2*$H$3))</f>
        <v>0.0888776325942701</v>
      </c>
      <c r="AH342" s="20" t="n">
        <f aca="false">IF(OR(W342="",NOT(ISNUMBER(W342))),"",W342*$D$3^2/2*$F$3)</f>
        <v>871.88957574979</v>
      </c>
    </row>
    <row r="343" customFormat="false" ht="15" hidden="false" customHeight="false" outlineLevel="0" collapsed="false">
      <c r="A343" s="10" t="s">
        <v>768</v>
      </c>
      <c r="B343" s="11" t="s">
        <v>41</v>
      </c>
      <c r="C343" s="6" t="s">
        <v>381</v>
      </c>
      <c r="D343" s="6" t="s">
        <v>769</v>
      </c>
      <c r="E343" s="6" t="s">
        <v>67</v>
      </c>
      <c r="F343" s="6" t="s">
        <v>68</v>
      </c>
      <c r="G343" s="6" t="n">
        <v>75</v>
      </c>
      <c r="H343" s="6" t="n">
        <v>63</v>
      </c>
      <c r="I343" s="6"/>
      <c r="J343" s="6" t="n">
        <v>10</v>
      </c>
      <c r="K343" s="6" t="s">
        <v>46</v>
      </c>
      <c r="L343" s="6" t="n">
        <v>140</v>
      </c>
      <c r="M343" s="6" t="n">
        <v>15</v>
      </c>
      <c r="N343" s="12" t="n">
        <v>61.4</v>
      </c>
      <c r="O343" s="12" t="n">
        <v>51.4</v>
      </c>
      <c r="P343" s="13" t="n">
        <v>45</v>
      </c>
      <c r="Q343" s="12"/>
      <c r="R343" s="14" t="n">
        <v>0.018</v>
      </c>
      <c r="S343" s="6" t="n">
        <v>0</v>
      </c>
      <c r="T343" s="6"/>
      <c r="U343" s="15" t="n">
        <f aca="false">(S343*R343+0.5*(1-(P343/N343)^2)+(1-(P343/O343)^2)^2)*(O343/P343)^4</f>
        <v>0.486756694300016</v>
      </c>
      <c r="V343" s="14"/>
      <c r="W343" s="15" t="n">
        <f aca="false">(S343*R343+0.5*(1-(P343/O343)^2)+(1-(P343/N343)^2)^2)*(O343/P343)^4</f>
        <v>0.563418071022485</v>
      </c>
      <c r="X343" s="10" t="s">
        <v>47</v>
      </c>
      <c r="Y343" s="16"/>
      <c r="Z343" s="17" t="s">
        <v>48</v>
      </c>
      <c r="AA343" s="6"/>
      <c r="AB343" s="18" t="n">
        <f aca="false">IF(O343="","",$D$3*PI()*(O343/1000)^2/4*3600)</f>
        <v>11.2049488715554</v>
      </c>
      <c r="AC343" s="19" t="n">
        <f aca="false">IF(OR(U343="",NOT(ISNUMBER(U343))),"",U343*$D$3^2/(2*$H$3))</f>
        <v>0.0558207218233963</v>
      </c>
      <c r="AD343" s="20" t="n">
        <f aca="false">IF(OR(U343="",NOT(ISNUMBER(U343))),"",U343*$D$3^2/2*$F$3)</f>
        <v>547.601281087518</v>
      </c>
      <c r="AE343" s="19" t="str">
        <f aca="false">IF(OR(V343="",NOT(ISNUMBER(V343))),"",V343*$D$3^2/(2*$H$3))</f>
        <v/>
      </c>
      <c r="AF343" s="20" t="str">
        <f aca="false">IF(OR(V343="",NOT(ISNUMBER(V343))),"",V343*$D$3^2/2*$F$3)</f>
        <v/>
      </c>
      <c r="AG343" s="19" t="n">
        <f aca="false">IF(OR(W343="",NOT(ISNUMBER(W343))),"",W343*$D$3^2/(2*$H$3))</f>
        <v>0.0646121641080832</v>
      </c>
      <c r="AH343" s="20" t="n">
        <f aca="false">IF(OR(W343="",NOT(ISNUMBER(W343))),"",W343*$D$3^2/2*$F$3)</f>
        <v>633.845329900296</v>
      </c>
    </row>
    <row r="344" customFormat="false" ht="15" hidden="false" customHeight="false" outlineLevel="0" collapsed="false">
      <c r="A344" s="10" t="s">
        <v>770</v>
      </c>
      <c r="B344" s="11" t="s">
        <v>41</v>
      </c>
      <c r="C344" s="6" t="s">
        <v>381</v>
      </c>
      <c r="D344" s="6" t="s">
        <v>771</v>
      </c>
      <c r="E344" s="6" t="s">
        <v>67</v>
      </c>
      <c r="F344" s="6" t="s">
        <v>68</v>
      </c>
      <c r="G344" s="6" t="n">
        <v>90</v>
      </c>
      <c r="H344" s="6" t="n">
        <v>63</v>
      </c>
      <c r="I344" s="6"/>
      <c r="J344" s="6" t="n">
        <v>10</v>
      </c>
      <c r="K344" s="6" t="s">
        <v>46</v>
      </c>
      <c r="L344" s="6" t="n">
        <v>148</v>
      </c>
      <c r="M344" s="6" t="n">
        <v>6</v>
      </c>
      <c r="N344" s="12" t="n">
        <v>73.6</v>
      </c>
      <c r="O344" s="12" t="n">
        <v>51.4</v>
      </c>
      <c r="P344" s="13" t="n">
        <v>45</v>
      </c>
      <c r="Q344" s="12"/>
      <c r="R344" s="14" t="n">
        <v>0.018</v>
      </c>
      <c r="S344" s="6" t="n">
        <v>0</v>
      </c>
      <c r="T344" s="6"/>
      <c r="U344" s="15" t="n">
        <f aca="false">(S344*R344+0.5*(1-(P344/N344)^2)+(1-(P344/O344)^2)^2)*(O344/P344)^4</f>
        <v>0.625751535271358</v>
      </c>
      <c r="V344" s="14"/>
      <c r="W344" s="15" t="n">
        <f aca="false">(S344*R344+0.5*(1-(P344/O344)^2)+(1-(P344/N344)^2)^2)*(O344/P344)^4</f>
        <v>0.86615803963076</v>
      </c>
      <c r="X344" s="10" t="s">
        <v>47</v>
      </c>
      <c r="Y344" s="16"/>
      <c r="Z344" s="17" t="s">
        <v>48</v>
      </c>
      <c r="AA344" s="6"/>
      <c r="AB344" s="18" t="n">
        <f aca="false">IF(O344="","",$D$3*PI()*(O344/1000)^2/4*3600)</f>
        <v>11.2049488715554</v>
      </c>
      <c r="AC344" s="19" t="n">
        <f aca="false">IF(OR(U344="",NOT(ISNUMBER(U344))),"",U344*$D$3^2/(2*$H$3))</f>
        <v>0.0717604971641465</v>
      </c>
      <c r="AD344" s="20" t="n">
        <f aca="false">IF(OR(U344="",NOT(ISNUMBER(U344))),"",U344*$D$3^2/2*$F$3)</f>
        <v>703.970477180278</v>
      </c>
      <c r="AE344" s="19" t="str">
        <f aca="false">IF(OR(V344="",NOT(ISNUMBER(V344))),"",V344*$D$3^2/(2*$H$3))</f>
        <v/>
      </c>
      <c r="AF344" s="20" t="str">
        <f aca="false">IF(OR(V344="",NOT(ISNUMBER(V344))),"",V344*$D$3^2/2*$F$3)</f>
        <v/>
      </c>
      <c r="AG344" s="19" t="n">
        <f aca="false">IF(OR(W344="",NOT(ISNUMBER(W344))),"",W344*$D$3^2/(2*$H$3))</f>
        <v>0.0993300504163715</v>
      </c>
      <c r="AH344" s="20" t="n">
        <f aca="false">IF(OR(W344="",NOT(ISNUMBER(W344))),"",W344*$D$3^2/2*$F$3)</f>
        <v>974.427794584605</v>
      </c>
    </row>
    <row r="345" customFormat="false" ht="15" hidden="false" customHeight="false" outlineLevel="0" collapsed="false">
      <c r="A345" s="10" t="s">
        <v>772</v>
      </c>
      <c r="B345" s="11" t="s">
        <v>41</v>
      </c>
      <c r="C345" s="6" t="s">
        <v>381</v>
      </c>
      <c r="D345" s="6" t="s">
        <v>773</v>
      </c>
      <c r="E345" s="6" t="s">
        <v>67</v>
      </c>
      <c r="F345" s="6" t="s">
        <v>68</v>
      </c>
      <c r="G345" s="6" t="n">
        <v>90</v>
      </c>
      <c r="H345" s="6" t="n">
        <v>75</v>
      </c>
      <c r="I345" s="6"/>
      <c r="J345" s="6" t="n">
        <v>10</v>
      </c>
      <c r="K345" s="6" t="s">
        <v>46</v>
      </c>
      <c r="L345" s="6" t="n">
        <v>148</v>
      </c>
      <c r="M345" s="6" t="n">
        <v>6</v>
      </c>
      <c r="N345" s="12" t="n">
        <v>73.6</v>
      </c>
      <c r="O345" s="12" t="n">
        <v>61.4</v>
      </c>
      <c r="P345" s="13" t="n">
        <v>54</v>
      </c>
      <c r="Q345" s="12"/>
      <c r="R345" s="14" t="n">
        <v>0.018</v>
      </c>
      <c r="S345" s="6" t="n">
        <v>0</v>
      </c>
      <c r="T345" s="6"/>
      <c r="U345" s="15" t="n">
        <f aca="false">(S345*R345+0.5*(1-(P345/N345)^2)+(1-(P345/O345)^2)^2)*(O345/P345)^4</f>
        <v>0.471613954186526</v>
      </c>
      <c r="V345" s="14"/>
      <c r="W345" s="15" t="n">
        <f aca="false">(S345*R345+0.5*(1-(P345/O345)^2)+(1-(P345/N345)^2)^2)*(O345/P345)^4</f>
        <v>0.545595693858588</v>
      </c>
      <c r="X345" s="10" t="s">
        <v>47</v>
      </c>
      <c r="Y345" s="16"/>
      <c r="Z345" s="17" t="s">
        <v>48</v>
      </c>
      <c r="AA345" s="6"/>
      <c r="AB345" s="18" t="n">
        <f aca="false">IF(O345="","",$D$3*PI()*(O345/1000)^2/4*3600)</f>
        <v>15.988966164442</v>
      </c>
      <c r="AC345" s="19" t="n">
        <f aca="false">IF(OR(U345="",NOT(ISNUMBER(U345))),"",U345*$D$3^2/(2*$H$3))</f>
        <v>0.0540841690580878</v>
      </c>
      <c r="AD345" s="20" t="n">
        <f aca="false">IF(OR(U345="",NOT(ISNUMBER(U345))),"",U345*$D$3^2/2*$F$3)</f>
        <v>530.565698459842</v>
      </c>
      <c r="AE345" s="19" t="str">
        <f aca="false">IF(OR(V345="",NOT(ISNUMBER(V345))),"",V345*$D$3^2/(2*$H$3))</f>
        <v/>
      </c>
      <c r="AF345" s="20" t="str">
        <f aca="false">IF(OR(V345="",NOT(ISNUMBER(V345))),"",V345*$D$3^2/2*$F$3)</f>
        <v/>
      </c>
      <c r="AG345" s="19" t="n">
        <f aca="false">IF(OR(W345="",NOT(ISNUMBER(W345))),"",W345*$D$3^2/(2*$H$3))</f>
        <v>0.0625683135158931</v>
      </c>
      <c r="AH345" s="20" t="n">
        <f aca="false">IF(OR(W345="",NOT(ISNUMBER(W345))),"",W345*$D$3^2/2*$F$3)</f>
        <v>613.795155590912</v>
      </c>
    </row>
    <row r="346" customFormat="false" ht="15" hidden="false" customHeight="false" outlineLevel="0" collapsed="false">
      <c r="A346" s="10" t="s">
        <v>774</v>
      </c>
      <c r="B346" s="11" t="s">
        <v>41</v>
      </c>
      <c r="C346" s="6" t="s">
        <v>381</v>
      </c>
      <c r="D346" s="6" t="s">
        <v>775</v>
      </c>
      <c r="E346" s="6" t="s">
        <v>67</v>
      </c>
      <c r="F346" s="6" t="s">
        <v>68</v>
      </c>
      <c r="G346" s="6" t="n">
        <v>110</v>
      </c>
      <c r="H346" s="6" t="n">
        <v>90</v>
      </c>
      <c r="I346" s="6"/>
      <c r="J346" s="6" t="n">
        <v>10</v>
      </c>
      <c r="K346" s="6" t="s">
        <v>46</v>
      </c>
      <c r="L346" s="6" t="n">
        <v>167</v>
      </c>
      <c r="M346" s="6" t="n">
        <v>15</v>
      </c>
      <c r="N346" s="12" t="n">
        <v>90</v>
      </c>
      <c r="O346" s="12" t="n">
        <v>73.6</v>
      </c>
      <c r="P346" s="13" t="n">
        <v>66</v>
      </c>
      <c r="Q346" s="12"/>
      <c r="R346" s="14" t="n">
        <v>0.017</v>
      </c>
      <c r="S346" s="6" t="n">
        <v>0</v>
      </c>
      <c r="T346" s="6"/>
      <c r="U346" s="15" t="n">
        <f aca="false">(S346*R346+0.5*(1-(P346/N346)^2)+(1-(P346/O346)^2)^2)*(O346/P346)^4</f>
        <v>0.416724362266214</v>
      </c>
      <c r="V346" s="14"/>
      <c r="W346" s="15" t="n">
        <f aca="false">(S346*R346+0.5*(1-(P346/O346)^2)+(1-(P346/N346)^2)^2)*(O346/P346)^4</f>
        <v>0.481840702573338</v>
      </c>
      <c r="X346" s="10" t="s">
        <v>47</v>
      </c>
      <c r="Y346" s="16"/>
      <c r="Z346" s="17" t="s">
        <v>48</v>
      </c>
      <c r="AA346" s="6"/>
      <c r="AB346" s="18" t="n">
        <f aca="false">IF(O346="","",$D$3*PI()*(O346/1000)^2/4*3600)</f>
        <v>22.9741403500662</v>
      </c>
      <c r="AC346" s="19" t="n">
        <f aca="false">IF(OR(U346="",NOT(ISNUMBER(U346))),"",U346*$D$3^2/(2*$H$3))</f>
        <v>0.047789491085575</v>
      </c>
      <c r="AD346" s="20" t="n">
        <f aca="false">IF(OR(U346="",NOT(ISNUMBER(U346))),"",U346*$D$3^2/2*$F$3)</f>
        <v>468.814907549491</v>
      </c>
      <c r="AE346" s="19" t="str">
        <f aca="false">IF(OR(V346="",NOT(ISNUMBER(V346))),"",V346*$D$3^2/(2*$H$3))</f>
        <v/>
      </c>
      <c r="AF346" s="20" t="str">
        <f aca="false">IF(OR(V346="",NOT(ISNUMBER(V346))),"",V346*$D$3^2/2*$F$3)</f>
        <v/>
      </c>
      <c r="AG346" s="19" t="n">
        <f aca="false">IF(OR(W346="",NOT(ISNUMBER(W346))),"",W346*$D$3^2/(2*$H$3))</f>
        <v>0.0552569613042819</v>
      </c>
      <c r="AH346" s="20" t="n">
        <f aca="false">IF(OR(W346="",NOT(ISNUMBER(W346))),"",W346*$D$3^2/2*$F$3)</f>
        <v>542.070790395006</v>
      </c>
    </row>
    <row r="347" customFormat="false" ht="15" hidden="false" customHeight="false" outlineLevel="0" collapsed="false">
      <c r="A347" s="10" t="s">
        <v>776</v>
      </c>
      <c r="B347" s="11" t="s">
        <v>41</v>
      </c>
      <c r="C347" s="6" t="s">
        <v>381</v>
      </c>
      <c r="D347" s="6" t="s">
        <v>777</v>
      </c>
      <c r="E347" s="6" t="s">
        <v>85</v>
      </c>
      <c r="F347" s="6" t="s">
        <v>86</v>
      </c>
      <c r="G347" s="6" t="n">
        <v>16</v>
      </c>
      <c r="H347" s="6"/>
      <c r="I347" s="6"/>
      <c r="J347" s="6" t="n">
        <v>16</v>
      </c>
      <c r="K347" s="6" t="s">
        <v>46</v>
      </c>
      <c r="L347" s="6" t="n">
        <v>49</v>
      </c>
      <c r="M347" s="6" t="n">
        <v>14</v>
      </c>
      <c r="N347" s="12" t="n">
        <v>12</v>
      </c>
      <c r="O347" s="12" t="n">
        <v>12</v>
      </c>
      <c r="P347" s="12"/>
      <c r="Q347" s="12"/>
      <c r="R347" s="14" t="n">
        <v>0.027</v>
      </c>
      <c r="S347" s="6"/>
      <c r="T347" s="6"/>
      <c r="U347" s="14"/>
      <c r="V347" s="14"/>
      <c r="W347" s="14"/>
      <c r="X347" s="10" t="s">
        <v>87</v>
      </c>
      <c r="Y347" s="16"/>
      <c r="Z347" s="17" t="s">
        <v>48</v>
      </c>
      <c r="AA347" s="6"/>
      <c r="AB347" s="18" t="n">
        <f aca="false">IF(O347="","",$D$3*PI()*(O347/1000)^2/4*3600)</f>
        <v>0.610725611857856</v>
      </c>
      <c r="AC347" s="19" t="str">
        <f aca="false">IF(OR(U347="",NOT(ISNUMBER(U347))),"",U347*$D$3^2/(2*$H$3))</f>
        <v/>
      </c>
      <c r="AD347" s="20" t="str">
        <f aca="false">IF(OR(U347="",NOT(ISNUMBER(U347))),"",U347*$D$3^2/2*$F$3)</f>
        <v/>
      </c>
      <c r="AE347" s="19" t="str">
        <f aca="false">IF(OR(V347="",NOT(ISNUMBER(V347))),"",V347*$D$3^2/(2*$H$3))</f>
        <v/>
      </c>
      <c r="AF347" s="20" t="str">
        <f aca="false">IF(OR(V347="",NOT(ISNUMBER(V347))),"",V347*$D$3^2/2*$F$3)</f>
        <v/>
      </c>
      <c r="AG347" s="19" t="str">
        <f aca="false">IF(OR(W347="",NOT(ISNUMBER(W347))),"",W347*$D$3^2/(2*$H$3))</f>
        <v/>
      </c>
      <c r="AH347" s="20" t="str">
        <f aca="false">IF(OR(W347="",NOT(ISNUMBER(W347))),"",W347*$D$3^2/2*$F$3)</f>
        <v/>
      </c>
    </row>
    <row r="348" customFormat="false" ht="15" hidden="false" customHeight="false" outlineLevel="0" collapsed="false">
      <c r="A348" s="10" t="s">
        <v>778</v>
      </c>
      <c r="B348" s="11" t="s">
        <v>41</v>
      </c>
      <c r="C348" s="6" t="s">
        <v>381</v>
      </c>
      <c r="D348" s="6" t="s">
        <v>779</v>
      </c>
      <c r="E348" s="6" t="s">
        <v>85</v>
      </c>
      <c r="F348" s="6" t="s">
        <v>86</v>
      </c>
      <c r="G348" s="6" t="n">
        <v>20</v>
      </c>
      <c r="H348" s="6"/>
      <c r="I348" s="6"/>
      <c r="J348" s="6" t="n">
        <v>16</v>
      </c>
      <c r="K348" s="6" t="s">
        <v>46</v>
      </c>
      <c r="L348" s="6" t="n">
        <v>49</v>
      </c>
      <c r="M348" s="6" t="n">
        <v>14</v>
      </c>
      <c r="N348" s="12" t="n">
        <v>16</v>
      </c>
      <c r="O348" s="12" t="n">
        <v>16</v>
      </c>
      <c r="P348" s="12"/>
      <c r="Q348" s="12"/>
      <c r="R348" s="14" t="n">
        <v>0.027</v>
      </c>
      <c r="S348" s="6"/>
      <c r="T348" s="6"/>
      <c r="U348" s="14"/>
      <c r="V348" s="14"/>
      <c r="W348" s="14"/>
      <c r="X348" s="10" t="s">
        <v>87</v>
      </c>
      <c r="Y348" s="16"/>
      <c r="Z348" s="17" t="s">
        <v>48</v>
      </c>
      <c r="AA348" s="6"/>
      <c r="AB348" s="18" t="n">
        <f aca="false">IF(O348="","",$D$3*PI()*(O348/1000)^2/4*3600)</f>
        <v>1.08573442108063</v>
      </c>
      <c r="AC348" s="19" t="str">
        <f aca="false">IF(OR(U348="",NOT(ISNUMBER(U348))),"",U348*$D$3^2/(2*$H$3))</f>
        <v/>
      </c>
      <c r="AD348" s="20" t="str">
        <f aca="false">IF(OR(U348="",NOT(ISNUMBER(U348))),"",U348*$D$3^2/2*$F$3)</f>
        <v/>
      </c>
      <c r="AE348" s="19" t="str">
        <f aca="false">IF(OR(V348="",NOT(ISNUMBER(V348))),"",V348*$D$3^2/(2*$H$3))</f>
        <v/>
      </c>
      <c r="AF348" s="20" t="str">
        <f aca="false">IF(OR(V348="",NOT(ISNUMBER(V348))),"",V348*$D$3^2/2*$F$3)</f>
        <v/>
      </c>
      <c r="AG348" s="19" t="str">
        <f aca="false">IF(OR(W348="",NOT(ISNUMBER(W348))),"",W348*$D$3^2/(2*$H$3))</f>
        <v/>
      </c>
      <c r="AH348" s="20" t="str">
        <f aca="false">IF(OR(W348="",NOT(ISNUMBER(W348))),"",W348*$D$3^2/2*$F$3)</f>
        <v/>
      </c>
    </row>
    <row r="349" customFormat="false" ht="15" hidden="false" customHeight="false" outlineLevel="0" collapsed="false">
      <c r="A349" s="10" t="s">
        <v>780</v>
      </c>
      <c r="B349" s="11" t="s">
        <v>41</v>
      </c>
      <c r="C349" s="6" t="s">
        <v>381</v>
      </c>
      <c r="D349" s="6" t="s">
        <v>781</v>
      </c>
      <c r="E349" s="6" t="s">
        <v>85</v>
      </c>
      <c r="F349" s="6" t="s">
        <v>86</v>
      </c>
      <c r="G349" s="6" t="n">
        <v>25</v>
      </c>
      <c r="H349" s="6"/>
      <c r="I349" s="6"/>
      <c r="J349" s="6" t="n">
        <v>16</v>
      </c>
      <c r="K349" s="6" t="s">
        <v>46</v>
      </c>
      <c r="L349" s="6" t="n">
        <v>58</v>
      </c>
      <c r="M349" s="6" t="n">
        <v>15</v>
      </c>
      <c r="N349" s="12" t="n">
        <v>20.4</v>
      </c>
      <c r="O349" s="12" t="n">
        <v>20.4</v>
      </c>
      <c r="P349" s="12"/>
      <c r="Q349" s="12"/>
      <c r="R349" s="14" t="n">
        <v>0.025</v>
      </c>
      <c r="S349" s="6"/>
      <c r="T349" s="6"/>
      <c r="U349" s="14"/>
      <c r="V349" s="14"/>
      <c r="W349" s="14"/>
      <c r="X349" s="10" t="s">
        <v>87</v>
      </c>
      <c r="Y349" s="16"/>
      <c r="Z349" s="17" t="s">
        <v>48</v>
      </c>
      <c r="AA349" s="6"/>
      <c r="AB349" s="18" t="n">
        <f aca="false">IF(O349="","",$D$3*PI()*(O349/1000)^2/4*3600)</f>
        <v>1.7649970182692</v>
      </c>
      <c r="AC349" s="19" t="str">
        <f aca="false">IF(OR(U349="",NOT(ISNUMBER(U349))),"",U349*$D$3^2/(2*$H$3))</f>
        <v/>
      </c>
      <c r="AD349" s="20" t="str">
        <f aca="false">IF(OR(U349="",NOT(ISNUMBER(U349))),"",U349*$D$3^2/2*$F$3)</f>
        <v/>
      </c>
      <c r="AE349" s="19" t="str">
        <f aca="false">IF(OR(V349="",NOT(ISNUMBER(V349))),"",V349*$D$3^2/(2*$H$3))</f>
        <v/>
      </c>
      <c r="AF349" s="20" t="str">
        <f aca="false">IF(OR(V349="",NOT(ISNUMBER(V349))),"",V349*$D$3^2/2*$F$3)</f>
        <v/>
      </c>
      <c r="AG349" s="19" t="str">
        <f aca="false">IF(OR(W349="",NOT(ISNUMBER(W349))),"",W349*$D$3^2/(2*$H$3))</f>
        <v/>
      </c>
      <c r="AH349" s="20" t="str">
        <f aca="false">IF(OR(W349="",NOT(ISNUMBER(W349))),"",W349*$D$3^2/2*$F$3)</f>
        <v/>
      </c>
    </row>
    <row r="350" customFormat="false" ht="15" hidden="false" customHeight="false" outlineLevel="0" collapsed="false">
      <c r="A350" s="10" t="s">
        <v>782</v>
      </c>
      <c r="B350" s="11" t="s">
        <v>41</v>
      </c>
      <c r="C350" s="6" t="s">
        <v>381</v>
      </c>
      <c r="D350" s="6" t="s">
        <v>783</v>
      </c>
      <c r="E350" s="6" t="s">
        <v>85</v>
      </c>
      <c r="F350" s="6" t="s">
        <v>86</v>
      </c>
      <c r="G350" s="6" t="n">
        <v>32</v>
      </c>
      <c r="H350" s="6"/>
      <c r="I350" s="6"/>
      <c r="J350" s="6" t="n">
        <v>16</v>
      </c>
      <c r="K350" s="6" t="s">
        <v>46</v>
      </c>
      <c r="L350" s="6" t="n">
        <v>81</v>
      </c>
      <c r="M350" s="6" t="n">
        <v>16</v>
      </c>
      <c r="N350" s="12" t="n">
        <v>26.2</v>
      </c>
      <c r="O350" s="12" t="n">
        <v>26.2</v>
      </c>
      <c r="P350" s="12"/>
      <c r="Q350" s="12"/>
      <c r="R350" s="14" t="n">
        <v>0.023</v>
      </c>
      <c r="S350" s="6"/>
      <c r="T350" s="6"/>
      <c r="U350" s="14"/>
      <c r="V350" s="14"/>
      <c r="W350" s="14"/>
      <c r="X350" s="10" t="s">
        <v>87</v>
      </c>
      <c r="Y350" s="16"/>
      <c r="Z350" s="17" t="s">
        <v>48</v>
      </c>
      <c r="AA350" s="6"/>
      <c r="AB350" s="18" t="n">
        <f aca="false">IF(O350="","",$D$3*PI()*(O350/1000)^2/4*3600)</f>
        <v>2.91129506252574</v>
      </c>
      <c r="AC350" s="19" t="str">
        <f aca="false">IF(OR(U350="",NOT(ISNUMBER(U350))),"",U350*$D$3^2/(2*$H$3))</f>
        <v/>
      </c>
      <c r="AD350" s="20" t="str">
        <f aca="false">IF(OR(U350="",NOT(ISNUMBER(U350))),"",U350*$D$3^2/2*$F$3)</f>
        <v/>
      </c>
      <c r="AE350" s="19" t="str">
        <f aca="false">IF(OR(V350="",NOT(ISNUMBER(V350))),"",V350*$D$3^2/(2*$H$3))</f>
        <v/>
      </c>
      <c r="AF350" s="20" t="str">
        <f aca="false">IF(OR(V350="",NOT(ISNUMBER(V350))),"",V350*$D$3^2/2*$F$3)</f>
        <v/>
      </c>
      <c r="AG350" s="19" t="str">
        <f aca="false">IF(OR(W350="",NOT(ISNUMBER(W350))),"",W350*$D$3^2/(2*$H$3))</f>
        <v/>
      </c>
      <c r="AH350" s="20" t="str">
        <f aca="false">IF(OR(W350="",NOT(ISNUMBER(W350))),"",W350*$D$3^2/2*$F$3)</f>
        <v/>
      </c>
    </row>
    <row r="351" customFormat="false" ht="15" hidden="false" customHeight="false" outlineLevel="0" collapsed="false">
      <c r="A351" s="10" t="s">
        <v>784</v>
      </c>
      <c r="B351" s="11" t="s">
        <v>41</v>
      </c>
      <c r="C351" s="6" t="s">
        <v>381</v>
      </c>
      <c r="D351" s="6" t="s">
        <v>785</v>
      </c>
      <c r="E351" s="6" t="s">
        <v>85</v>
      </c>
      <c r="F351" s="6" t="s">
        <v>86</v>
      </c>
      <c r="G351" s="6" t="n">
        <v>40</v>
      </c>
      <c r="H351" s="6"/>
      <c r="I351" s="6"/>
      <c r="J351" s="6" t="n">
        <v>16</v>
      </c>
      <c r="K351" s="6" t="s">
        <v>46</v>
      </c>
      <c r="L351" s="6" t="n">
        <v>92</v>
      </c>
      <c r="M351" s="6" t="n">
        <v>22</v>
      </c>
      <c r="N351" s="12" t="n">
        <v>32.6</v>
      </c>
      <c r="O351" s="12" t="n">
        <v>32.6</v>
      </c>
      <c r="P351" s="12"/>
      <c r="Q351" s="12"/>
      <c r="R351" s="14" t="n">
        <v>0.022</v>
      </c>
      <c r="S351" s="6"/>
      <c r="T351" s="6"/>
      <c r="U351" s="14"/>
      <c r="V351" s="14"/>
      <c r="W351" s="14"/>
      <c r="X351" s="10" t="s">
        <v>87</v>
      </c>
      <c r="Y351" s="16"/>
      <c r="Z351" s="17" t="s">
        <v>48</v>
      </c>
      <c r="AA351" s="6"/>
      <c r="AB351" s="18" t="n">
        <f aca="false">IF(O351="","",$D$3*PI()*(O351/1000)^2/4*3600)</f>
        <v>4.50732466151427</v>
      </c>
      <c r="AC351" s="19" t="str">
        <f aca="false">IF(OR(U351="",NOT(ISNUMBER(U351))),"",U351*$D$3^2/(2*$H$3))</f>
        <v/>
      </c>
      <c r="AD351" s="20" t="str">
        <f aca="false">IF(OR(U351="",NOT(ISNUMBER(U351))),"",U351*$D$3^2/2*$F$3)</f>
        <v/>
      </c>
      <c r="AE351" s="19" t="str">
        <f aca="false">IF(OR(V351="",NOT(ISNUMBER(V351))),"",V351*$D$3^2/(2*$H$3))</f>
        <v/>
      </c>
      <c r="AF351" s="20" t="str">
        <f aca="false">IF(OR(V351="",NOT(ISNUMBER(V351))),"",V351*$D$3^2/2*$F$3)</f>
        <v/>
      </c>
      <c r="AG351" s="19" t="str">
        <f aca="false">IF(OR(W351="",NOT(ISNUMBER(W351))),"",W351*$D$3^2/(2*$H$3))</f>
        <v/>
      </c>
      <c r="AH351" s="20" t="str">
        <f aca="false">IF(OR(W351="",NOT(ISNUMBER(W351))),"",W351*$D$3^2/2*$F$3)</f>
        <v/>
      </c>
    </row>
    <row r="352" customFormat="false" ht="15" hidden="false" customHeight="false" outlineLevel="0" collapsed="false">
      <c r="A352" s="10" t="s">
        <v>786</v>
      </c>
      <c r="B352" s="11" t="s">
        <v>41</v>
      </c>
      <c r="C352" s="6" t="s">
        <v>381</v>
      </c>
      <c r="D352" s="6" t="s">
        <v>787</v>
      </c>
      <c r="E352" s="6" t="s">
        <v>85</v>
      </c>
      <c r="F352" s="6" t="s">
        <v>86</v>
      </c>
      <c r="G352" s="6" t="n">
        <v>50</v>
      </c>
      <c r="H352" s="6"/>
      <c r="I352" s="6"/>
      <c r="J352" s="6" t="n">
        <v>16</v>
      </c>
      <c r="K352" s="6" t="s">
        <v>46</v>
      </c>
      <c r="L352" s="6" t="n">
        <v>108</v>
      </c>
      <c r="M352" s="6" t="n">
        <v>23</v>
      </c>
      <c r="N352" s="12" t="n">
        <v>40.8</v>
      </c>
      <c r="O352" s="12" t="n">
        <v>40.8</v>
      </c>
      <c r="P352" s="12"/>
      <c r="Q352" s="12"/>
      <c r="R352" s="14" t="n">
        <v>0.021</v>
      </c>
      <c r="S352" s="6"/>
      <c r="T352" s="6"/>
      <c r="U352" s="14"/>
      <c r="V352" s="14"/>
      <c r="W352" s="14"/>
      <c r="X352" s="10" t="s">
        <v>87</v>
      </c>
      <c r="Y352" s="16"/>
      <c r="Z352" s="17" t="s">
        <v>48</v>
      </c>
      <c r="AA352" s="6"/>
      <c r="AB352" s="18" t="n">
        <f aca="false">IF(O352="","",$D$3*PI()*(O352/1000)^2/4*3600)</f>
        <v>7.05998807307681</v>
      </c>
      <c r="AC352" s="19" t="str">
        <f aca="false">IF(OR(U352="",NOT(ISNUMBER(U352))),"",U352*$D$3^2/(2*$H$3))</f>
        <v/>
      </c>
      <c r="AD352" s="20" t="str">
        <f aca="false">IF(OR(U352="",NOT(ISNUMBER(U352))),"",U352*$D$3^2/2*$F$3)</f>
        <v/>
      </c>
      <c r="AE352" s="19" t="str">
        <f aca="false">IF(OR(V352="",NOT(ISNUMBER(V352))),"",V352*$D$3^2/(2*$H$3))</f>
        <v/>
      </c>
      <c r="AF352" s="20" t="str">
        <f aca="false">IF(OR(V352="",NOT(ISNUMBER(V352))),"",V352*$D$3^2/2*$F$3)</f>
        <v/>
      </c>
      <c r="AG352" s="19" t="str">
        <f aca="false">IF(OR(W352="",NOT(ISNUMBER(W352))),"",W352*$D$3^2/(2*$H$3))</f>
        <v/>
      </c>
      <c r="AH352" s="20" t="str">
        <f aca="false">IF(OR(W352="",NOT(ISNUMBER(W352))),"",W352*$D$3^2/2*$F$3)</f>
        <v/>
      </c>
    </row>
    <row r="353" customFormat="false" ht="15" hidden="false" customHeight="false" outlineLevel="0" collapsed="false">
      <c r="A353" s="10" t="s">
        <v>788</v>
      </c>
      <c r="B353" s="11" t="s">
        <v>41</v>
      </c>
      <c r="C353" s="6" t="s">
        <v>381</v>
      </c>
      <c r="D353" s="6" t="s">
        <v>789</v>
      </c>
      <c r="E353" s="6" t="s">
        <v>85</v>
      </c>
      <c r="F353" s="6" t="s">
        <v>86</v>
      </c>
      <c r="G353" s="6" t="n">
        <v>63</v>
      </c>
      <c r="H353" s="6"/>
      <c r="I353" s="6"/>
      <c r="J353" s="6" t="n">
        <v>16</v>
      </c>
      <c r="K353" s="6" t="s">
        <v>46</v>
      </c>
      <c r="L353" s="6" t="n">
        <v>125</v>
      </c>
      <c r="M353" s="6" t="n">
        <v>25</v>
      </c>
      <c r="N353" s="12" t="n">
        <v>51.4</v>
      </c>
      <c r="O353" s="12" t="n">
        <v>51.4</v>
      </c>
      <c r="P353" s="12"/>
      <c r="Q353" s="12"/>
      <c r="R353" s="14" t="n">
        <v>0.019</v>
      </c>
      <c r="S353" s="6"/>
      <c r="T353" s="6"/>
      <c r="U353" s="14"/>
      <c r="V353" s="14"/>
      <c r="W353" s="14"/>
      <c r="X353" s="10" t="s">
        <v>87</v>
      </c>
      <c r="Y353" s="16"/>
      <c r="Z353" s="17" t="s">
        <v>48</v>
      </c>
      <c r="AA353" s="6"/>
      <c r="AB353" s="18" t="n">
        <f aca="false">IF(O353="","",$D$3*PI()*(O353/1000)^2/4*3600)</f>
        <v>11.2049488715554</v>
      </c>
      <c r="AC353" s="19" t="str">
        <f aca="false">IF(OR(U353="",NOT(ISNUMBER(U353))),"",U353*$D$3^2/(2*$H$3))</f>
        <v/>
      </c>
      <c r="AD353" s="20" t="str">
        <f aca="false">IF(OR(U353="",NOT(ISNUMBER(U353))),"",U353*$D$3^2/2*$F$3)</f>
        <v/>
      </c>
      <c r="AE353" s="19" t="str">
        <f aca="false">IF(OR(V353="",NOT(ISNUMBER(V353))),"",V353*$D$3^2/(2*$H$3))</f>
        <v/>
      </c>
      <c r="AF353" s="20" t="str">
        <f aca="false">IF(OR(V353="",NOT(ISNUMBER(V353))),"",V353*$D$3^2/2*$F$3)</f>
        <v/>
      </c>
      <c r="AG353" s="19" t="str">
        <f aca="false">IF(OR(W353="",NOT(ISNUMBER(W353))),"",W353*$D$3^2/(2*$H$3))</f>
        <v/>
      </c>
      <c r="AH353" s="20" t="str">
        <f aca="false">IF(OR(W353="",NOT(ISNUMBER(W353))),"",W353*$D$3^2/2*$F$3)</f>
        <v/>
      </c>
    </row>
    <row r="354" customFormat="false" ht="15" hidden="false" customHeight="false" outlineLevel="0" collapsed="false">
      <c r="A354" s="10" t="s">
        <v>790</v>
      </c>
      <c r="B354" s="11" t="s">
        <v>41</v>
      </c>
      <c r="C354" s="6" t="s">
        <v>381</v>
      </c>
      <c r="D354" s="6" t="s">
        <v>791</v>
      </c>
      <c r="E354" s="6" t="s">
        <v>85</v>
      </c>
      <c r="F354" s="6" t="s">
        <v>86</v>
      </c>
      <c r="G354" s="6" t="n">
        <v>75</v>
      </c>
      <c r="H354" s="6"/>
      <c r="I354" s="6"/>
      <c r="J354" s="6" t="n">
        <v>10</v>
      </c>
      <c r="K354" s="6" t="s">
        <v>46</v>
      </c>
      <c r="L354" s="6" t="n">
        <v>140</v>
      </c>
      <c r="M354" s="6" t="n">
        <v>40</v>
      </c>
      <c r="N354" s="12" t="n">
        <v>61.4</v>
      </c>
      <c r="O354" s="12" t="n">
        <v>61.4</v>
      </c>
      <c r="P354" s="12"/>
      <c r="Q354" s="12"/>
      <c r="R354" s="14" t="n">
        <v>0.018</v>
      </c>
      <c r="S354" s="6"/>
      <c r="T354" s="6"/>
      <c r="U354" s="14"/>
      <c r="V354" s="14"/>
      <c r="W354" s="14"/>
      <c r="X354" s="10" t="s">
        <v>87</v>
      </c>
      <c r="Y354" s="16"/>
      <c r="Z354" s="17" t="s">
        <v>48</v>
      </c>
      <c r="AA354" s="6"/>
      <c r="AB354" s="18" t="n">
        <f aca="false">IF(O354="","",$D$3*PI()*(O354/1000)^2/4*3600)</f>
        <v>15.988966164442</v>
      </c>
      <c r="AC354" s="19" t="str">
        <f aca="false">IF(OR(U354="",NOT(ISNUMBER(U354))),"",U354*$D$3^2/(2*$H$3))</f>
        <v/>
      </c>
      <c r="AD354" s="20" t="str">
        <f aca="false">IF(OR(U354="",NOT(ISNUMBER(U354))),"",U354*$D$3^2/2*$F$3)</f>
        <v/>
      </c>
      <c r="AE354" s="19" t="str">
        <f aca="false">IF(OR(V354="",NOT(ISNUMBER(V354))),"",V354*$D$3^2/(2*$H$3))</f>
        <v/>
      </c>
      <c r="AF354" s="20" t="str">
        <f aca="false">IF(OR(V354="",NOT(ISNUMBER(V354))),"",V354*$D$3^2/2*$F$3)</f>
        <v/>
      </c>
      <c r="AG354" s="19" t="str">
        <f aca="false">IF(OR(W354="",NOT(ISNUMBER(W354))),"",W354*$D$3^2/(2*$H$3))</f>
        <v/>
      </c>
      <c r="AH354" s="20" t="str">
        <f aca="false">IF(OR(W354="",NOT(ISNUMBER(W354))),"",W354*$D$3^2/2*$F$3)</f>
        <v/>
      </c>
    </row>
    <row r="355" customFormat="false" ht="15" hidden="false" customHeight="false" outlineLevel="0" collapsed="false">
      <c r="A355" s="10" t="s">
        <v>792</v>
      </c>
      <c r="B355" s="11" t="s">
        <v>41</v>
      </c>
      <c r="C355" s="6" t="s">
        <v>381</v>
      </c>
      <c r="D355" s="6" t="s">
        <v>793</v>
      </c>
      <c r="E355" s="6" t="s">
        <v>85</v>
      </c>
      <c r="F355" s="6" t="s">
        <v>86</v>
      </c>
      <c r="G355" s="6" t="n">
        <v>90</v>
      </c>
      <c r="H355" s="6"/>
      <c r="I355" s="6"/>
      <c r="J355" s="6" t="n">
        <v>10</v>
      </c>
      <c r="K355" s="6" t="s">
        <v>46</v>
      </c>
      <c r="L355" s="6" t="n">
        <v>148</v>
      </c>
      <c r="M355" s="6" t="n">
        <v>28</v>
      </c>
      <c r="N355" s="12" t="n">
        <v>73.6</v>
      </c>
      <c r="O355" s="12" t="n">
        <v>73.6</v>
      </c>
      <c r="P355" s="12"/>
      <c r="Q355" s="12"/>
      <c r="R355" s="14" t="n">
        <v>0.018</v>
      </c>
      <c r="S355" s="6"/>
      <c r="T355" s="6"/>
      <c r="U355" s="14"/>
      <c r="V355" s="14"/>
      <c r="W355" s="14"/>
      <c r="X355" s="10" t="s">
        <v>87</v>
      </c>
      <c r="Y355" s="16"/>
      <c r="Z355" s="17" t="s">
        <v>48</v>
      </c>
      <c r="AA355" s="6"/>
      <c r="AB355" s="18" t="n">
        <f aca="false">IF(O355="","",$D$3*PI()*(O355/1000)^2/4*3600)</f>
        <v>22.9741403500662</v>
      </c>
      <c r="AC355" s="19" t="str">
        <f aca="false">IF(OR(U355="",NOT(ISNUMBER(U355))),"",U355*$D$3^2/(2*$H$3))</f>
        <v/>
      </c>
      <c r="AD355" s="20" t="str">
        <f aca="false">IF(OR(U355="",NOT(ISNUMBER(U355))),"",U355*$D$3^2/2*$F$3)</f>
        <v/>
      </c>
      <c r="AE355" s="19" t="str">
        <f aca="false">IF(OR(V355="",NOT(ISNUMBER(V355))),"",V355*$D$3^2/(2*$H$3))</f>
        <v/>
      </c>
      <c r="AF355" s="20" t="str">
        <f aca="false">IF(OR(V355="",NOT(ISNUMBER(V355))),"",V355*$D$3^2/2*$F$3)</f>
        <v/>
      </c>
      <c r="AG355" s="19" t="str">
        <f aca="false">IF(OR(W355="",NOT(ISNUMBER(W355))),"",W355*$D$3^2/(2*$H$3))</f>
        <v/>
      </c>
      <c r="AH355" s="20" t="str">
        <f aca="false">IF(OR(W355="",NOT(ISNUMBER(W355))),"",W355*$D$3^2/2*$F$3)</f>
        <v/>
      </c>
    </row>
    <row r="356" customFormat="false" ht="15" hidden="false" customHeight="false" outlineLevel="0" collapsed="false">
      <c r="A356" s="10" t="s">
        <v>794</v>
      </c>
      <c r="B356" s="11" t="s">
        <v>41</v>
      </c>
      <c r="C356" s="6" t="s">
        <v>381</v>
      </c>
      <c r="D356" s="6" t="s">
        <v>795</v>
      </c>
      <c r="E356" s="6" t="s">
        <v>85</v>
      </c>
      <c r="F356" s="6" t="s">
        <v>86</v>
      </c>
      <c r="G356" s="6" t="n">
        <v>110</v>
      </c>
      <c r="H356" s="6"/>
      <c r="I356" s="6"/>
      <c r="J356" s="6" t="n">
        <v>10</v>
      </c>
      <c r="K356" s="6" t="s">
        <v>46</v>
      </c>
      <c r="L356" s="6" t="n">
        <v>167</v>
      </c>
      <c r="M356" s="6" t="n">
        <v>31</v>
      </c>
      <c r="N356" s="12" t="n">
        <v>90</v>
      </c>
      <c r="O356" s="12" t="n">
        <v>90</v>
      </c>
      <c r="P356" s="12"/>
      <c r="Q356" s="12"/>
      <c r="R356" s="14" t="n">
        <v>0.017</v>
      </c>
      <c r="S356" s="6"/>
      <c r="T356" s="6"/>
      <c r="U356" s="14"/>
      <c r="V356" s="14"/>
      <c r="W356" s="14"/>
      <c r="X356" s="10" t="s">
        <v>87</v>
      </c>
      <c r="Y356" s="16"/>
      <c r="Z356" s="17" t="s">
        <v>48</v>
      </c>
      <c r="AA356" s="6"/>
      <c r="AB356" s="18" t="n">
        <f aca="false">IF(O356="","",$D$3*PI()*(O356/1000)^2/4*3600)</f>
        <v>34.3533156670044</v>
      </c>
      <c r="AC356" s="19" t="str">
        <f aca="false">IF(OR(U356="",NOT(ISNUMBER(U356))),"",U356*$D$3^2/(2*$H$3))</f>
        <v/>
      </c>
      <c r="AD356" s="20" t="str">
        <f aca="false">IF(OR(U356="",NOT(ISNUMBER(U356))),"",U356*$D$3^2/2*$F$3)</f>
        <v/>
      </c>
      <c r="AE356" s="19" t="str">
        <f aca="false">IF(OR(V356="",NOT(ISNUMBER(V356))),"",V356*$D$3^2/(2*$H$3))</f>
        <v/>
      </c>
      <c r="AF356" s="20" t="str">
        <f aca="false">IF(OR(V356="",NOT(ISNUMBER(V356))),"",V356*$D$3^2/2*$F$3)</f>
        <v/>
      </c>
      <c r="AG356" s="19" t="str">
        <f aca="false">IF(OR(W356="",NOT(ISNUMBER(W356))),"",W356*$D$3^2/(2*$H$3))</f>
        <v/>
      </c>
      <c r="AH356" s="20" t="str">
        <f aca="false">IF(OR(W356="",NOT(ISNUMBER(W356))),"",W356*$D$3^2/2*$F$3)</f>
        <v/>
      </c>
    </row>
    <row r="357" customFormat="false" ht="15" hidden="false" customHeight="false" outlineLevel="0" collapsed="false">
      <c r="A357" s="10" t="s">
        <v>796</v>
      </c>
      <c r="B357" s="21" t="s">
        <v>797</v>
      </c>
      <c r="C357" s="6" t="s">
        <v>798</v>
      </c>
      <c r="D357" s="6" t="s">
        <v>799</v>
      </c>
      <c r="E357" s="6" t="s">
        <v>800</v>
      </c>
      <c r="F357" s="6" t="s">
        <v>334</v>
      </c>
      <c r="G357" s="6" t="n">
        <v>25</v>
      </c>
      <c r="H357" s="6"/>
      <c r="I357" s="6" t="s">
        <v>108</v>
      </c>
      <c r="J357" s="6" t="n">
        <v>10</v>
      </c>
      <c r="K357" s="6" t="s">
        <v>801</v>
      </c>
      <c r="L357" s="6"/>
      <c r="M357" s="6"/>
      <c r="N357" s="12" t="n">
        <v>20.4</v>
      </c>
      <c r="O357" s="12" t="n">
        <v>20.4</v>
      </c>
      <c r="P357" s="12"/>
      <c r="Q357" s="12" t="n">
        <v>15.8</v>
      </c>
      <c r="R357" s="14" t="n">
        <v>0.025</v>
      </c>
      <c r="S357" s="6" t="n">
        <v>0</v>
      </c>
      <c r="T357" s="6"/>
      <c r="U357" s="14" t="n">
        <v>0</v>
      </c>
      <c r="V357" s="15" t="n">
        <f aca="false">60*R357+0.5*(1-(Q357/N357)^2)</f>
        <v>1.70006728181469</v>
      </c>
      <c r="W357" s="14"/>
      <c r="X357" s="10" t="s">
        <v>335</v>
      </c>
      <c r="Y357" s="16" t="n">
        <v>1.25</v>
      </c>
      <c r="Z357" s="17" t="s">
        <v>48</v>
      </c>
      <c r="AA357" s="6" t="s">
        <v>802</v>
      </c>
      <c r="AB357" s="18" t="n">
        <f aca="false">IF(O357="","",$D$3*PI()*(O357/1000)^2/4*3600)</f>
        <v>1.7649970182692</v>
      </c>
      <c r="AC357" s="19" t="n">
        <f aca="false">IF(OR(U357="",NOT(ISNUMBER(U357))),"",U357*$D$3^2/(2*$H$3))</f>
        <v>0</v>
      </c>
      <c r="AD357" s="20" t="n">
        <f aca="false">IF(OR(U357="",NOT(ISNUMBER(U357))),"",U357*$D$3^2/2*$F$3)</f>
        <v>0</v>
      </c>
      <c r="AE357" s="19" t="n">
        <f aca="false">IF(OR(V357="",NOT(ISNUMBER(V357))),"",V357*$D$3^2/(2*$H$3))</f>
        <v>0.194961844244803</v>
      </c>
      <c r="AF357" s="20" t="n">
        <f aca="false">IF(OR(V357="",NOT(ISNUMBER(V357))),"",V357*$D$3^2/2*$F$3)</f>
        <v>1912.57569204152</v>
      </c>
      <c r="AG357" s="19" t="str">
        <f aca="false">IF(OR(W357="",NOT(ISNUMBER(W357))),"",W357*$D$3^2/(2*$H$3))</f>
        <v/>
      </c>
      <c r="AH357" s="20" t="str">
        <f aca="false">IF(OR(W357="",NOT(ISNUMBER(W357))),"",W357*$D$3^2/2*$F$3)</f>
        <v/>
      </c>
    </row>
    <row r="358" customFormat="false" ht="15" hidden="false" customHeight="false" outlineLevel="0" collapsed="false">
      <c r="A358" s="10" t="s">
        <v>803</v>
      </c>
      <c r="B358" s="21" t="s">
        <v>797</v>
      </c>
      <c r="C358" s="6" t="s">
        <v>798</v>
      </c>
      <c r="D358" s="6" t="s">
        <v>804</v>
      </c>
      <c r="E358" s="6" t="s">
        <v>800</v>
      </c>
      <c r="F358" s="6" t="s">
        <v>334</v>
      </c>
      <c r="G358" s="6" t="n">
        <v>25</v>
      </c>
      <c r="H358" s="6"/>
      <c r="I358" s="6" t="s">
        <v>111</v>
      </c>
      <c r="J358" s="6" t="n">
        <v>10</v>
      </c>
      <c r="K358" s="6" t="s">
        <v>801</v>
      </c>
      <c r="L358" s="6"/>
      <c r="M358" s="6"/>
      <c r="N358" s="12" t="n">
        <v>20.4</v>
      </c>
      <c r="O358" s="12" t="n">
        <v>20.4</v>
      </c>
      <c r="P358" s="12"/>
      <c r="Q358" s="12" t="n">
        <v>20.9</v>
      </c>
      <c r="R358" s="14" t="n">
        <v>0.025</v>
      </c>
      <c r="S358" s="6" t="n">
        <v>0</v>
      </c>
      <c r="T358" s="6"/>
      <c r="U358" s="14" t="n">
        <v>0</v>
      </c>
      <c r="V358" s="15" t="n">
        <f aca="false">60*R358+0.5*(1-(Q358/N358)^2)</f>
        <v>1.47518983083429</v>
      </c>
      <c r="W358" s="14"/>
      <c r="X358" s="10" t="s">
        <v>335</v>
      </c>
      <c r="Y358" s="16" t="n">
        <v>1.25</v>
      </c>
      <c r="Z358" s="17" t="s">
        <v>48</v>
      </c>
      <c r="AA358" s="6" t="s">
        <v>802</v>
      </c>
      <c r="AB358" s="18" t="n">
        <f aca="false">IF(O358="","",$D$3*PI()*(O358/1000)^2/4*3600)</f>
        <v>1.7649970182692</v>
      </c>
      <c r="AC358" s="19" t="n">
        <f aca="false">IF(OR(U358="",NOT(ISNUMBER(U358))),"",U358*$D$3^2/(2*$H$3))</f>
        <v>0</v>
      </c>
      <c r="AD358" s="20" t="n">
        <f aca="false">IF(OR(U358="",NOT(ISNUMBER(U358))),"",U358*$D$3^2/2*$F$3)</f>
        <v>0</v>
      </c>
      <c r="AE358" s="19" t="n">
        <f aca="false">IF(OR(V358="",NOT(ISNUMBER(V358))),"",V358*$D$3^2/(2*$H$3))</f>
        <v>0.169173145737878</v>
      </c>
      <c r="AF358" s="20" t="n">
        <f aca="false">IF(OR(V358="",NOT(ISNUMBER(V358))),"",V358*$D$3^2/2*$F$3)</f>
        <v>1659.58855968858</v>
      </c>
      <c r="AG358" s="19" t="str">
        <f aca="false">IF(OR(W358="",NOT(ISNUMBER(W358))),"",W358*$D$3^2/(2*$H$3))</f>
        <v/>
      </c>
      <c r="AH358" s="20" t="str">
        <f aca="false">IF(OR(W358="",NOT(ISNUMBER(W358))),"",W358*$D$3^2/2*$F$3)</f>
        <v/>
      </c>
    </row>
    <row r="359" customFormat="false" ht="15" hidden="false" customHeight="false" outlineLevel="0" collapsed="false">
      <c r="A359" s="10" t="s">
        <v>805</v>
      </c>
      <c r="B359" s="21" t="s">
        <v>797</v>
      </c>
      <c r="C359" s="6" t="s">
        <v>798</v>
      </c>
      <c r="D359" s="6" t="s">
        <v>806</v>
      </c>
      <c r="E359" s="6" t="s">
        <v>800</v>
      </c>
      <c r="F359" s="6" t="s">
        <v>334</v>
      </c>
      <c r="G359" s="6" t="n">
        <v>32</v>
      </c>
      <c r="H359" s="6"/>
      <c r="I359" s="6" t="s">
        <v>108</v>
      </c>
      <c r="J359" s="6" t="n">
        <v>10</v>
      </c>
      <c r="K359" s="6" t="s">
        <v>801</v>
      </c>
      <c r="L359" s="6"/>
      <c r="M359" s="6"/>
      <c r="N359" s="12" t="n">
        <v>26.2</v>
      </c>
      <c r="O359" s="12" t="n">
        <v>26.2</v>
      </c>
      <c r="P359" s="12"/>
      <c r="Q359" s="12" t="n">
        <v>15.8</v>
      </c>
      <c r="R359" s="14" t="n">
        <v>0.023</v>
      </c>
      <c r="S359" s="6" t="n">
        <v>0</v>
      </c>
      <c r="T359" s="6"/>
      <c r="U359" s="14" t="n">
        <v>0</v>
      </c>
      <c r="V359" s="15" t="n">
        <f aca="false">60*R359+0.5*(1-(Q359/N359)^2)</f>
        <v>1.6981632771983</v>
      </c>
      <c r="W359" s="14"/>
      <c r="X359" s="10" t="s">
        <v>335</v>
      </c>
      <c r="Y359" s="16" t="n">
        <v>1.56</v>
      </c>
      <c r="Z359" s="17" t="s">
        <v>48</v>
      </c>
      <c r="AA359" s="6" t="s">
        <v>802</v>
      </c>
      <c r="AB359" s="18" t="n">
        <f aca="false">IF(O359="","",$D$3*PI()*(O359/1000)^2/4*3600)</f>
        <v>2.91129506252574</v>
      </c>
      <c r="AC359" s="19" t="n">
        <f aca="false">IF(OR(U359="",NOT(ISNUMBER(U359))),"",U359*$D$3^2/(2*$H$3))</f>
        <v>0</v>
      </c>
      <c r="AD359" s="20" t="n">
        <f aca="false">IF(OR(U359="",NOT(ISNUMBER(U359))),"",U359*$D$3^2/2*$F$3)</f>
        <v>0</v>
      </c>
      <c r="AE359" s="19" t="n">
        <f aca="false">IF(OR(V359="",NOT(ISNUMBER(V359))),"",V359*$D$3^2/(2*$H$3))</f>
        <v>0.194743495091548</v>
      </c>
      <c r="AF359" s="20" t="n">
        <f aca="false">IF(OR(V359="",NOT(ISNUMBER(V359))),"",V359*$D$3^2/2*$F$3)</f>
        <v>1910.43368684809</v>
      </c>
      <c r="AG359" s="19" t="str">
        <f aca="false">IF(OR(W359="",NOT(ISNUMBER(W359))),"",W359*$D$3^2/(2*$H$3))</f>
        <v/>
      </c>
      <c r="AH359" s="20" t="str">
        <f aca="false">IF(OR(W359="",NOT(ISNUMBER(W359))),"",W359*$D$3^2/2*$F$3)</f>
        <v/>
      </c>
    </row>
    <row r="360" customFormat="false" ht="15" hidden="false" customHeight="false" outlineLevel="0" collapsed="false">
      <c r="A360" s="10" t="s">
        <v>807</v>
      </c>
      <c r="B360" s="21" t="s">
        <v>797</v>
      </c>
      <c r="C360" s="6" t="s">
        <v>798</v>
      </c>
      <c r="D360" s="6" t="s">
        <v>808</v>
      </c>
      <c r="E360" s="6" t="s">
        <v>800</v>
      </c>
      <c r="F360" s="6" t="s">
        <v>334</v>
      </c>
      <c r="G360" s="6" t="n">
        <v>32</v>
      </c>
      <c r="H360" s="6"/>
      <c r="I360" s="6" t="s">
        <v>111</v>
      </c>
      <c r="J360" s="6" t="n">
        <v>10</v>
      </c>
      <c r="K360" s="6" t="s">
        <v>801</v>
      </c>
      <c r="L360" s="6"/>
      <c r="M360" s="6"/>
      <c r="N360" s="12" t="n">
        <v>26.2</v>
      </c>
      <c r="O360" s="12" t="n">
        <v>26.2</v>
      </c>
      <c r="P360" s="12"/>
      <c r="Q360" s="12" t="n">
        <v>20.9</v>
      </c>
      <c r="R360" s="14" t="n">
        <v>0.023</v>
      </c>
      <c r="S360" s="6" t="n">
        <v>0</v>
      </c>
      <c r="T360" s="6"/>
      <c r="U360" s="14" t="n">
        <v>0</v>
      </c>
      <c r="V360" s="15" t="n">
        <f aca="false">60*R360+0.5*(1-(Q360/N360)^2)</f>
        <v>1.56182943884389</v>
      </c>
      <c r="W360" s="14"/>
      <c r="X360" s="10" t="s">
        <v>335</v>
      </c>
      <c r="Y360" s="16" t="n">
        <v>1.56</v>
      </c>
      <c r="Z360" s="17" t="s">
        <v>48</v>
      </c>
      <c r="AA360" s="6" t="s">
        <v>802</v>
      </c>
      <c r="AB360" s="18" t="n">
        <f aca="false">IF(O360="","",$D$3*PI()*(O360/1000)^2/4*3600)</f>
        <v>2.91129506252574</v>
      </c>
      <c r="AC360" s="19" t="n">
        <f aca="false">IF(OR(U360="",NOT(ISNUMBER(U360))),"",U360*$D$3^2/(2*$H$3))</f>
        <v>0</v>
      </c>
      <c r="AD360" s="20" t="n">
        <f aca="false">IF(OR(U360="",NOT(ISNUMBER(U360))),"",U360*$D$3^2/2*$F$3)</f>
        <v>0</v>
      </c>
      <c r="AE360" s="19" t="n">
        <f aca="false">IF(OR(V360="",NOT(ISNUMBER(V360))),"",V360*$D$3^2/(2*$H$3))</f>
        <v>0.179108880601364</v>
      </c>
      <c r="AF360" s="20" t="n">
        <f aca="false">IF(OR(V360="",NOT(ISNUMBER(V360))),"",V360*$D$3^2/2*$F$3)</f>
        <v>1757.05811869938</v>
      </c>
      <c r="AG360" s="19" t="str">
        <f aca="false">IF(OR(W360="",NOT(ISNUMBER(W360))),"",W360*$D$3^2/(2*$H$3))</f>
        <v/>
      </c>
      <c r="AH360" s="20" t="str">
        <f aca="false">IF(OR(W360="",NOT(ISNUMBER(W360))),"",W360*$D$3^2/2*$F$3)</f>
        <v/>
      </c>
    </row>
    <row r="361" customFormat="false" ht="15" hidden="false" customHeight="false" outlineLevel="0" collapsed="false">
      <c r="A361" s="10" t="s">
        <v>809</v>
      </c>
      <c r="B361" s="21" t="s">
        <v>797</v>
      </c>
      <c r="C361" s="6" t="s">
        <v>798</v>
      </c>
      <c r="D361" s="6" t="s">
        <v>810</v>
      </c>
      <c r="E361" s="6" t="s">
        <v>800</v>
      </c>
      <c r="F361" s="6" t="s">
        <v>334</v>
      </c>
      <c r="G361" s="6" t="n">
        <v>32</v>
      </c>
      <c r="H361" s="6"/>
      <c r="I361" s="6" t="s">
        <v>118</v>
      </c>
      <c r="J361" s="6" t="n">
        <v>10</v>
      </c>
      <c r="K361" s="6" t="s">
        <v>801</v>
      </c>
      <c r="L361" s="6"/>
      <c r="M361" s="6"/>
      <c r="N361" s="12" t="n">
        <v>26.2</v>
      </c>
      <c r="O361" s="12" t="n">
        <v>26.2</v>
      </c>
      <c r="P361" s="12"/>
      <c r="Q361" s="12" t="n">
        <v>26.6</v>
      </c>
      <c r="R361" s="14" t="n">
        <v>0.023</v>
      </c>
      <c r="S361" s="6" t="n">
        <v>0</v>
      </c>
      <c r="T361" s="6"/>
      <c r="U361" s="14" t="n">
        <v>0</v>
      </c>
      <c r="V361" s="15" t="n">
        <f aca="false">60*R361+0.5*(1-(Q361/N361)^2)</f>
        <v>1.3646162811025</v>
      </c>
      <c r="W361" s="14"/>
      <c r="X361" s="10" t="s">
        <v>335</v>
      </c>
      <c r="Y361" s="16" t="n">
        <v>1.56</v>
      </c>
      <c r="Z361" s="17" t="s">
        <v>48</v>
      </c>
      <c r="AA361" s="6" t="s">
        <v>802</v>
      </c>
      <c r="AB361" s="18" t="n">
        <f aca="false">IF(O361="","",$D$3*PI()*(O361/1000)^2/4*3600)</f>
        <v>2.91129506252574</v>
      </c>
      <c r="AC361" s="19" t="n">
        <f aca="false">IF(OR(U361="",NOT(ISNUMBER(U361))),"",U361*$D$3^2/(2*$H$3))</f>
        <v>0</v>
      </c>
      <c r="AD361" s="20" t="n">
        <f aca="false">IF(OR(U361="",NOT(ISNUMBER(U361))),"",U361*$D$3^2/2*$F$3)</f>
        <v>0</v>
      </c>
      <c r="AE361" s="19" t="n">
        <f aca="false">IF(OR(V361="",NOT(ISNUMBER(V361))),"",V361*$D$3^2/(2*$H$3))</f>
        <v>0.156492692786984</v>
      </c>
      <c r="AF361" s="20" t="n">
        <f aca="false">IF(OR(V361="",NOT(ISNUMBER(V361))),"",V361*$D$3^2/2*$F$3)</f>
        <v>1535.19331624031</v>
      </c>
      <c r="AG361" s="19" t="str">
        <f aca="false">IF(OR(W361="",NOT(ISNUMBER(W361))),"",W361*$D$3^2/(2*$H$3))</f>
        <v/>
      </c>
      <c r="AH361" s="20" t="str">
        <f aca="false">IF(OR(W361="",NOT(ISNUMBER(W361))),"",W361*$D$3^2/2*$F$3)</f>
        <v/>
      </c>
    </row>
    <row r="362" customFormat="false" ht="15" hidden="false" customHeight="false" outlineLevel="0" collapsed="false">
      <c r="A362" s="10" t="s">
        <v>811</v>
      </c>
      <c r="B362" s="21" t="s">
        <v>797</v>
      </c>
      <c r="C362" s="6" t="s">
        <v>798</v>
      </c>
      <c r="D362" s="6" t="s">
        <v>812</v>
      </c>
      <c r="E362" s="6" t="s">
        <v>800</v>
      </c>
      <c r="F362" s="6" t="s">
        <v>334</v>
      </c>
      <c r="G362" s="6" t="n">
        <v>40</v>
      </c>
      <c r="H362" s="6"/>
      <c r="I362" s="6" t="s">
        <v>108</v>
      </c>
      <c r="J362" s="6" t="n">
        <v>10</v>
      </c>
      <c r="K362" s="6" t="s">
        <v>801</v>
      </c>
      <c r="L362" s="6"/>
      <c r="M362" s="6"/>
      <c r="N362" s="12" t="n">
        <v>32.6</v>
      </c>
      <c r="O362" s="12" t="n">
        <v>32.6</v>
      </c>
      <c r="P362" s="12"/>
      <c r="Q362" s="12" t="n">
        <v>15.8</v>
      </c>
      <c r="R362" s="14" t="n">
        <v>0.022</v>
      </c>
      <c r="S362" s="6" t="n">
        <v>0</v>
      </c>
      <c r="T362" s="6"/>
      <c r="U362" s="14" t="n">
        <v>0</v>
      </c>
      <c r="V362" s="15" t="n">
        <f aca="false">60*R362+0.5*(1-(Q362/N362)^2)</f>
        <v>1.7025510933795</v>
      </c>
      <c r="W362" s="14"/>
      <c r="X362" s="10" t="s">
        <v>335</v>
      </c>
      <c r="Y362" s="16" t="n">
        <v>1.83</v>
      </c>
      <c r="Z362" s="17" t="s">
        <v>48</v>
      </c>
      <c r="AA362" s="6" t="s">
        <v>802</v>
      </c>
      <c r="AB362" s="18" t="n">
        <f aca="false">IF(O362="","",$D$3*PI()*(O362/1000)^2/4*3600)</f>
        <v>4.50732466151427</v>
      </c>
      <c r="AC362" s="19" t="n">
        <f aca="false">IF(OR(U362="",NOT(ISNUMBER(U362))),"",U362*$D$3^2/(2*$H$3))</f>
        <v>0</v>
      </c>
      <c r="AD362" s="20" t="n">
        <f aca="false">IF(OR(U362="",NOT(ISNUMBER(U362))),"",U362*$D$3^2/2*$F$3)</f>
        <v>0</v>
      </c>
      <c r="AE362" s="19" t="n">
        <f aca="false">IF(OR(V362="",NOT(ISNUMBER(V362))),"",V362*$D$3^2/(2*$H$3))</f>
        <v>0.195246685020585</v>
      </c>
      <c r="AF362" s="20" t="n">
        <f aca="false">IF(OR(V362="",NOT(ISNUMBER(V362))),"",V362*$D$3^2/2*$F$3)</f>
        <v>1915.36998005194</v>
      </c>
      <c r="AG362" s="19" t="str">
        <f aca="false">IF(OR(W362="",NOT(ISNUMBER(W362))),"",W362*$D$3^2/(2*$H$3))</f>
        <v/>
      </c>
      <c r="AH362" s="20" t="str">
        <f aca="false">IF(OR(W362="",NOT(ISNUMBER(W362))),"",W362*$D$3^2/2*$F$3)</f>
        <v/>
      </c>
    </row>
    <row r="363" customFormat="false" ht="15" hidden="false" customHeight="false" outlineLevel="0" collapsed="false">
      <c r="A363" s="10" t="s">
        <v>813</v>
      </c>
      <c r="B363" s="21" t="s">
        <v>797</v>
      </c>
      <c r="C363" s="6" t="s">
        <v>798</v>
      </c>
      <c r="D363" s="6" t="s">
        <v>814</v>
      </c>
      <c r="E363" s="6" t="s">
        <v>800</v>
      </c>
      <c r="F363" s="6" t="s">
        <v>334</v>
      </c>
      <c r="G363" s="6" t="n">
        <v>40</v>
      </c>
      <c r="H363" s="6"/>
      <c r="I363" s="6" t="s">
        <v>111</v>
      </c>
      <c r="J363" s="6" t="n">
        <v>10</v>
      </c>
      <c r="K363" s="6" t="s">
        <v>801</v>
      </c>
      <c r="L363" s="6"/>
      <c r="M363" s="6"/>
      <c r="N363" s="12" t="n">
        <v>32.6</v>
      </c>
      <c r="O363" s="12" t="n">
        <v>32.6</v>
      </c>
      <c r="P363" s="12"/>
      <c r="Q363" s="12" t="n">
        <v>20.9</v>
      </c>
      <c r="R363" s="14" t="n">
        <v>0.022</v>
      </c>
      <c r="S363" s="6" t="n">
        <v>0</v>
      </c>
      <c r="T363" s="6"/>
      <c r="U363" s="14" t="n">
        <v>0</v>
      </c>
      <c r="V363" s="15" t="n">
        <f aca="false">60*R363+0.5*(1-(Q363/N363)^2)</f>
        <v>1.61449264180059</v>
      </c>
      <c r="W363" s="14"/>
      <c r="X363" s="10" t="s">
        <v>335</v>
      </c>
      <c r="Y363" s="16" t="n">
        <v>1.83</v>
      </c>
      <c r="Z363" s="17" t="s">
        <v>48</v>
      </c>
      <c r="AA363" s="6" t="s">
        <v>802</v>
      </c>
      <c r="AB363" s="18" t="n">
        <f aca="false">IF(O363="","",$D$3*PI()*(O363/1000)^2/4*3600)</f>
        <v>4.50732466151427</v>
      </c>
      <c r="AC363" s="19" t="n">
        <f aca="false">IF(OR(U363="",NOT(ISNUMBER(U363))),"",U363*$D$3^2/(2*$H$3))</f>
        <v>0</v>
      </c>
      <c r="AD363" s="20" t="n">
        <f aca="false">IF(OR(U363="",NOT(ISNUMBER(U363))),"",U363*$D$3^2/2*$F$3)</f>
        <v>0</v>
      </c>
      <c r="AE363" s="19" t="n">
        <f aca="false">IF(OR(V363="",NOT(ISNUMBER(V363))),"",V363*$D$3^2/(2*$H$3))</f>
        <v>0.1851482387386</v>
      </c>
      <c r="AF363" s="20" t="n">
        <f aca="false">IF(OR(V363="",NOT(ISNUMBER(V363))),"",V363*$D$3^2/2*$F$3)</f>
        <v>1816.30422202567</v>
      </c>
      <c r="AG363" s="19" t="str">
        <f aca="false">IF(OR(W363="",NOT(ISNUMBER(W363))),"",W363*$D$3^2/(2*$H$3))</f>
        <v/>
      </c>
      <c r="AH363" s="20" t="str">
        <f aca="false">IF(OR(W363="",NOT(ISNUMBER(W363))),"",W363*$D$3^2/2*$F$3)</f>
        <v/>
      </c>
    </row>
    <row r="364" customFormat="false" ht="15" hidden="false" customHeight="false" outlineLevel="0" collapsed="false">
      <c r="A364" s="10" t="s">
        <v>815</v>
      </c>
      <c r="B364" s="21" t="s">
        <v>797</v>
      </c>
      <c r="C364" s="6" t="s">
        <v>798</v>
      </c>
      <c r="D364" s="6" t="s">
        <v>816</v>
      </c>
      <c r="E364" s="6" t="s">
        <v>800</v>
      </c>
      <c r="F364" s="6" t="s">
        <v>334</v>
      </c>
      <c r="G364" s="6" t="n">
        <v>40</v>
      </c>
      <c r="H364" s="6"/>
      <c r="I364" s="6" t="s">
        <v>118</v>
      </c>
      <c r="J364" s="6" t="n">
        <v>10</v>
      </c>
      <c r="K364" s="6" t="s">
        <v>801</v>
      </c>
      <c r="L364" s="6"/>
      <c r="M364" s="6"/>
      <c r="N364" s="12" t="n">
        <v>32.6</v>
      </c>
      <c r="O364" s="12" t="n">
        <v>32.6</v>
      </c>
      <c r="P364" s="12"/>
      <c r="Q364" s="12" t="n">
        <v>26.6</v>
      </c>
      <c r="R364" s="14" t="n">
        <v>0.022</v>
      </c>
      <c r="S364" s="6" t="n">
        <v>0</v>
      </c>
      <c r="T364" s="6"/>
      <c r="U364" s="14" t="n">
        <v>0</v>
      </c>
      <c r="V364" s="15" t="n">
        <f aca="false">60*R364+0.5*(1-(Q364/N364)^2)</f>
        <v>1.48711204787534</v>
      </c>
      <c r="W364" s="14"/>
      <c r="X364" s="10" t="s">
        <v>335</v>
      </c>
      <c r="Y364" s="16" t="n">
        <v>1.83</v>
      </c>
      <c r="Z364" s="17" t="s">
        <v>48</v>
      </c>
      <c r="AA364" s="6" t="s">
        <v>802</v>
      </c>
      <c r="AB364" s="18" t="n">
        <f aca="false">IF(O364="","",$D$3*PI()*(O364/1000)^2/4*3600)</f>
        <v>4.50732466151427</v>
      </c>
      <c r="AC364" s="19" t="n">
        <f aca="false">IF(OR(U364="",NOT(ISNUMBER(U364))),"",U364*$D$3^2/(2*$H$3))</f>
        <v>0</v>
      </c>
      <c r="AD364" s="20" t="n">
        <f aca="false">IF(OR(U364="",NOT(ISNUMBER(U364))),"",U364*$D$3^2/2*$F$3)</f>
        <v>0</v>
      </c>
      <c r="AE364" s="19" t="n">
        <f aca="false">IF(OR(V364="",NOT(ISNUMBER(V364))),"",V364*$D$3^2/(2*$H$3))</f>
        <v>0.170540372462769</v>
      </c>
      <c r="AF364" s="20" t="n">
        <f aca="false">IF(OR(V364="",NOT(ISNUMBER(V364))),"",V364*$D$3^2/2*$F$3)</f>
        <v>1673.00105385976</v>
      </c>
      <c r="AG364" s="19" t="str">
        <f aca="false">IF(OR(W364="",NOT(ISNUMBER(W364))),"",W364*$D$3^2/(2*$H$3))</f>
        <v/>
      </c>
      <c r="AH364" s="20" t="str">
        <f aca="false">IF(OR(W364="",NOT(ISNUMBER(W364))),"",W364*$D$3^2/2*$F$3)</f>
        <v/>
      </c>
    </row>
    <row r="365" customFormat="false" ht="15" hidden="false" customHeight="false" outlineLevel="0" collapsed="false">
      <c r="A365" s="10" t="s">
        <v>817</v>
      </c>
      <c r="B365" s="21" t="s">
        <v>797</v>
      </c>
      <c r="C365" s="6" t="s">
        <v>798</v>
      </c>
      <c r="D365" s="6" t="s">
        <v>818</v>
      </c>
      <c r="E365" s="6" t="s">
        <v>800</v>
      </c>
      <c r="F365" s="6" t="s">
        <v>334</v>
      </c>
      <c r="G365" s="6" t="n">
        <v>50</v>
      </c>
      <c r="H365" s="6"/>
      <c r="I365" s="6" t="s">
        <v>108</v>
      </c>
      <c r="J365" s="6" t="n">
        <v>10</v>
      </c>
      <c r="K365" s="6" t="s">
        <v>801</v>
      </c>
      <c r="L365" s="6"/>
      <c r="M365" s="6"/>
      <c r="N365" s="12" t="n">
        <v>40.8</v>
      </c>
      <c r="O365" s="12" t="n">
        <v>40.8</v>
      </c>
      <c r="P365" s="12"/>
      <c r="Q365" s="12" t="n">
        <v>15.8</v>
      </c>
      <c r="R365" s="14" t="n">
        <v>0.021</v>
      </c>
      <c r="S365" s="6" t="n">
        <v>0</v>
      </c>
      <c r="T365" s="6"/>
      <c r="U365" s="14" t="n">
        <v>0</v>
      </c>
      <c r="V365" s="15" t="n">
        <f aca="false">60*R365+0.5*(1-(Q365/N365)^2)</f>
        <v>1.68501682045367</v>
      </c>
      <c r="W365" s="14"/>
      <c r="X365" s="10" t="s">
        <v>335</v>
      </c>
      <c r="Y365" s="16" t="n">
        <v>1.97</v>
      </c>
      <c r="Z365" s="17" t="s">
        <v>48</v>
      </c>
      <c r="AA365" s="6" t="s">
        <v>802</v>
      </c>
      <c r="AB365" s="18" t="n">
        <f aca="false">IF(O365="","",$D$3*PI()*(O365/1000)^2/4*3600)</f>
        <v>7.05998807307681</v>
      </c>
      <c r="AC365" s="19" t="n">
        <f aca="false">IF(OR(U365="",NOT(ISNUMBER(U365))),"",U365*$D$3^2/(2*$H$3))</f>
        <v>0</v>
      </c>
      <c r="AD365" s="20" t="n">
        <f aca="false">IF(OR(U365="",NOT(ISNUMBER(U365))),"",U365*$D$3^2/2*$F$3)</f>
        <v>0</v>
      </c>
      <c r="AE365" s="19" t="n">
        <f aca="false">IF(OR(V365="",NOT(ISNUMBER(V365))),"",V365*$D$3^2/(2*$H$3))</f>
        <v>0.193235873905238</v>
      </c>
      <c r="AF365" s="20" t="n">
        <f aca="false">IF(OR(V365="",NOT(ISNUMBER(V365))),"",V365*$D$3^2/2*$F$3)</f>
        <v>1895.64392301038</v>
      </c>
      <c r="AG365" s="19" t="str">
        <f aca="false">IF(OR(W365="",NOT(ISNUMBER(W365))),"",W365*$D$3^2/(2*$H$3))</f>
        <v/>
      </c>
      <c r="AH365" s="20" t="str">
        <f aca="false">IF(OR(W365="",NOT(ISNUMBER(W365))),"",W365*$D$3^2/2*$F$3)</f>
        <v/>
      </c>
    </row>
    <row r="366" customFormat="false" ht="15" hidden="false" customHeight="false" outlineLevel="0" collapsed="false">
      <c r="A366" s="10" t="s">
        <v>819</v>
      </c>
      <c r="B366" s="21" t="s">
        <v>797</v>
      </c>
      <c r="C366" s="6" t="s">
        <v>798</v>
      </c>
      <c r="D366" s="6" t="s">
        <v>820</v>
      </c>
      <c r="E366" s="6" t="s">
        <v>800</v>
      </c>
      <c r="F366" s="6" t="s">
        <v>334</v>
      </c>
      <c r="G366" s="6" t="n">
        <v>50</v>
      </c>
      <c r="H366" s="6"/>
      <c r="I366" s="6" t="s">
        <v>111</v>
      </c>
      <c r="J366" s="6" t="n">
        <v>10</v>
      </c>
      <c r="K366" s="6" t="s">
        <v>801</v>
      </c>
      <c r="L366" s="6"/>
      <c r="M366" s="6"/>
      <c r="N366" s="12" t="n">
        <v>40.8</v>
      </c>
      <c r="O366" s="12" t="n">
        <v>40.8</v>
      </c>
      <c r="P366" s="12"/>
      <c r="Q366" s="12" t="n">
        <v>20.9</v>
      </c>
      <c r="R366" s="14" t="n">
        <v>0.021</v>
      </c>
      <c r="S366" s="6" t="n">
        <v>0</v>
      </c>
      <c r="T366" s="6"/>
      <c r="U366" s="14" t="n">
        <v>0</v>
      </c>
      <c r="V366" s="15" t="n">
        <f aca="false">60*R366+0.5*(1-(Q366/N366)^2)</f>
        <v>1.62879745770857</v>
      </c>
      <c r="W366" s="14"/>
      <c r="X366" s="10" t="s">
        <v>335</v>
      </c>
      <c r="Y366" s="16" t="n">
        <v>1.97</v>
      </c>
      <c r="Z366" s="17" t="s">
        <v>48</v>
      </c>
      <c r="AA366" s="6" t="s">
        <v>802</v>
      </c>
      <c r="AB366" s="18" t="n">
        <f aca="false">IF(O366="","",$D$3*PI()*(O366/1000)^2/4*3600)</f>
        <v>7.05998807307681</v>
      </c>
      <c r="AC366" s="19" t="n">
        <f aca="false">IF(OR(U366="",NOT(ISNUMBER(U366))),"",U366*$D$3^2/(2*$H$3))</f>
        <v>0</v>
      </c>
      <c r="AD366" s="20" t="n">
        <f aca="false">IF(OR(U366="",NOT(ISNUMBER(U366))),"",U366*$D$3^2/2*$F$3)</f>
        <v>0</v>
      </c>
      <c r="AE366" s="19" t="n">
        <f aca="false">IF(OR(V366="",NOT(ISNUMBER(V366))),"",V366*$D$3^2/(2*$H$3))</f>
        <v>0.186788699278506</v>
      </c>
      <c r="AF366" s="20" t="n">
        <f aca="false">IF(OR(V366="",NOT(ISNUMBER(V366))),"",V366*$D$3^2/2*$F$3)</f>
        <v>1832.39713992215</v>
      </c>
      <c r="AG366" s="19" t="str">
        <f aca="false">IF(OR(W366="",NOT(ISNUMBER(W366))),"",W366*$D$3^2/(2*$H$3))</f>
        <v/>
      </c>
      <c r="AH366" s="20" t="str">
        <f aca="false">IF(OR(W366="",NOT(ISNUMBER(W366))),"",W366*$D$3^2/2*$F$3)</f>
        <v/>
      </c>
    </row>
    <row r="367" customFormat="false" ht="15" hidden="false" customHeight="false" outlineLevel="0" collapsed="false">
      <c r="A367" s="10" t="s">
        <v>821</v>
      </c>
      <c r="B367" s="21" t="s">
        <v>797</v>
      </c>
      <c r="C367" s="6" t="s">
        <v>798</v>
      </c>
      <c r="D367" s="6" t="s">
        <v>822</v>
      </c>
      <c r="E367" s="6" t="s">
        <v>800</v>
      </c>
      <c r="F367" s="6" t="s">
        <v>334</v>
      </c>
      <c r="G367" s="6" t="n">
        <v>50</v>
      </c>
      <c r="H367" s="6"/>
      <c r="I367" s="6" t="s">
        <v>118</v>
      </c>
      <c r="J367" s="6" t="n">
        <v>10</v>
      </c>
      <c r="K367" s="6" t="s">
        <v>801</v>
      </c>
      <c r="L367" s="6"/>
      <c r="M367" s="6"/>
      <c r="N367" s="12" t="n">
        <v>40.8</v>
      </c>
      <c r="O367" s="12" t="n">
        <v>40.8</v>
      </c>
      <c r="P367" s="12"/>
      <c r="Q367" s="12" t="n">
        <v>26.6</v>
      </c>
      <c r="R367" s="14" t="n">
        <v>0.021</v>
      </c>
      <c r="S367" s="6" t="n">
        <v>0</v>
      </c>
      <c r="T367" s="6"/>
      <c r="U367" s="14" t="n">
        <v>0</v>
      </c>
      <c r="V367" s="15" t="n">
        <f aca="false">60*R367+0.5*(1-(Q367/N367)^2)</f>
        <v>1.54747356785852</v>
      </c>
      <c r="W367" s="14"/>
      <c r="X367" s="10" t="s">
        <v>335</v>
      </c>
      <c r="Y367" s="16" t="n">
        <v>1.97</v>
      </c>
      <c r="Z367" s="17" t="s">
        <v>48</v>
      </c>
      <c r="AA367" s="6" t="s">
        <v>802</v>
      </c>
      <c r="AB367" s="18" t="n">
        <f aca="false">IF(O367="","",$D$3*PI()*(O367/1000)^2/4*3600)</f>
        <v>7.05998807307681</v>
      </c>
      <c r="AC367" s="19" t="n">
        <f aca="false">IF(OR(U367="",NOT(ISNUMBER(U367))),"",U367*$D$3^2/(2*$H$3))</f>
        <v>0</v>
      </c>
      <c r="AD367" s="20" t="n">
        <f aca="false">IF(OR(U367="",NOT(ISNUMBER(U367))),"",U367*$D$3^2/2*$F$3)</f>
        <v>0</v>
      </c>
      <c r="AE367" s="19" t="n">
        <f aca="false">IF(OR(V367="",NOT(ISNUMBER(V367))),"",V367*$D$3^2/(2*$H$3))</f>
        <v>0.177462565121389</v>
      </c>
      <c r="AF367" s="20" t="n">
        <f aca="false">IF(OR(V367="",NOT(ISNUMBER(V367))),"",V367*$D$3^2/2*$F$3)</f>
        <v>1740.90776384083</v>
      </c>
      <c r="AG367" s="19" t="str">
        <f aca="false">IF(OR(W367="",NOT(ISNUMBER(W367))),"",W367*$D$3^2/(2*$H$3))</f>
        <v/>
      </c>
      <c r="AH367" s="20" t="str">
        <f aca="false">IF(OR(W367="",NOT(ISNUMBER(W367))),"",W367*$D$3^2/2*$F$3)</f>
        <v/>
      </c>
    </row>
    <row r="368" customFormat="false" ht="15" hidden="false" customHeight="false" outlineLevel="0" collapsed="false">
      <c r="A368" s="10" t="s">
        <v>823</v>
      </c>
      <c r="B368" s="21" t="s">
        <v>797</v>
      </c>
      <c r="C368" s="6" t="s">
        <v>798</v>
      </c>
      <c r="D368" s="6" t="s">
        <v>824</v>
      </c>
      <c r="E368" s="6" t="s">
        <v>800</v>
      </c>
      <c r="F368" s="6" t="s">
        <v>334</v>
      </c>
      <c r="G368" s="6" t="n">
        <v>50</v>
      </c>
      <c r="H368" s="6"/>
      <c r="I368" s="6" t="s">
        <v>127</v>
      </c>
      <c r="J368" s="6" t="n">
        <v>10</v>
      </c>
      <c r="K368" s="6" t="s">
        <v>801</v>
      </c>
      <c r="L368" s="6"/>
      <c r="M368" s="6"/>
      <c r="N368" s="12" t="n">
        <v>40.8</v>
      </c>
      <c r="O368" s="12" t="n">
        <v>40.8</v>
      </c>
      <c r="P368" s="12"/>
      <c r="Q368" s="12" t="n">
        <v>35.1</v>
      </c>
      <c r="R368" s="14" t="n">
        <v>0.021</v>
      </c>
      <c r="S368" s="6" t="n">
        <v>0</v>
      </c>
      <c r="T368" s="6"/>
      <c r="U368" s="14" t="n">
        <v>0</v>
      </c>
      <c r="V368" s="15" t="n">
        <f aca="false">60*R368+0.5*(1-(Q368/N368)^2)</f>
        <v>1.38994701557093</v>
      </c>
      <c r="W368" s="14"/>
      <c r="X368" s="10" t="s">
        <v>335</v>
      </c>
      <c r="Y368" s="16" t="n">
        <v>1.97</v>
      </c>
      <c r="Z368" s="17" t="s">
        <v>48</v>
      </c>
      <c r="AA368" s="6" t="s">
        <v>802</v>
      </c>
      <c r="AB368" s="18" t="n">
        <f aca="false">IF(O368="","",$D$3*PI()*(O368/1000)^2/4*3600)</f>
        <v>7.05998807307681</v>
      </c>
      <c r="AC368" s="19" t="n">
        <f aca="false">IF(OR(U368="",NOT(ISNUMBER(U368))),"",U368*$D$3^2/(2*$H$3))</f>
        <v>0</v>
      </c>
      <c r="AD368" s="20" t="n">
        <f aca="false">IF(OR(U368="",NOT(ISNUMBER(U368))),"",U368*$D$3^2/2*$F$3)</f>
        <v>0</v>
      </c>
      <c r="AE368" s="19" t="n">
        <f aca="false">IF(OR(V368="",NOT(ISNUMBER(V368))),"",V368*$D$3^2/(2*$H$3))</f>
        <v>0.159397593528777</v>
      </c>
      <c r="AF368" s="20" t="n">
        <f aca="false">IF(OR(V368="",NOT(ISNUMBER(V368))),"",V368*$D$3^2/2*$F$3)</f>
        <v>1563.6903925173</v>
      </c>
      <c r="AG368" s="19" t="str">
        <f aca="false">IF(OR(W368="",NOT(ISNUMBER(W368))),"",W368*$D$3^2/(2*$H$3))</f>
        <v/>
      </c>
      <c r="AH368" s="20" t="str">
        <f aca="false">IF(OR(W368="",NOT(ISNUMBER(W368))),"",W368*$D$3^2/2*$F$3)</f>
        <v/>
      </c>
    </row>
    <row r="369" customFormat="false" ht="15" hidden="false" customHeight="false" outlineLevel="0" collapsed="false">
      <c r="A369" s="10" t="s">
        <v>825</v>
      </c>
      <c r="B369" s="21" t="s">
        <v>797</v>
      </c>
      <c r="C369" s="6" t="s">
        <v>798</v>
      </c>
      <c r="D369" s="6" t="s">
        <v>826</v>
      </c>
      <c r="E369" s="6" t="s">
        <v>800</v>
      </c>
      <c r="F369" s="6" t="s">
        <v>334</v>
      </c>
      <c r="G369" s="6" t="n">
        <v>63</v>
      </c>
      <c r="H369" s="6"/>
      <c r="I369" s="6" t="s">
        <v>108</v>
      </c>
      <c r="J369" s="6" t="n">
        <v>10</v>
      </c>
      <c r="K369" s="6" t="s">
        <v>801</v>
      </c>
      <c r="L369" s="6"/>
      <c r="M369" s="6"/>
      <c r="N369" s="12" t="n">
        <v>51.4</v>
      </c>
      <c r="O369" s="12" t="n">
        <v>51.4</v>
      </c>
      <c r="P369" s="12"/>
      <c r="Q369" s="12" t="n">
        <v>15.8</v>
      </c>
      <c r="R369" s="14" t="n">
        <v>0.019</v>
      </c>
      <c r="S369" s="6" t="n">
        <v>0</v>
      </c>
      <c r="T369" s="6"/>
      <c r="U369" s="14" t="n">
        <v>0</v>
      </c>
      <c r="V369" s="15" t="n">
        <f aca="false">60*R369+0.5*(1-(Q369/N369)^2)</f>
        <v>1.59275477297158</v>
      </c>
      <c r="W369" s="14"/>
      <c r="X369" s="10" t="s">
        <v>335</v>
      </c>
      <c r="Y369" s="16" t="n">
        <v>2.74</v>
      </c>
      <c r="Z369" s="17" t="s">
        <v>48</v>
      </c>
      <c r="AA369" s="6" t="s">
        <v>802</v>
      </c>
      <c r="AB369" s="18" t="n">
        <f aca="false">IF(O369="","",$D$3*PI()*(O369/1000)^2/4*3600)</f>
        <v>11.2049488715554</v>
      </c>
      <c r="AC369" s="19" t="n">
        <f aca="false">IF(OR(U369="",NOT(ISNUMBER(U369))),"",U369*$D$3^2/(2*$H$3))</f>
        <v>0</v>
      </c>
      <c r="AD369" s="20" t="n">
        <f aca="false">IF(OR(U369="",NOT(ISNUMBER(U369))),"",U369*$D$3^2/2*$F$3)</f>
        <v>0</v>
      </c>
      <c r="AE369" s="19" t="n">
        <f aca="false">IF(OR(V369="",NOT(ISNUMBER(V369))),"",V369*$D$3^2/(2*$H$3))</f>
        <v>0.182655363872888</v>
      </c>
      <c r="AF369" s="20" t="n">
        <f aca="false">IF(OR(V369="",NOT(ISNUMBER(V369))),"",V369*$D$3^2/2*$F$3)</f>
        <v>1791.84911959303</v>
      </c>
      <c r="AG369" s="19" t="str">
        <f aca="false">IF(OR(W369="",NOT(ISNUMBER(W369))),"",W369*$D$3^2/(2*$H$3))</f>
        <v/>
      </c>
      <c r="AH369" s="20" t="str">
        <f aca="false">IF(OR(W369="",NOT(ISNUMBER(W369))),"",W369*$D$3^2/2*$F$3)</f>
        <v/>
      </c>
    </row>
    <row r="370" customFormat="false" ht="15" hidden="false" customHeight="false" outlineLevel="0" collapsed="false">
      <c r="A370" s="10" t="s">
        <v>827</v>
      </c>
      <c r="B370" s="21" t="s">
        <v>797</v>
      </c>
      <c r="C370" s="6" t="s">
        <v>798</v>
      </c>
      <c r="D370" s="6" t="s">
        <v>828</v>
      </c>
      <c r="E370" s="6" t="s">
        <v>800</v>
      </c>
      <c r="F370" s="6" t="s">
        <v>334</v>
      </c>
      <c r="G370" s="6" t="n">
        <v>63</v>
      </c>
      <c r="H370" s="6"/>
      <c r="I370" s="6" t="s">
        <v>111</v>
      </c>
      <c r="J370" s="6" t="n">
        <v>10</v>
      </c>
      <c r="K370" s="6" t="s">
        <v>801</v>
      </c>
      <c r="L370" s="6"/>
      <c r="M370" s="6"/>
      <c r="N370" s="12" t="n">
        <v>51.4</v>
      </c>
      <c r="O370" s="12" t="n">
        <v>51.4</v>
      </c>
      <c r="P370" s="12"/>
      <c r="Q370" s="12" t="n">
        <v>20.9</v>
      </c>
      <c r="R370" s="14" t="n">
        <v>0.019</v>
      </c>
      <c r="S370" s="6" t="n">
        <v>0</v>
      </c>
      <c r="T370" s="6"/>
      <c r="U370" s="14" t="n">
        <v>0</v>
      </c>
      <c r="V370" s="15" t="n">
        <f aca="false">60*R370+0.5*(1-(Q370/N370)^2)</f>
        <v>1.55733220790625</v>
      </c>
      <c r="W370" s="14"/>
      <c r="X370" s="10" t="s">
        <v>335</v>
      </c>
      <c r="Y370" s="16" t="n">
        <v>2.74</v>
      </c>
      <c r="Z370" s="17" t="s">
        <v>48</v>
      </c>
      <c r="AA370" s="6" t="s">
        <v>802</v>
      </c>
      <c r="AB370" s="18" t="n">
        <f aca="false">IF(O370="","",$D$3*PI()*(O370/1000)^2/4*3600)</f>
        <v>11.2049488715554</v>
      </c>
      <c r="AC370" s="19" t="n">
        <f aca="false">IF(OR(U370="",NOT(ISNUMBER(U370))),"",U370*$D$3^2/(2*$H$3))</f>
        <v>0</v>
      </c>
      <c r="AD370" s="20" t="n">
        <f aca="false">IF(OR(U370="",NOT(ISNUMBER(U370))),"",U370*$D$3^2/2*$F$3)</f>
        <v>0</v>
      </c>
      <c r="AE370" s="19" t="n">
        <f aca="false">IF(OR(V370="",NOT(ISNUMBER(V370))),"",V370*$D$3^2/(2*$H$3))</f>
        <v>0.178593143108515</v>
      </c>
      <c r="AF370" s="20" t="n">
        <f aca="false">IF(OR(V370="",NOT(ISNUMBER(V370))),"",V370*$D$3^2/2*$F$3)</f>
        <v>1751.99873389453</v>
      </c>
      <c r="AG370" s="19" t="str">
        <f aca="false">IF(OR(W370="",NOT(ISNUMBER(W370))),"",W370*$D$3^2/(2*$H$3))</f>
        <v/>
      </c>
      <c r="AH370" s="20" t="str">
        <f aca="false">IF(OR(W370="",NOT(ISNUMBER(W370))),"",W370*$D$3^2/2*$F$3)</f>
        <v/>
      </c>
    </row>
    <row r="371" customFormat="false" ht="15" hidden="false" customHeight="false" outlineLevel="0" collapsed="false">
      <c r="A371" s="10" t="s">
        <v>829</v>
      </c>
      <c r="B371" s="21" t="s">
        <v>797</v>
      </c>
      <c r="C371" s="6" t="s">
        <v>798</v>
      </c>
      <c r="D371" s="6" t="s">
        <v>830</v>
      </c>
      <c r="E371" s="6" t="s">
        <v>800</v>
      </c>
      <c r="F371" s="6" t="s">
        <v>334</v>
      </c>
      <c r="G371" s="6" t="n">
        <v>63</v>
      </c>
      <c r="H371" s="6"/>
      <c r="I371" s="6" t="s">
        <v>118</v>
      </c>
      <c r="J371" s="6" t="n">
        <v>10</v>
      </c>
      <c r="K371" s="6" t="s">
        <v>801</v>
      </c>
      <c r="L371" s="6"/>
      <c r="M371" s="6"/>
      <c r="N371" s="12" t="n">
        <v>51.4</v>
      </c>
      <c r="O371" s="12" t="n">
        <v>51.4</v>
      </c>
      <c r="P371" s="12"/>
      <c r="Q371" s="12" t="n">
        <v>26.6</v>
      </c>
      <c r="R371" s="14" t="n">
        <v>0.019</v>
      </c>
      <c r="S371" s="6" t="n">
        <v>0</v>
      </c>
      <c r="T371" s="6"/>
      <c r="U371" s="14" t="n">
        <v>0</v>
      </c>
      <c r="V371" s="15" t="n">
        <f aca="false">60*R371+0.5*(1-(Q371/N371)^2)</f>
        <v>1.50609184090599</v>
      </c>
      <c r="W371" s="14"/>
      <c r="X371" s="10" t="s">
        <v>335</v>
      </c>
      <c r="Y371" s="16" t="n">
        <v>2.74</v>
      </c>
      <c r="Z371" s="17" t="s">
        <v>48</v>
      </c>
      <c r="AA371" s="6" t="s">
        <v>802</v>
      </c>
      <c r="AB371" s="18" t="n">
        <f aca="false">IF(O371="","",$D$3*PI()*(O371/1000)^2/4*3600)</f>
        <v>11.2049488715554</v>
      </c>
      <c r="AC371" s="19" t="n">
        <f aca="false">IF(OR(U371="",NOT(ISNUMBER(U371))),"",U371*$D$3^2/(2*$H$3))</f>
        <v>0</v>
      </c>
      <c r="AD371" s="20" t="n">
        <f aca="false">IF(OR(U371="",NOT(ISNUMBER(U371))),"",U371*$D$3^2/2*$F$3)</f>
        <v>0</v>
      </c>
      <c r="AE371" s="19" t="n">
        <f aca="false">IF(OR(V371="",NOT(ISNUMBER(V371))),"",V371*$D$3^2/(2*$H$3))</f>
        <v>0.172716954232339</v>
      </c>
      <c r="AF371" s="20" t="n">
        <f aca="false">IF(OR(V371="",NOT(ISNUMBER(V371))),"",V371*$D$3^2/2*$F$3)</f>
        <v>1694.35332101924</v>
      </c>
      <c r="AG371" s="19" t="str">
        <f aca="false">IF(OR(W371="",NOT(ISNUMBER(W371))),"",W371*$D$3^2/(2*$H$3))</f>
        <v/>
      </c>
      <c r="AH371" s="20" t="str">
        <f aca="false">IF(OR(W371="",NOT(ISNUMBER(W371))),"",W371*$D$3^2/2*$F$3)</f>
        <v/>
      </c>
    </row>
    <row r="372" customFormat="false" ht="15" hidden="false" customHeight="false" outlineLevel="0" collapsed="false">
      <c r="A372" s="10" t="s">
        <v>831</v>
      </c>
      <c r="B372" s="21" t="s">
        <v>797</v>
      </c>
      <c r="C372" s="6" t="s">
        <v>798</v>
      </c>
      <c r="D372" s="6" t="s">
        <v>832</v>
      </c>
      <c r="E372" s="6" t="s">
        <v>800</v>
      </c>
      <c r="F372" s="6" t="s">
        <v>334</v>
      </c>
      <c r="G372" s="6" t="n">
        <v>63</v>
      </c>
      <c r="H372" s="6"/>
      <c r="I372" s="6" t="s">
        <v>127</v>
      </c>
      <c r="J372" s="6" t="n">
        <v>10</v>
      </c>
      <c r="K372" s="6" t="s">
        <v>801</v>
      </c>
      <c r="L372" s="6"/>
      <c r="M372" s="6"/>
      <c r="N372" s="12" t="n">
        <v>51.4</v>
      </c>
      <c r="O372" s="12" t="n">
        <v>51.4</v>
      </c>
      <c r="P372" s="12"/>
      <c r="Q372" s="12" t="n">
        <v>35.1</v>
      </c>
      <c r="R372" s="14" t="n">
        <v>0.019</v>
      </c>
      <c r="S372" s="6" t="n">
        <v>0</v>
      </c>
      <c r="T372" s="6"/>
      <c r="U372" s="14" t="n">
        <v>0</v>
      </c>
      <c r="V372" s="15" t="n">
        <f aca="false">60*R372+0.5*(1-(Q372/N372)^2)</f>
        <v>1.40683787793911</v>
      </c>
      <c r="W372" s="14"/>
      <c r="X372" s="10" t="s">
        <v>335</v>
      </c>
      <c r="Y372" s="16" t="n">
        <v>2.74</v>
      </c>
      <c r="Z372" s="17" t="s">
        <v>48</v>
      </c>
      <c r="AA372" s="6" t="s">
        <v>802</v>
      </c>
      <c r="AB372" s="18" t="n">
        <f aca="false">IF(O372="","",$D$3*PI()*(O372/1000)^2/4*3600)</f>
        <v>11.2049488715554</v>
      </c>
      <c r="AC372" s="19" t="n">
        <f aca="false">IF(OR(U372="",NOT(ISNUMBER(U372))),"",U372*$D$3^2/(2*$H$3))</f>
        <v>0</v>
      </c>
      <c r="AD372" s="20" t="n">
        <f aca="false">IF(OR(U372="",NOT(ISNUMBER(U372))),"",U372*$D$3^2/2*$F$3)</f>
        <v>0</v>
      </c>
      <c r="AE372" s="19" t="n">
        <f aca="false">IF(OR(V372="",NOT(ISNUMBER(V372))),"",V372*$D$3^2/(2*$H$3))</f>
        <v>0.161334619029714</v>
      </c>
      <c r="AF372" s="20" t="n">
        <f aca="false">IF(OR(V372="",NOT(ISNUMBER(V372))),"",V372*$D$3^2/2*$F$3)</f>
        <v>1582.69261268149</v>
      </c>
      <c r="AG372" s="19" t="str">
        <f aca="false">IF(OR(W372="",NOT(ISNUMBER(W372))),"",W372*$D$3^2/(2*$H$3))</f>
        <v/>
      </c>
      <c r="AH372" s="20" t="str">
        <f aca="false">IF(OR(W372="",NOT(ISNUMBER(W372))),"",W372*$D$3^2/2*$F$3)</f>
        <v/>
      </c>
    </row>
    <row r="373" customFormat="false" ht="15" hidden="false" customHeight="false" outlineLevel="0" collapsed="false">
      <c r="A373" s="10" t="s">
        <v>833</v>
      </c>
      <c r="B373" s="21" t="s">
        <v>797</v>
      </c>
      <c r="C373" s="6" t="s">
        <v>798</v>
      </c>
      <c r="D373" s="6" t="s">
        <v>834</v>
      </c>
      <c r="E373" s="6" t="s">
        <v>800</v>
      </c>
      <c r="F373" s="6" t="s">
        <v>334</v>
      </c>
      <c r="G373" s="6" t="n">
        <v>63</v>
      </c>
      <c r="H373" s="6"/>
      <c r="I373" s="6" t="s">
        <v>130</v>
      </c>
      <c r="J373" s="6" t="n">
        <v>10</v>
      </c>
      <c r="K373" s="6" t="s">
        <v>801</v>
      </c>
      <c r="L373" s="6"/>
      <c r="M373" s="6"/>
      <c r="N373" s="12" t="n">
        <v>51.4</v>
      </c>
      <c r="O373" s="12" t="n">
        <v>51.4</v>
      </c>
      <c r="P373" s="12"/>
      <c r="Q373" s="12" t="n">
        <v>40.9</v>
      </c>
      <c r="R373" s="14" t="n">
        <v>0.019</v>
      </c>
      <c r="S373" s="6" t="n">
        <v>0</v>
      </c>
      <c r="T373" s="6"/>
      <c r="U373" s="14" t="n">
        <v>0</v>
      </c>
      <c r="V373" s="15" t="n">
        <f aca="false">60*R373+0.5*(1-(Q373/N373)^2)</f>
        <v>1.32341496464746</v>
      </c>
      <c r="W373" s="14"/>
      <c r="X373" s="10" t="s">
        <v>335</v>
      </c>
      <c r="Y373" s="16" t="n">
        <v>2.74</v>
      </c>
      <c r="Z373" s="17" t="s">
        <v>48</v>
      </c>
      <c r="AA373" s="6" t="s">
        <v>802</v>
      </c>
      <c r="AB373" s="18" t="n">
        <f aca="false">IF(O373="","",$D$3*PI()*(O373/1000)^2/4*3600)</f>
        <v>11.2049488715554</v>
      </c>
      <c r="AC373" s="19" t="n">
        <f aca="false">IF(OR(U373="",NOT(ISNUMBER(U373))),"",U373*$D$3^2/(2*$H$3))</f>
        <v>0</v>
      </c>
      <c r="AD373" s="20" t="n">
        <f aca="false">IF(OR(U373="",NOT(ISNUMBER(U373))),"",U373*$D$3^2/2*$F$3)</f>
        <v>0</v>
      </c>
      <c r="AE373" s="19" t="n">
        <f aca="false">IF(OR(V373="",NOT(ISNUMBER(V373))),"",V373*$D$3^2/(2*$H$3))</f>
        <v>0.151767771175167</v>
      </c>
      <c r="AF373" s="20" t="n">
        <f aca="false">IF(OR(V373="",NOT(ISNUMBER(V373))),"",V373*$D$3^2/2*$F$3)</f>
        <v>1488.84183522839</v>
      </c>
      <c r="AG373" s="19" t="str">
        <f aca="false">IF(OR(W373="",NOT(ISNUMBER(W373))),"",W373*$D$3^2/(2*$H$3))</f>
        <v/>
      </c>
      <c r="AH373" s="20" t="str">
        <f aca="false">IF(OR(W373="",NOT(ISNUMBER(W373))),"",W373*$D$3^2/2*$F$3)</f>
        <v/>
      </c>
    </row>
    <row r="374" customFormat="false" ht="15" hidden="false" customHeight="false" outlineLevel="0" collapsed="false">
      <c r="A374" s="10" t="s">
        <v>835</v>
      </c>
      <c r="B374" s="21" t="s">
        <v>797</v>
      </c>
      <c r="C374" s="6" t="s">
        <v>798</v>
      </c>
      <c r="D374" s="6" t="s">
        <v>836</v>
      </c>
      <c r="E374" s="6" t="s">
        <v>800</v>
      </c>
      <c r="F374" s="6" t="s">
        <v>334</v>
      </c>
      <c r="G374" s="6" t="n">
        <v>75</v>
      </c>
      <c r="H374" s="6"/>
      <c r="I374" s="6" t="s">
        <v>108</v>
      </c>
      <c r="J374" s="6" t="n">
        <v>6</v>
      </c>
      <c r="K374" s="6" t="s">
        <v>801</v>
      </c>
      <c r="L374" s="6"/>
      <c r="M374" s="6"/>
      <c r="N374" s="12" t="n">
        <v>61.4</v>
      </c>
      <c r="O374" s="12" t="n">
        <v>61.4</v>
      </c>
      <c r="P374" s="12"/>
      <c r="Q374" s="12" t="n">
        <v>15.8</v>
      </c>
      <c r="R374" s="14" t="n">
        <v>0.018</v>
      </c>
      <c r="S374" s="6" t="n">
        <v>0</v>
      </c>
      <c r="T374" s="6"/>
      <c r="U374" s="14" t="n">
        <v>0</v>
      </c>
      <c r="V374" s="15" t="n">
        <f aca="false">60*R374+0.5*(1-(Q374/N374)^2)</f>
        <v>1.54689089539412</v>
      </c>
      <c r="W374" s="14"/>
      <c r="X374" s="10" t="s">
        <v>335</v>
      </c>
      <c r="Y374" s="16" t="n">
        <v>4.54</v>
      </c>
      <c r="Z374" s="17" t="s">
        <v>48</v>
      </c>
      <c r="AA374" s="6" t="s">
        <v>802</v>
      </c>
      <c r="AB374" s="18" t="n">
        <f aca="false">IF(O374="","",$D$3*PI()*(O374/1000)^2/4*3600)</f>
        <v>15.988966164442</v>
      </c>
      <c r="AC374" s="19" t="n">
        <f aca="false">IF(OR(U374="",NOT(ISNUMBER(U374))),"",U374*$D$3^2/(2*$H$3))</f>
        <v>0</v>
      </c>
      <c r="AD374" s="20" t="n">
        <f aca="false">IF(OR(U374="",NOT(ISNUMBER(U374))),"",U374*$D$3^2/2*$F$3)</f>
        <v>0</v>
      </c>
      <c r="AE374" s="19" t="n">
        <f aca="false">IF(OR(V374="",NOT(ISNUMBER(V374))),"",V374*$D$3^2/(2*$H$3))</f>
        <v>0.177395744884646</v>
      </c>
      <c r="AF374" s="20" t="n">
        <f aca="false">IF(OR(V374="",NOT(ISNUMBER(V374))),"",V374*$D$3^2/2*$F$3)</f>
        <v>1740.25225731838</v>
      </c>
      <c r="AG374" s="19" t="str">
        <f aca="false">IF(OR(W374="",NOT(ISNUMBER(W374))),"",W374*$D$3^2/(2*$H$3))</f>
        <v/>
      </c>
      <c r="AH374" s="20" t="str">
        <f aca="false">IF(OR(W374="",NOT(ISNUMBER(W374))),"",W374*$D$3^2/2*$F$3)</f>
        <v/>
      </c>
    </row>
    <row r="375" customFormat="false" ht="15" hidden="false" customHeight="false" outlineLevel="0" collapsed="false">
      <c r="A375" s="10" t="s">
        <v>837</v>
      </c>
      <c r="B375" s="21" t="s">
        <v>797</v>
      </c>
      <c r="C375" s="6" t="s">
        <v>798</v>
      </c>
      <c r="D375" s="6" t="s">
        <v>838</v>
      </c>
      <c r="E375" s="6" t="s">
        <v>800</v>
      </c>
      <c r="F375" s="6" t="s">
        <v>334</v>
      </c>
      <c r="G375" s="6" t="n">
        <v>75</v>
      </c>
      <c r="H375" s="6"/>
      <c r="I375" s="6" t="s">
        <v>111</v>
      </c>
      <c r="J375" s="6" t="n">
        <v>6</v>
      </c>
      <c r="K375" s="6" t="s">
        <v>801</v>
      </c>
      <c r="L375" s="6"/>
      <c r="M375" s="6"/>
      <c r="N375" s="12" t="n">
        <v>61.4</v>
      </c>
      <c r="O375" s="12" t="n">
        <v>61.4</v>
      </c>
      <c r="P375" s="12"/>
      <c r="Q375" s="12" t="n">
        <v>20.9</v>
      </c>
      <c r="R375" s="14" t="n">
        <v>0.018</v>
      </c>
      <c r="S375" s="6" t="n">
        <v>0</v>
      </c>
      <c r="T375" s="6"/>
      <c r="U375" s="14" t="n">
        <v>0</v>
      </c>
      <c r="V375" s="15" t="n">
        <f aca="false">60*R375+0.5*(1-(Q375/N375)^2)</f>
        <v>1.52206702458382</v>
      </c>
      <c r="W375" s="14"/>
      <c r="X375" s="10" t="s">
        <v>335</v>
      </c>
      <c r="Y375" s="16" t="n">
        <v>4.54</v>
      </c>
      <c r="Z375" s="17" t="s">
        <v>48</v>
      </c>
      <c r="AA375" s="6" t="s">
        <v>802</v>
      </c>
      <c r="AB375" s="18" t="n">
        <f aca="false">IF(O375="","",$D$3*PI()*(O375/1000)^2/4*3600)</f>
        <v>15.988966164442</v>
      </c>
      <c r="AC375" s="19" t="n">
        <f aca="false">IF(OR(U375="",NOT(ISNUMBER(U375))),"",U375*$D$3^2/(2*$H$3))</f>
        <v>0</v>
      </c>
      <c r="AD375" s="20" t="n">
        <f aca="false">IF(OR(U375="",NOT(ISNUMBER(U375))),"",U375*$D$3^2/2*$F$3)</f>
        <v>0</v>
      </c>
      <c r="AE375" s="19" t="n">
        <f aca="false">IF(OR(V375="",NOT(ISNUMBER(V375))),"",V375*$D$3^2/(2*$H$3))</f>
        <v>0.174548970709153</v>
      </c>
      <c r="AF375" s="20" t="n">
        <f aca="false">IF(OR(V375="",NOT(ISNUMBER(V375))),"",V375*$D$3^2/2*$F$3)</f>
        <v>1712.32540265679</v>
      </c>
      <c r="AG375" s="19" t="str">
        <f aca="false">IF(OR(W375="",NOT(ISNUMBER(W375))),"",W375*$D$3^2/(2*$H$3))</f>
        <v/>
      </c>
      <c r="AH375" s="20" t="str">
        <f aca="false">IF(OR(W375="",NOT(ISNUMBER(W375))),"",W375*$D$3^2/2*$F$3)</f>
        <v/>
      </c>
    </row>
    <row r="376" customFormat="false" ht="15" hidden="false" customHeight="false" outlineLevel="0" collapsed="false">
      <c r="A376" s="10" t="s">
        <v>839</v>
      </c>
      <c r="B376" s="21" t="s">
        <v>797</v>
      </c>
      <c r="C376" s="6" t="s">
        <v>798</v>
      </c>
      <c r="D376" s="6" t="s">
        <v>840</v>
      </c>
      <c r="E376" s="6" t="s">
        <v>800</v>
      </c>
      <c r="F376" s="6" t="s">
        <v>334</v>
      </c>
      <c r="G376" s="6" t="n">
        <v>75</v>
      </c>
      <c r="H376" s="6"/>
      <c r="I376" s="6" t="s">
        <v>118</v>
      </c>
      <c r="J376" s="6" t="n">
        <v>6</v>
      </c>
      <c r="K376" s="6" t="s">
        <v>801</v>
      </c>
      <c r="L376" s="6"/>
      <c r="M376" s="6"/>
      <c r="N376" s="12" t="n">
        <v>61.4</v>
      </c>
      <c r="O376" s="12" t="n">
        <v>61.4</v>
      </c>
      <c r="P376" s="12"/>
      <c r="Q376" s="12" t="n">
        <v>26.6</v>
      </c>
      <c r="R376" s="14" t="n">
        <v>0.018</v>
      </c>
      <c r="S376" s="6" t="n">
        <v>0</v>
      </c>
      <c r="T376" s="6"/>
      <c r="U376" s="14" t="n">
        <v>0</v>
      </c>
      <c r="V376" s="15" t="n">
        <f aca="false">60*R376+0.5*(1-(Q376/N376)^2)</f>
        <v>1.4861581555242</v>
      </c>
      <c r="W376" s="14"/>
      <c r="X376" s="10" t="s">
        <v>335</v>
      </c>
      <c r="Y376" s="16" t="n">
        <v>4.54</v>
      </c>
      <c r="Z376" s="17" t="s">
        <v>48</v>
      </c>
      <c r="AA376" s="6" t="s">
        <v>802</v>
      </c>
      <c r="AB376" s="18" t="n">
        <f aca="false">IF(O376="","",$D$3*PI()*(O376/1000)^2/4*3600)</f>
        <v>15.988966164442</v>
      </c>
      <c r="AC376" s="19" t="n">
        <f aca="false">IF(OR(U376="",NOT(ISNUMBER(U376))),"",U376*$D$3^2/(2*$H$3))</f>
        <v>0</v>
      </c>
      <c r="AD376" s="20" t="n">
        <f aca="false">IF(OR(U376="",NOT(ISNUMBER(U376))),"",U376*$D$3^2/2*$F$3)</f>
        <v>0</v>
      </c>
      <c r="AE376" s="19" t="n">
        <f aca="false">IF(OR(V376="",NOT(ISNUMBER(V376))),"",V376*$D$3^2/(2*$H$3))</f>
        <v>0.170430981138096</v>
      </c>
      <c r="AF376" s="20" t="n">
        <f aca="false">IF(OR(V376="",NOT(ISNUMBER(V376))),"",V376*$D$3^2/2*$F$3)</f>
        <v>1671.92792496472</v>
      </c>
      <c r="AG376" s="19" t="str">
        <f aca="false">IF(OR(W376="",NOT(ISNUMBER(W376))),"",W376*$D$3^2/(2*$H$3))</f>
        <v/>
      </c>
      <c r="AH376" s="20" t="str">
        <f aca="false">IF(OR(W376="",NOT(ISNUMBER(W376))),"",W376*$D$3^2/2*$F$3)</f>
        <v/>
      </c>
    </row>
    <row r="377" customFormat="false" ht="15" hidden="false" customHeight="false" outlineLevel="0" collapsed="false">
      <c r="A377" s="10" t="s">
        <v>841</v>
      </c>
      <c r="B377" s="21" t="s">
        <v>797</v>
      </c>
      <c r="C377" s="6" t="s">
        <v>798</v>
      </c>
      <c r="D377" s="6" t="s">
        <v>842</v>
      </c>
      <c r="E377" s="6" t="s">
        <v>800</v>
      </c>
      <c r="F377" s="6" t="s">
        <v>334</v>
      </c>
      <c r="G377" s="6" t="n">
        <v>75</v>
      </c>
      <c r="H377" s="6"/>
      <c r="I377" s="6" t="s">
        <v>127</v>
      </c>
      <c r="J377" s="6" t="n">
        <v>6</v>
      </c>
      <c r="K377" s="6" t="s">
        <v>801</v>
      </c>
      <c r="L377" s="6"/>
      <c r="M377" s="6"/>
      <c r="N377" s="12" t="n">
        <v>61.4</v>
      </c>
      <c r="O377" s="12" t="n">
        <v>61.4</v>
      </c>
      <c r="P377" s="12"/>
      <c r="Q377" s="12" t="n">
        <v>35.1</v>
      </c>
      <c r="R377" s="14" t="n">
        <v>0.018</v>
      </c>
      <c r="S377" s="6" t="n">
        <v>0</v>
      </c>
      <c r="T377" s="6"/>
      <c r="U377" s="14" t="n">
        <v>0</v>
      </c>
      <c r="V377" s="15" t="n">
        <f aca="false">60*R377+0.5*(1-(Q377/N377)^2)</f>
        <v>1.41660171460705</v>
      </c>
      <c r="W377" s="14"/>
      <c r="X377" s="10" t="s">
        <v>335</v>
      </c>
      <c r="Y377" s="16" t="n">
        <v>4.54</v>
      </c>
      <c r="Z377" s="17" t="s">
        <v>48</v>
      </c>
      <c r="AA377" s="6" t="s">
        <v>802</v>
      </c>
      <c r="AB377" s="18" t="n">
        <f aca="false">IF(O377="","",$D$3*PI()*(O377/1000)^2/4*3600)</f>
        <v>15.988966164442</v>
      </c>
      <c r="AC377" s="19" t="n">
        <f aca="false">IF(OR(U377="",NOT(ISNUMBER(U377))),"",U377*$D$3^2/(2*$H$3))</f>
        <v>0</v>
      </c>
      <c r="AD377" s="20" t="n">
        <f aca="false">IF(OR(U377="",NOT(ISNUMBER(U377))),"",U377*$D$3^2/2*$F$3)</f>
        <v>0</v>
      </c>
      <c r="AE377" s="19" t="n">
        <f aca="false">IF(OR(V377="",NOT(ISNUMBER(V377))),"",V377*$D$3^2/(2*$H$3))</f>
        <v>0.162454325069616</v>
      </c>
      <c r="AF377" s="20" t="n">
        <f aca="false">IF(OR(V377="",NOT(ISNUMBER(V377))),"",V377*$D$3^2/2*$F$3)</f>
        <v>1593.67692893293</v>
      </c>
      <c r="AG377" s="19" t="str">
        <f aca="false">IF(OR(W377="",NOT(ISNUMBER(W377))),"",W377*$D$3^2/(2*$H$3))</f>
        <v/>
      </c>
      <c r="AH377" s="20" t="str">
        <f aca="false">IF(OR(W377="",NOT(ISNUMBER(W377))),"",W377*$D$3^2/2*$F$3)</f>
        <v/>
      </c>
    </row>
    <row r="378" customFormat="false" ht="15" hidden="false" customHeight="false" outlineLevel="0" collapsed="false">
      <c r="A378" s="10" t="s">
        <v>843</v>
      </c>
      <c r="B378" s="21" t="s">
        <v>797</v>
      </c>
      <c r="C378" s="6" t="s">
        <v>798</v>
      </c>
      <c r="D378" s="6" t="s">
        <v>844</v>
      </c>
      <c r="E378" s="6" t="s">
        <v>800</v>
      </c>
      <c r="F378" s="6" t="s">
        <v>334</v>
      </c>
      <c r="G378" s="6" t="n">
        <v>75</v>
      </c>
      <c r="H378" s="6"/>
      <c r="I378" s="6" t="s">
        <v>130</v>
      </c>
      <c r="J378" s="6" t="n">
        <v>6</v>
      </c>
      <c r="K378" s="6" t="s">
        <v>801</v>
      </c>
      <c r="L378" s="6"/>
      <c r="M378" s="6"/>
      <c r="N378" s="12" t="n">
        <v>61.4</v>
      </c>
      <c r="O378" s="12" t="n">
        <v>61.4</v>
      </c>
      <c r="P378" s="12"/>
      <c r="Q378" s="12" t="n">
        <v>40.9</v>
      </c>
      <c r="R378" s="14" t="n">
        <v>0.018</v>
      </c>
      <c r="S378" s="6" t="n">
        <v>0</v>
      </c>
      <c r="T378" s="6"/>
      <c r="U378" s="14" t="n">
        <v>0</v>
      </c>
      <c r="V378" s="15" t="n">
        <f aca="false">60*R378+0.5*(1-(Q378/N378)^2)</f>
        <v>1.35813955585736</v>
      </c>
      <c r="W378" s="14"/>
      <c r="X378" s="10" t="s">
        <v>335</v>
      </c>
      <c r="Y378" s="16" t="n">
        <v>4.54</v>
      </c>
      <c r="Z378" s="17" t="s">
        <v>48</v>
      </c>
      <c r="AA378" s="6" t="s">
        <v>802</v>
      </c>
      <c r="AB378" s="18" t="n">
        <f aca="false">IF(O378="","",$D$3*PI()*(O378/1000)^2/4*3600)</f>
        <v>15.988966164442</v>
      </c>
      <c r="AC378" s="19" t="n">
        <f aca="false">IF(OR(U378="",NOT(ISNUMBER(U378))),"",U378*$D$3^2/(2*$H$3))</f>
        <v>0</v>
      </c>
      <c r="AD378" s="20" t="n">
        <f aca="false">IF(OR(U378="",NOT(ISNUMBER(U378))),"",U378*$D$3^2/2*$F$3)</f>
        <v>0</v>
      </c>
      <c r="AE378" s="19" t="n">
        <f aca="false">IF(OR(V378="",NOT(ISNUMBER(V378))),"",V378*$D$3^2/(2*$H$3))</f>
        <v>0.155749949066211</v>
      </c>
      <c r="AF378" s="20" t="n">
        <f aca="false">IF(OR(V378="",NOT(ISNUMBER(V378))),"",V378*$D$3^2/2*$F$3)</f>
        <v>1527.90700033953</v>
      </c>
      <c r="AG378" s="19" t="str">
        <f aca="false">IF(OR(W378="",NOT(ISNUMBER(W378))),"",W378*$D$3^2/(2*$H$3))</f>
        <v/>
      </c>
      <c r="AH378" s="20" t="str">
        <f aca="false">IF(OR(W378="",NOT(ISNUMBER(W378))),"",W378*$D$3^2/2*$F$3)</f>
        <v/>
      </c>
    </row>
    <row r="379" customFormat="false" ht="15" hidden="false" customHeight="false" outlineLevel="0" collapsed="false">
      <c r="A379" s="10" t="s">
        <v>845</v>
      </c>
      <c r="B379" s="21" t="s">
        <v>797</v>
      </c>
      <c r="C379" s="6" t="s">
        <v>798</v>
      </c>
      <c r="D379" s="6" t="s">
        <v>846</v>
      </c>
      <c r="E379" s="6" t="s">
        <v>800</v>
      </c>
      <c r="F379" s="6" t="s">
        <v>334</v>
      </c>
      <c r="G379" s="6" t="n">
        <v>90</v>
      </c>
      <c r="H379" s="6"/>
      <c r="I379" s="6" t="s">
        <v>108</v>
      </c>
      <c r="J379" s="6" t="n">
        <v>6</v>
      </c>
      <c r="K379" s="6" t="s">
        <v>801</v>
      </c>
      <c r="L379" s="6"/>
      <c r="M379" s="6"/>
      <c r="N379" s="12" t="n">
        <v>73.6</v>
      </c>
      <c r="O379" s="12" t="n">
        <v>73.6</v>
      </c>
      <c r="P379" s="12"/>
      <c r="Q379" s="12" t="n">
        <v>15.8</v>
      </c>
      <c r="R379" s="14" t="n">
        <v>0.018</v>
      </c>
      <c r="S379" s="6" t="n">
        <v>0</v>
      </c>
      <c r="T379" s="6"/>
      <c r="U379" s="14" t="n">
        <v>0</v>
      </c>
      <c r="V379" s="15" t="n">
        <f aca="false">60*R379+0.5*(1-(Q379/N379)^2)</f>
        <v>1.5569575555293</v>
      </c>
      <c r="W379" s="14"/>
      <c r="X379" s="10" t="s">
        <v>335</v>
      </c>
      <c r="Y379" s="16" t="n">
        <v>5.02</v>
      </c>
      <c r="Z379" s="17" t="s">
        <v>48</v>
      </c>
      <c r="AA379" s="6" t="s">
        <v>802</v>
      </c>
      <c r="AB379" s="18" t="n">
        <f aca="false">IF(O379="","",$D$3*PI()*(O379/1000)^2/4*3600)</f>
        <v>22.9741403500662</v>
      </c>
      <c r="AC379" s="19" t="n">
        <f aca="false">IF(OR(U379="",NOT(ISNUMBER(U379))),"",U379*$D$3^2/(2*$H$3))</f>
        <v>0</v>
      </c>
      <c r="AD379" s="20" t="n">
        <f aca="false">IF(OR(U379="",NOT(ISNUMBER(U379))),"",U379*$D$3^2/2*$F$3)</f>
        <v>0</v>
      </c>
      <c r="AE379" s="19" t="n">
        <f aca="false">IF(OR(V379="",NOT(ISNUMBER(V379))),"",V379*$D$3^2/(2*$H$3))</f>
        <v>0.178550178386388</v>
      </c>
      <c r="AF379" s="20" t="n">
        <f aca="false">IF(OR(V379="",NOT(ISNUMBER(V379))),"",V379*$D$3^2/2*$F$3)</f>
        <v>1751.57724997046</v>
      </c>
      <c r="AG379" s="19" t="str">
        <f aca="false">IF(OR(W379="",NOT(ISNUMBER(W379))),"",W379*$D$3^2/(2*$H$3))</f>
        <v/>
      </c>
      <c r="AH379" s="20" t="str">
        <f aca="false">IF(OR(W379="",NOT(ISNUMBER(W379))),"",W379*$D$3^2/2*$F$3)</f>
        <v/>
      </c>
    </row>
    <row r="380" customFormat="false" ht="15" hidden="false" customHeight="false" outlineLevel="0" collapsed="false">
      <c r="A380" s="10" t="s">
        <v>847</v>
      </c>
      <c r="B380" s="21" t="s">
        <v>797</v>
      </c>
      <c r="C380" s="6" t="s">
        <v>798</v>
      </c>
      <c r="D380" s="6" t="s">
        <v>848</v>
      </c>
      <c r="E380" s="6" t="s">
        <v>800</v>
      </c>
      <c r="F380" s="6" t="s">
        <v>334</v>
      </c>
      <c r="G380" s="6" t="n">
        <v>90</v>
      </c>
      <c r="H380" s="6"/>
      <c r="I380" s="6" t="s">
        <v>111</v>
      </c>
      <c r="J380" s="6" t="n">
        <v>6</v>
      </c>
      <c r="K380" s="6" t="s">
        <v>801</v>
      </c>
      <c r="L380" s="6"/>
      <c r="M380" s="6"/>
      <c r="N380" s="12" t="n">
        <v>73.6</v>
      </c>
      <c r="O380" s="12" t="n">
        <v>73.6</v>
      </c>
      <c r="P380" s="12"/>
      <c r="Q380" s="12" t="n">
        <v>20.9</v>
      </c>
      <c r="R380" s="14" t="n">
        <v>0.018</v>
      </c>
      <c r="S380" s="6" t="n">
        <v>0</v>
      </c>
      <c r="T380" s="6"/>
      <c r="U380" s="14" t="n">
        <v>0</v>
      </c>
      <c r="V380" s="15" t="n">
        <f aca="false">60*R380+0.5*(1-(Q380/N380)^2)</f>
        <v>1.5396812603379</v>
      </c>
      <c r="W380" s="14"/>
      <c r="X380" s="10" t="s">
        <v>335</v>
      </c>
      <c r="Y380" s="16" t="n">
        <v>5.02</v>
      </c>
      <c r="Z380" s="17" t="s">
        <v>48</v>
      </c>
      <c r="AA380" s="6" t="s">
        <v>802</v>
      </c>
      <c r="AB380" s="18" t="n">
        <f aca="false">IF(O380="","",$D$3*PI()*(O380/1000)^2/4*3600)</f>
        <v>22.9741403500662</v>
      </c>
      <c r="AC380" s="19" t="n">
        <f aca="false">IF(OR(U380="",NOT(ISNUMBER(U380))),"",U380*$D$3^2/(2*$H$3))</f>
        <v>0</v>
      </c>
      <c r="AD380" s="20" t="n">
        <f aca="false">IF(OR(U380="",NOT(ISNUMBER(U380))),"",U380*$D$3^2/2*$F$3)</f>
        <v>0</v>
      </c>
      <c r="AE380" s="19" t="n">
        <f aca="false">IF(OR(V380="",NOT(ISNUMBER(V380))),"",V380*$D$3^2/(2*$H$3))</f>
        <v>0.176568951873613</v>
      </c>
      <c r="AF380" s="20" t="n">
        <f aca="false">IF(OR(V380="",NOT(ISNUMBER(V380))),"",V380*$D$3^2/2*$F$3)</f>
        <v>1732.14141788014</v>
      </c>
      <c r="AG380" s="19" t="str">
        <f aca="false">IF(OR(W380="",NOT(ISNUMBER(W380))),"",W380*$D$3^2/(2*$H$3))</f>
        <v/>
      </c>
      <c r="AH380" s="20" t="str">
        <f aca="false">IF(OR(W380="",NOT(ISNUMBER(W380))),"",W380*$D$3^2/2*$F$3)</f>
        <v/>
      </c>
    </row>
    <row r="381" customFormat="false" ht="15" hidden="false" customHeight="false" outlineLevel="0" collapsed="false">
      <c r="A381" s="10" t="s">
        <v>849</v>
      </c>
      <c r="B381" s="21" t="s">
        <v>797</v>
      </c>
      <c r="C381" s="6" t="s">
        <v>798</v>
      </c>
      <c r="D381" s="6" t="s">
        <v>850</v>
      </c>
      <c r="E381" s="6" t="s">
        <v>800</v>
      </c>
      <c r="F381" s="6" t="s">
        <v>334</v>
      </c>
      <c r="G381" s="6" t="n">
        <v>90</v>
      </c>
      <c r="H381" s="6"/>
      <c r="I381" s="6" t="s">
        <v>118</v>
      </c>
      <c r="J381" s="6" t="n">
        <v>6</v>
      </c>
      <c r="K381" s="6" t="s">
        <v>801</v>
      </c>
      <c r="L381" s="6"/>
      <c r="M381" s="6"/>
      <c r="N381" s="12" t="n">
        <v>73.6</v>
      </c>
      <c r="O381" s="12" t="n">
        <v>73.6</v>
      </c>
      <c r="P381" s="12"/>
      <c r="Q381" s="12" t="n">
        <v>26.6</v>
      </c>
      <c r="R381" s="14" t="n">
        <v>0.018</v>
      </c>
      <c r="S381" s="6" t="n">
        <v>0</v>
      </c>
      <c r="T381" s="6"/>
      <c r="U381" s="14" t="n">
        <v>0</v>
      </c>
      <c r="V381" s="15" t="n">
        <f aca="false">60*R381+0.5*(1-(Q381/N381)^2)</f>
        <v>1.51469030600189</v>
      </c>
      <c r="W381" s="14"/>
      <c r="X381" s="10" t="s">
        <v>335</v>
      </c>
      <c r="Y381" s="16" t="n">
        <v>5.02</v>
      </c>
      <c r="Z381" s="17" t="s">
        <v>48</v>
      </c>
      <c r="AA381" s="6" t="s">
        <v>802</v>
      </c>
      <c r="AB381" s="18" t="n">
        <f aca="false">IF(O381="","",$D$3*PI()*(O381/1000)^2/4*3600)</f>
        <v>22.9741403500662</v>
      </c>
      <c r="AC381" s="19" t="n">
        <f aca="false">IF(OR(U381="",NOT(ISNUMBER(U381))),"",U381*$D$3^2/(2*$H$3))</f>
        <v>0</v>
      </c>
      <c r="AD381" s="20" t="n">
        <f aca="false">IF(OR(U381="",NOT(ISNUMBER(U381))),"",U381*$D$3^2/2*$F$3)</f>
        <v>0</v>
      </c>
      <c r="AE381" s="19" t="n">
        <f aca="false">IF(OR(V381="",NOT(ISNUMBER(V381))),"",V381*$D$3^2/(2*$H$3))</f>
        <v>0.173703016743336</v>
      </c>
      <c r="AF381" s="20" t="n">
        <f aca="false">IF(OR(V381="",NOT(ISNUMBER(V381))),"",V381*$D$3^2/2*$F$3)</f>
        <v>1704.02659425213</v>
      </c>
      <c r="AG381" s="19" t="str">
        <f aca="false">IF(OR(W381="",NOT(ISNUMBER(W381))),"",W381*$D$3^2/(2*$H$3))</f>
        <v/>
      </c>
      <c r="AH381" s="20" t="str">
        <f aca="false">IF(OR(W381="",NOT(ISNUMBER(W381))),"",W381*$D$3^2/2*$F$3)</f>
        <v/>
      </c>
    </row>
    <row r="382" customFormat="false" ht="15" hidden="false" customHeight="false" outlineLevel="0" collapsed="false">
      <c r="A382" s="10" t="s">
        <v>851</v>
      </c>
      <c r="B382" s="21" t="s">
        <v>797</v>
      </c>
      <c r="C382" s="6" t="s">
        <v>798</v>
      </c>
      <c r="D382" s="6" t="s">
        <v>852</v>
      </c>
      <c r="E382" s="6" t="s">
        <v>800</v>
      </c>
      <c r="F382" s="6" t="s">
        <v>334</v>
      </c>
      <c r="G382" s="6" t="n">
        <v>90</v>
      </c>
      <c r="H382" s="6"/>
      <c r="I382" s="6" t="s">
        <v>127</v>
      </c>
      <c r="J382" s="6" t="n">
        <v>6</v>
      </c>
      <c r="K382" s="6" t="s">
        <v>801</v>
      </c>
      <c r="L382" s="6"/>
      <c r="M382" s="6"/>
      <c r="N382" s="12" t="n">
        <v>73.6</v>
      </c>
      <c r="O382" s="12" t="n">
        <v>73.6</v>
      </c>
      <c r="P382" s="12"/>
      <c r="Q382" s="12" t="n">
        <v>35.1</v>
      </c>
      <c r="R382" s="14" t="n">
        <v>0.018</v>
      </c>
      <c r="S382" s="6" t="n">
        <v>0</v>
      </c>
      <c r="T382" s="6"/>
      <c r="U382" s="14" t="n">
        <v>0</v>
      </c>
      <c r="V382" s="15" t="n">
        <f aca="false">60*R382+0.5*(1-(Q382/N382)^2)</f>
        <v>1.46628215825851</v>
      </c>
      <c r="W382" s="14"/>
      <c r="X382" s="10" t="s">
        <v>335</v>
      </c>
      <c r="Y382" s="16" t="n">
        <v>5.02</v>
      </c>
      <c r="Z382" s="17" t="s">
        <v>48</v>
      </c>
      <c r="AA382" s="6" t="s">
        <v>802</v>
      </c>
      <c r="AB382" s="18" t="n">
        <f aca="false">IF(O382="","",$D$3*PI()*(O382/1000)^2/4*3600)</f>
        <v>22.9741403500662</v>
      </c>
      <c r="AC382" s="19" t="n">
        <f aca="false">IF(OR(U382="",NOT(ISNUMBER(U382))),"",U382*$D$3^2/(2*$H$3))</f>
        <v>0</v>
      </c>
      <c r="AD382" s="20" t="n">
        <f aca="false">IF(OR(U382="",NOT(ISNUMBER(U382))),"",U382*$D$3^2/2*$F$3)</f>
        <v>0</v>
      </c>
      <c r="AE382" s="19" t="n">
        <f aca="false">IF(OR(V382="",NOT(ISNUMBER(V382))),"",V382*$D$3^2/(2*$H$3))</f>
        <v>0.168151623653498</v>
      </c>
      <c r="AF382" s="20" t="n">
        <f aca="false">IF(OR(V382="",NOT(ISNUMBER(V382))),"",V382*$D$3^2/2*$F$3)</f>
        <v>1649.56742804082</v>
      </c>
      <c r="AG382" s="19" t="str">
        <f aca="false">IF(OR(W382="",NOT(ISNUMBER(W382))),"",W382*$D$3^2/(2*$H$3))</f>
        <v/>
      </c>
      <c r="AH382" s="20" t="str">
        <f aca="false">IF(OR(W382="",NOT(ISNUMBER(W382))),"",W382*$D$3^2/2*$F$3)</f>
        <v/>
      </c>
    </row>
    <row r="383" customFormat="false" ht="15" hidden="false" customHeight="false" outlineLevel="0" collapsed="false">
      <c r="A383" s="10" t="s">
        <v>853</v>
      </c>
      <c r="B383" s="21" t="s">
        <v>797</v>
      </c>
      <c r="C383" s="6" t="s">
        <v>798</v>
      </c>
      <c r="D383" s="6" t="s">
        <v>854</v>
      </c>
      <c r="E383" s="6" t="s">
        <v>800</v>
      </c>
      <c r="F383" s="6" t="s">
        <v>334</v>
      </c>
      <c r="G383" s="6" t="n">
        <v>90</v>
      </c>
      <c r="H383" s="6"/>
      <c r="I383" s="6" t="s">
        <v>130</v>
      </c>
      <c r="J383" s="6" t="n">
        <v>6</v>
      </c>
      <c r="K383" s="6" t="s">
        <v>801</v>
      </c>
      <c r="L383" s="6"/>
      <c r="M383" s="6"/>
      <c r="N383" s="12" t="n">
        <v>73.6</v>
      </c>
      <c r="O383" s="12" t="n">
        <v>73.6</v>
      </c>
      <c r="P383" s="12"/>
      <c r="Q383" s="12" t="n">
        <v>40.9</v>
      </c>
      <c r="R383" s="14" t="n">
        <v>0.018</v>
      </c>
      <c r="S383" s="6" t="n">
        <v>0</v>
      </c>
      <c r="T383" s="6"/>
      <c r="U383" s="14" t="n">
        <v>0</v>
      </c>
      <c r="V383" s="15" t="n">
        <f aca="false">60*R383+0.5*(1-(Q383/N383)^2)</f>
        <v>1.4255951308483</v>
      </c>
      <c r="W383" s="14"/>
      <c r="X383" s="10" t="s">
        <v>335</v>
      </c>
      <c r="Y383" s="16" t="n">
        <v>5.02</v>
      </c>
      <c r="Z383" s="17" t="s">
        <v>48</v>
      </c>
      <c r="AA383" s="6" t="s">
        <v>802</v>
      </c>
      <c r="AB383" s="18" t="n">
        <f aca="false">IF(O383="","",$D$3*PI()*(O383/1000)^2/4*3600)</f>
        <v>22.9741403500662</v>
      </c>
      <c r="AC383" s="19" t="n">
        <f aca="false">IF(OR(U383="",NOT(ISNUMBER(U383))),"",U383*$D$3^2/(2*$H$3))</f>
        <v>0</v>
      </c>
      <c r="AD383" s="20" t="n">
        <f aca="false">IF(OR(U383="",NOT(ISNUMBER(U383))),"",U383*$D$3^2/2*$F$3)</f>
        <v>0</v>
      </c>
      <c r="AE383" s="19" t="n">
        <f aca="false">IF(OR(V383="",NOT(ISNUMBER(V383))),"",V383*$D$3^2/(2*$H$3))</f>
        <v>0.163485680143153</v>
      </c>
      <c r="AF383" s="20" t="n">
        <f aca="false">IF(OR(V383="",NOT(ISNUMBER(V383))),"",V383*$D$3^2/2*$F$3)</f>
        <v>1603.79452220434</v>
      </c>
      <c r="AG383" s="19" t="str">
        <f aca="false">IF(OR(W383="",NOT(ISNUMBER(W383))),"",W383*$D$3^2/(2*$H$3))</f>
        <v/>
      </c>
      <c r="AH383" s="20" t="str">
        <f aca="false">IF(OR(W383="",NOT(ISNUMBER(W383))),"",W383*$D$3^2/2*$F$3)</f>
        <v/>
      </c>
    </row>
    <row r="384" customFormat="false" ht="15" hidden="false" customHeight="false" outlineLevel="0" collapsed="false">
      <c r="A384" s="10" t="s">
        <v>855</v>
      </c>
      <c r="B384" s="21" t="s">
        <v>797</v>
      </c>
      <c r="C384" s="6" t="s">
        <v>798</v>
      </c>
      <c r="D384" s="6" t="s">
        <v>856</v>
      </c>
      <c r="E384" s="6" t="s">
        <v>800</v>
      </c>
      <c r="F384" s="6" t="s">
        <v>334</v>
      </c>
      <c r="G384" s="6" t="n">
        <v>110</v>
      </c>
      <c r="H384" s="6"/>
      <c r="I384" s="6" t="s">
        <v>118</v>
      </c>
      <c r="J384" s="6" t="n">
        <v>6</v>
      </c>
      <c r="K384" s="6" t="s">
        <v>801</v>
      </c>
      <c r="L384" s="6"/>
      <c r="M384" s="6"/>
      <c r="N384" s="12" t="n">
        <v>90</v>
      </c>
      <c r="O384" s="12" t="n">
        <v>90</v>
      </c>
      <c r="P384" s="12"/>
      <c r="Q384" s="12" t="n">
        <v>26.6</v>
      </c>
      <c r="R384" s="14" t="n">
        <v>0.017</v>
      </c>
      <c r="S384" s="6" t="n">
        <v>0</v>
      </c>
      <c r="T384" s="6"/>
      <c r="U384" s="14" t="n">
        <v>0</v>
      </c>
      <c r="V384" s="15" t="n">
        <f aca="false">60*R384+0.5*(1-(Q384/N384)^2)</f>
        <v>1.47632345679012</v>
      </c>
      <c r="W384" s="14"/>
      <c r="X384" s="10" t="s">
        <v>335</v>
      </c>
      <c r="Y384" s="16" t="n">
        <v>7.24</v>
      </c>
      <c r="Z384" s="17" t="s">
        <v>48</v>
      </c>
      <c r="AA384" s="6" t="s">
        <v>802</v>
      </c>
      <c r="AB384" s="18" t="n">
        <f aca="false">IF(O384="","",$D$3*PI()*(O384/1000)^2/4*3600)</f>
        <v>34.3533156670044</v>
      </c>
      <c r="AC384" s="19" t="n">
        <f aca="false">IF(OR(U384="",NOT(ISNUMBER(U384))),"",U384*$D$3^2/(2*$H$3))</f>
        <v>0</v>
      </c>
      <c r="AD384" s="20" t="n">
        <f aca="false">IF(OR(U384="",NOT(ISNUMBER(U384))),"",U384*$D$3^2/2*$F$3)</f>
        <v>0</v>
      </c>
      <c r="AE384" s="19" t="n">
        <f aca="false">IF(OR(V384="",NOT(ISNUMBER(V384))),"",V384*$D$3^2/(2*$H$3))</f>
        <v>0.169303148714464</v>
      </c>
      <c r="AF384" s="20" t="n">
        <f aca="false">IF(OR(V384="",NOT(ISNUMBER(V384))),"",V384*$D$3^2/2*$F$3)</f>
        <v>1660.86388888889</v>
      </c>
      <c r="AG384" s="19" t="str">
        <f aca="false">IF(OR(W384="",NOT(ISNUMBER(W384))),"",W384*$D$3^2/(2*$H$3))</f>
        <v/>
      </c>
      <c r="AH384" s="20" t="str">
        <f aca="false">IF(OR(W384="",NOT(ISNUMBER(W384))),"",W384*$D$3^2/2*$F$3)</f>
        <v/>
      </c>
    </row>
    <row r="385" customFormat="false" ht="15" hidden="false" customHeight="false" outlineLevel="0" collapsed="false">
      <c r="A385" s="10" t="s">
        <v>857</v>
      </c>
      <c r="B385" s="21" t="s">
        <v>797</v>
      </c>
      <c r="C385" s="6" t="s">
        <v>798</v>
      </c>
      <c r="D385" s="6" t="s">
        <v>858</v>
      </c>
      <c r="E385" s="6" t="s">
        <v>800</v>
      </c>
      <c r="F385" s="6" t="s">
        <v>334</v>
      </c>
      <c r="G385" s="6" t="n">
        <v>110</v>
      </c>
      <c r="H385" s="6"/>
      <c r="I385" s="6" t="s">
        <v>130</v>
      </c>
      <c r="J385" s="6" t="n">
        <v>6</v>
      </c>
      <c r="K385" s="6" t="s">
        <v>801</v>
      </c>
      <c r="L385" s="6"/>
      <c r="M385" s="6"/>
      <c r="N385" s="12" t="n">
        <v>90</v>
      </c>
      <c r="O385" s="12" t="n">
        <v>90</v>
      </c>
      <c r="P385" s="12"/>
      <c r="Q385" s="12" t="n">
        <v>40.9</v>
      </c>
      <c r="R385" s="14" t="n">
        <v>0.017</v>
      </c>
      <c r="S385" s="6" t="n">
        <v>0</v>
      </c>
      <c r="T385" s="6"/>
      <c r="U385" s="14" t="n">
        <v>0</v>
      </c>
      <c r="V385" s="15" t="n">
        <f aca="false">60*R385+0.5*(1-(Q385/N385)^2)</f>
        <v>1.41674012345679</v>
      </c>
      <c r="W385" s="14"/>
      <c r="X385" s="10" t="s">
        <v>335</v>
      </c>
      <c r="Y385" s="16" t="n">
        <v>7.24</v>
      </c>
      <c r="Z385" s="17" t="s">
        <v>48</v>
      </c>
      <c r="AA385" s="6" t="s">
        <v>802</v>
      </c>
      <c r="AB385" s="18" t="n">
        <f aca="false">IF(O385="","",$D$3*PI()*(O385/1000)^2/4*3600)</f>
        <v>34.3533156670044</v>
      </c>
      <c r="AC385" s="19" t="n">
        <f aca="false">IF(OR(U385="",NOT(ISNUMBER(U385))),"",U385*$D$3^2/(2*$H$3))</f>
        <v>0</v>
      </c>
      <c r="AD385" s="20" t="n">
        <f aca="false">IF(OR(U385="",NOT(ISNUMBER(U385))),"",U385*$D$3^2/2*$F$3)</f>
        <v>0</v>
      </c>
      <c r="AE385" s="19" t="n">
        <f aca="false">IF(OR(V385="",NOT(ISNUMBER(V385))),"",V385*$D$3^2/(2*$H$3))</f>
        <v>0.162470197644127</v>
      </c>
      <c r="AF385" s="20" t="n">
        <f aca="false">IF(OR(V385="",NOT(ISNUMBER(V385))),"",V385*$D$3^2/2*$F$3)</f>
        <v>1593.83263888889</v>
      </c>
      <c r="AG385" s="19" t="str">
        <f aca="false">IF(OR(W385="",NOT(ISNUMBER(W385))),"",W385*$D$3^2/(2*$H$3))</f>
        <v/>
      </c>
      <c r="AH385" s="20" t="str">
        <f aca="false">IF(OR(W385="",NOT(ISNUMBER(W385))),"",W385*$D$3^2/2*$F$3)</f>
        <v/>
      </c>
    </row>
    <row r="386" customFormat="false" ht="15" hidden="false" customHeight="false" outlineLevel="0" collapsed="false">
      <c r="A386" s="10" t="s">
        <v>859</v>
      </c>
      <c r="B386" s="21" t="s">
        <v>797</v>
      </c>
      <c r="C386" s="6" t="s">
        <v>798</v>
      </c>
      <c r="D386" s="6" t="s">
        <v>860</v>
      </c>
      <c r="E386" s="6" t="s">
        <v>800</v>
      </c>
      <c r="F386" s="6" t="s">
        <v>334</v>
      </c>
      <c r="G386" s="6" t="n">
        <v>110</v>
      </c>
      <c r="H386" s="6"/>
      <c r="I386" s="6" t="s">
        <v>133</v>
      </c>
      <c r="J386" s="6" t="n">
        <v>6</v>
      </c>
      <c r="K386" s="6" t="s">
        <v>801</v>
      </c>
      <c r="L386" s="6"/>
      <c r="M386" s="6"/>
      <c r="N386" s="12" t="n">
        <v>90</v>
      </c>
      <c r="O386" s="12" t="n">
        <v>90</v>
      </c>
      <c r="P386" s="12"/>
      <c r="Q386" s="12" t="n">
        <v>52.5</v>
      </c>
      <c r="R386" s="14" t="n">
        <v>0.017</v>
      </c>
      <c r="S386" s="6" t="n">
        <v>0</v>
      </c>
      <c r="T386" s="6"/>
      <c r="U386" s="14" t="n">
        <v>0</v>
      </c>
      <c r="V386" s="15" t="n">
        <f aca="false">60*R386+0.5*(1-(Q386/N386)^2)</f>
        <v>1.34986111111111</v>
      </c>
      <c r="W386" s="14"/>
      <c r="X386" s="10" t="s">
        <v>335</v>
      </c>
      <c r="Y386" s="16" t="n">
        <v>7.24</v>
      </c>
      <c r="Z386" s="17" t="s">
        <v>48</v>
      </c>
      <c r="AA386" s="6" t="s">
        <v>802</v>
      </c>
      <c r="AB386" s="18" t="n">
        <f aca="false">IF(O386="","",$D$3*PI()*(O386/1000)^2/4*3600)</f>
        <v>34.3533156670044</v>
      </c>
      <c r="AC386" s="19" t="n">
        <f aca="false">IF(OR(U386="",NOT(ISNUMBER(U386))),"",U386*$D$3^2/(2*$H$3))</f>
        <v>0</v>
      </c>
      <c r="AD386" s="20" t="n">
        <f aca="false">IF(OR(U386="",NOT(ISNUMBER(U386))),"",U386*$D$3^2/2*$F$3)</f>
        <v>0</v>
      </c>
      <c r="AE386" s="19" t="n">
        <f aca="false">IF(OR(V386="",NOT(ISNUMBER(V386))),"",V386*$D$3^2/(2*$H$3))</f>
        <v>0.154800586136595</v>
      </c>
      <c r="AF386" s="20" t="n">
        <f aca="false">IF(OR(V386="",NOT(ISNUMBER(V386))),"",V386*$D$3^2/2*$F$3)</f>
        <v>1518.59375</v>
      </c>
      <c r="AG386" s="19" t="str">
        <f aca="false">IF(OR(W386="",NOT(ISNUMBER(W386))),"",W386*$D$3^2/(2*$H$3))</f>
        <v/>
      </c>
      <c r="AH386" s="20" t="str">
        <f aca="false">IF(OR(W386="",NOT(ISNUMBER(W386))),"",W386*$D$3^2/2*$F$3)</f>
        <v/>
      </c>
    </row>
    <row r="387" customFormat="false" ht="15" hidden="false" customHeight="false" outlineLevel="0" collapsed="false">
      <c r="A387" s="10" t="s">
        <v>861</v>
      </c>
      <c r="B387" s="21" t="s">
        <v>797</v>
      </c>
      <c r="C387" s="6" t="s">
        <v>798</v>
      </c>
      <c r="D387" s="6" t="s">
        <v>862</v>
      </c>
      <c r="E387" s="6" t="s">
        <v>800</v>
      </c>
      <c r="F387" s="6" t="s">
        <v>334</v>
      </c>
      <c r="G387" s="6" t="n">
        <v>125</v>
      </c>
      <c r="H387" s="6"/>
      <c r="I387" s="6" t="s">
        <v>118</v>
      </c>
      <c r="J387" s="6" t="n">
        <v>6</v>
      </c>
      <c r="K387" s="6" t="s">
        <v>801</v>
      </c>
      <c r="L387" s="6"/>
      <c r="M387" s="6"/>
      <c r="N387" s="12" t="n">
        <v>102.2</v>
      </c>
      <c r="O387" s="12" t="n">
        <v>102.2</v>
      </c>
      <c r="P387" s="12"/>
      <c r="Q387" s="12" t="n">
        <v>26.6</v>
      </c>
      <c r="R387" s="14" t="n">
        <v>0.016</v>
      </c>
      <c r="S387" s="6" t="n">
        <v>0</v>
      </c>
      <c r="T387" s="6"/>
      <c r="U387" s="14" t="n">
        <v>0</v>
      </c>
      <c r="V387" s="15" t="n">
        <f aca="false">60*R387+0.5*(1-(Q387/N387)^2)</f>
        <v>1.42612872959279</v>
      </c>
      <c r="W387" s="14"/>
      <c r="X387" s="10" t="s">
        <v>335</v>
      </c>
      <c r="Y387" s="16" t="n">
        <v>11.07</v>
      </c>
      <c r="Z387" s="17" t="s">
        <v>48</v>
      </c>
      <c r="AA387" s="6" t="s">
        <v>802</v>
      </c>
      <c r="AB387" s="18" t="n">
        <f aca="false">IF(O387="","",$D$3*PI()*(O387/1000)^2/4*3600)</f>
        <v>44.2981340260931</v>
      </c>
      <c r="AC387" s="19" t="n">
        <f aca="false">IF(OR(U387="",NOT(ISNUMBER(U387))),"",U387*$D$3^2/(2*$H$3))</f>
        <v>0</v>
      </c>
      <c r="AD387" s="20" t="n">
        <f aca="false">IF(OR(U387="",NOT(ISNUMBER(U387))),"",U387*$D$3^2/2*$F$3)</f>
        <v>0</v>
      </c>
      <c r="AE387" s="19" t="n">
        <f aca="false">IF(OR(V387="",NOT(ISNUMBER(V387))),"",V387*$D$3^2/(2*$H$3))</f>
        <v>0.163546872659724</v>
      </c>
      <c r="AF387" s="20" t="n">
        <f aca="false">IF(OR(V387="",NOT(ISNUMBER(V387))),"",V387*$D$3^2/2*$F$3)</f>
        <v>1604.39482079189</v>
      </c>
      <c r="AG387" s="19" t="str">
        <f aca="false">IF(OR(W387="",NOT(ISNUMBER(W387))),"",W387*$D$3^2/(2*$H$3))</f>
        <v/>
      </c>
      <c r="AH387" s="20" t="str">
        <f aca="false">IF(OR(W387="",NOT(ISNUMBER(W387))),"",W387*$D$3^2/2*$F$3)</f>
        <v/>
      </c>
    </row>
    <row r="388" customFormat="false" ht="15" hidden="false" customHeight="false" outlineLevel="0" collapsed="false">
      <c r="A388" s="10" t="s">
        <v>863</v>
      </c>
      <c r="B388" s="21" t="s">
        <v>797</v>
      </c>
      <c r="C388" s="6" t="s">
        <v>798</v>
      </c>
      <c r="D388" s="6" t="s">
        <v>864</v>
      </c>
      <c r="E388" s="6" t="s">
        <v>800</v>
      </c>
      <c r="F388" s="6" t="s">
        <v>334</v>
      </c>
      <c r="G388" s="6" t="n">
        <v>125</v>
      </c>
      <c r="H388" s="6"/>
      <c r="I388" s="6" t="s">
        <v>130</v>
      </c>
      <c r="J388" s="6" t="n">
        <v>6</v>
      </c>
      <c r="K388" s="6" t="s">
        <v>801</v>
      </c>
      <c r="L388" s="6"/>
      <c r="M388" s="6"/>
      <c r="N388" s="12" t="n">
        <v>102.2</v>
      </c>
      <c r="O388" s="12" t="n">
        <v>102.2</v>
      </c>
      <c r="P388" s="12"/>
      <c r="Q388" s="12" t="n">
        <v>40.9</v>
      </c>
      <c r="R388" s="14" t="n">
        <v>0.016</v>
      </c>
      <c r="S388" s="6" t="n">
        <v>0</v>
      </c>
      <c r="T388" s="6"/>
      <c r="U388" s="14" t="n">
        <v>0</v>
      </c>
      <c r="V388" s="15" t="n">
        <f aca="false">60*R388+0.5*(1-(Q388/N388)^2)</f>
        <v>1.37992170296529</v>
      </c>
      <c r="W388" s="14"/>
      <c r="X388" s="10" t="s">
        <v>335</v>
      </c>
      <c r="Y388" s="16" t="n">
        <v>11.07</v>
      </c>
      <c r="Z388" s="17" t="s">
        <v>48</v>
      </c>
      <c r="AA388" s="6" t="s">
        <v>802</v>
      </c>
      <c r="AB388" s="18" t="n">
        <f aca="false">IF(O388="","",$D$3*PI()*(O388/1000)^2/4*3600)</f>
        <v>44.2981340260931</v>
      </c>
      <c r="AC388" s="19" t="n">
        <f aca="false">IF(OR(U388="",NOT(ISNUMBER(U388))),"",U388*$D$3^2/(2*$H$3))</f>
        <v>0</v>
      </c>
      <c r="AD388" s="20" t="n">
        <f aca="false">IF(OR(U388="",NOT(ISNUMBER(U388))),"",U388*$D$3^2/2*$F$3)</f>
        <v>0</v>
      </c>
      <c r="AE388" s="19" t="n">
        <f aca="false">IF(OR(V388="",NOT(ISNUMBER(V388))),"",V388*$D$3^2/(2*$H$3))</f>
        <v>0.158247901716203</v>
      </c>
      <c r="AF388" s="20" t="n">
        <f aca="false">IF(OR(V388="",NOT(ISNUMBER(V388))),"",V388*$D$3^2/2*$F$3)</f>
        <v>1552.41191583595</v>
      </c>
      <c r="AG388" s="19" t="str">
        <f aca="false">IF(OR(W388="",NOT(ISNUMBER(W388))),"",W388*$D$3^2/(2*$H$3))</f>
        <v/>
      </c>
      <c r="AH388" s="20" t="str">
        <f aca="false">IF(OR(W388="",NOT(ISNUMBER(W388))),"",W388*$D$3^2/2*$F$3)</f>
        <v/>
      </c>
    </row>
    <row r="389" customFormat="false" ht="15" hidden="false" customHeight="false" outlineLevel="0" collapsed="false">
      <c r="A389" s="10" t="s">
        <v>865</v>
      </c>
      <c r="B389" s="21" t="s">
        <v>797</v>
      </c>
      <c r="C389" s="6" t="s">
        <v>798</v>
      </c>
      <c r="D389" s="6" t="s">
        <v>866</v>
      </c>
      <c r="E389" s="6" t="s">
        <v>800</v>
      </c>
      <c r="F389" s="6" t="s">
        <v>334</v>
      </c>
      <c r="G389" s="6" t="n">
        <v>125</v>
      </c>
      <c r="H389" s="6"/>
      <c r="I389" s="6" t="s">
        <v>133</v>
      </c>
      <c r="J389" s="6" t="n">
        <v>6</v>
      </c>
      <c r="K389" s="6" t="s">
        <v>801</v>
      </c>
      <c r="L389" s="6"/>
      <c r="M389" s="6"/>
      <c r="N389" s="12" t="n">
        <v>102.2</v>
      </c>
      <c r="O389" s="12" t="n">
        <v>102.2</v>
      </c>
      <c r="P389" s="12"/>
      <c r="Q389" s="12" t="n">
        <v>52.5</v>
      </c>
      <c r="R389" s="14" t="n">
        <v>0.016</v>
      </c>
      <c r="S389" s="6" t="n">
        <v>0</v>
      </c>
      <c r="T389" s="6"/>
      <c r="U389" s="14" t="n">
        <v>0</v>
      </c>
      <c r="V389" s="15" t="n">
        <f aca="false">60*R389+0.5*(1-(Q389/N389)^2)</f>
        <v>1.32805685869769</v>
      </c>
      <c r="W389" s="14"/>
      <c r="X389" s="10" t="s">
        <v>335</v>
      </c>
      <c r="Y389" s="16" t="n">
        <v>11.07</v>
      </c>
      <c r="Z389" s="17" t="s">
        <v>48</v>
      </c>
      <c r="AA389" s="6" t="s">
        <v>802</v>
      </c>
      <c r="AB389" s="18" t="n">
        <f aca="false">IF(O389="","",$D$3*PI()*(O389/1000)^2/4*3600)</f>
        <v>44.2981340260931</v>
      </c>
      <c r="AC389" s="19" t="n">
        <f aca="false">IF(OR(U389="",NOT(ISNUMBER(U389))),"",U389*$D$3^2/(2*$H$3))</f>
        <v>0</v>
      </c>
      <c r="AD389" s="20" t="n">
        <f aca="false">IF(OR(U389="",NOT(ISNUMBER(U389))),"",U389*$D$3^2/2*$F$3)</f>
        <v>0</v>
      </c>
      <c r="AE389" s="19" t="n">
        <f aca="false">IF(OR(V389="",NOT(ISNUMBER(V389))),"",V389*$D$3^2/(2*$H$3))</f>
        <v>0.152300098474506</v>
      </c>
      <c r="AF389" s="20" t="n">
        <f aca="false">IF(OR(V389="",NOT(ISNUMBER(V389))),"",V389*$D$3^2/2*$F$3)</f>
        <v>1494.0639660349</v>
      </c>
      <c r="AG389" s="19" t="str">
        <f aca="false">IF(OR(W389="",NOT(ISNUMBER(W389))),"",W389*$D$3^2/(2*$H$3))</f>
        <v/>
      </c>
      <c r="AH389" s="20" t="str">
        <f aca="false">IF(OR(W389="",NOT(ISNUMBER(W389))),"",W389*$D$3^2/2*$F$3)</f>
        <v/>
      </c>
    </row>
    <row r="390" customFormat="false" ht="15" hidden="false" customHeight="false" outlineLevel="0" collapsed="false">
      <c r="A390" s="10" t="s">
        <v>867</v>
      </c>
      <c r="B390" s="21" t="s">
        <v>797</v>
      </c>
      <c r="C390" s="6" t="s">
        <v>798</v>
      </c>
      <c r="D390" s="6" t="s">
        <v>868</v>
      </c>
      <c r="E390" s="6" t="s">
        <v>800</v>
      </c>
      <c r="F390" s="6" t="s">
        <v>334</v>
      </c>
      <c r="G390" s="6" t="n">
        <v>140</v>
      </c>
      <c r="H390" s="6"/>
      <c r="I390" s="6" t="s">
        <v>118</v>
      </c>
      <c r="J390" s="6" t="n">
        <v>6</v>
      </c>
      <c r="K390" s="6" t="s">
        <v>801</v>
      </c>
      <c r="L390" s="6"/>
      <c r="M390" s="6"/>
      <c r="N390" s="12" t="n">
        <v>114.6</v>
      </c>
      <c r="O390" s="12" t="n">
        <v>114.6</v>
      </c>
      <c r="P390" s="12"/>
      <c r="Q390" s="12" t="n">
        <v>26.6</v>
      </c>
      <c r="R390" s="14" t="n">
        <v>0.016</v>
      </c>
      <c r="S390" s="6" t="n">
        <v>0</v>
      </c>
      <c r="T390" s="6"/>
      <c r="U390" s="14" t="n">
        <v>0</v>
      </c>
      <c r="V390" s="15" t="n">
        <f aca="false">60*R390+0.5*(1-(Q390/N390)^2)</f>
        <v>1.43306208102239</v>
      </c>
      <c r="W390" s="14"/>
      <c r="X390" s="10" t="s">
        <v>335</v>
      </c>
      <c r="Y390" s="16" t="n">
        <v>18.39</v>
      </c>
      <c r="Z390" s="17" t="s">
        <v>48</v>
      </c>
      <c r="AA390" s="6" t="s">
        <v>802</v>
      </c>
      <c r="AB390" s="18" t="n">
        <f aca="false">IF(O390="","",$D$3*PI()*(O390/1000)^2/4*3600)</f>
        <v>55.6997026154661</v>
      </c>
      <c r="AC390" s="19" t="n">
        <f aca="false">IF(OR(U390="",NOT(ISNUMBER(U390))),"",U390*$D$3^2/(2*$H$3))</f>
        <v>0</v>
      </c>
      <c r="AD390" s="20" t="n">
        <f aca="false">IF(OR(U390="",NOT(ISNUMBER(U390))),"",U390*$D$3^2/2*$F$3)</f>
        <v>0</v>
      </c>
      <c r="AE390" s="19" t="n">
        <f aca="false">IF(OR(V390="",NOT(ISNUMBER(V390))),"",V390*$D$3^2/(2*$H$3))</f>
        <v>0.164341981768623</v>
      </c>
      <c r="AF390" s="20" t="n">
        <f aca="false">IF(OR(V390="",NOT(ISNUMBER(V390))),"",V390*$D$3^2/2*$F$3)</f>
        <v>1612.19484115019</v>
      </c>
      <c r="AG390" s="19" t="str">
        <f aca="false">IF(OR(W390="",NOT(ISNUMBER(W390))),"",W390*$D$3^2/(2*$H$3))</f>
        <v/>
      </c>
      <c r="AH390" s="20" t="str">
        <f aca="false">IF(OR(W390="",NOT(ISNUMBER(W390))),"",W390*$D$3^2/2*$F$3)</f>
        <v/>
      </c>
    </row>
    <row r="391" customFormat="false" ht="15" hidden="false" customHeight="false" outlineLevel="0" collapsed="false">
      <c r="A391" s="10" t="s">
        <v>869</v>
      </c>
      <c r="B391" s="21" t="s">
        <v>797</v>
      </c>
      <c r="C391" s="6" t="s">
        <v>798</v>
      </c>
      <c r="D391" s="6" t="s">
        <v>870</v>
      </c>
      <c r="E391" s="6" t="s">
        <v>800</v>
      </c>
      <c r="F391" s="6" t="s">
        <v>334</v>
      </c>
      <c r="G391" s="6" t="n">
        <v>140</v>
      </c>
      <c r="H391" s="6"/>
      <c r="I391" s="6" t="s">
        <v>130</v>
      </c>
      <c r="J391" s="6" t="n">
        <v>6</v>
      </c>
      <c r="K391" s="6" t="s">
        <v>801</v>
      </c>
      <c r="L391" s="6"/>
      <c r="M391" s="6"/>
      <c r="N391" s="12" t="n">
        <v>114.6</v>
      </c>
      <c r="O391" s="12" t="n">
        <v>114.6</v>
      </c>
      <c r="P391" s="12"/>
      <c r="Q391" s="12" t="n">
        <v>40.9</v>
      </c>
      <c r="R391" s="14" t="n">
        <v>0.016</v>
      </c>
      <c r="S391" s="6" t="n">
        <v>0</v>
      </c>
      <c r="T391" s="6"/>
      <c r="U391" s="14" t="n">
        <v>0</v>
      </c>
      <c r="V391" s="15" t="n">
        <f aca="false">60*R391+0.5*(1-(Q391/N391)^2)</f>
        <v>1.39631349956903</v>
      </c>
      <c r="W391" s="14"/>
      <c r="X391" s="10" t="s">
        <v>335</v>
      </c>
      <c r="Y391" s="16" t="n">
        <v>18.39</v>
      </c>
      <c r="Z391" s="17" t="s">
        <v>48</v>
      </c>
      <c r="AA391" s="6" t="s">
        <v>802</v>
      </c>
      <c r="AB391" s="18" t="n">
        <f aca="false">IF(O391="","",$D$3*PI()*(O391/1000)^2/4*3600)</f>
        <v>55.6997026154661</v>
      </c>
      <c r="AC391" s="19" t="n">
        <f aca="false">IF(OR(U391="",NOT(ISNUMBER(U391))),"",U391*$D$3^2/(2*$H$3))</f>
        <v>0</v>
      </c>
      <c r="AD391" s="20" t="n">
        <f aca="false">IF(OR(U391="",NOT(ISNUMBER(U391))),"",U391*$D$3^2/2*$F$3)</f>
        <v>0</v>
      </c>
      <c r="AE391" s="19" t="n">
        <f aca="false">IF(OR(V391="",NOT(ISNUMBER(V391))),"",V391*$D$3^2/(2*$H$3))</f>
        <v>0.160127694904705</v>
      </c>
      <c r="AF391" s="20" t="n">
        <f aca="false">IF(OR(V391="",NOT(ISNUMBER(V391))),"",V391*$D$3^2/2*$F$3)</f>
        <v>1570.85268701516</v>
      </c>
      <c r="AG391" s="19" t="str">
        <f aca="false">IF(OR(W391="",NOT(ISNUMBER(W391))),"",W391*$D$3^2/(2*$H$3))</f>
        <v/>
      </c>
      <c r="AH391" s="20" t="str">
        <f aca="false">IF(OR(W391="",NOT(ISNUMBER(W391))),"",W391*$D$3^2/2*$F$3)</f>
        <v/>
      </c>
    </row>
    <row r="392" customFormat="false" ht="15" hidden="false" customHeight="false" outlineLevel="0" collapsed="false">
      <c r="A392" s="10" t="s">
        <v>871</v>
      </c>
      <c r="B392" s="21" t="s">
        <v>797</v>
      </c>
      <c r="C392" s="6" t="s">
        <v>798</v>
      </c>
      <c r="D392" s="6" t="s">
        <v>872</v>
      </c>
      <c r="E392" s="6" t="s">
        <v>800</v>
      </c>
      <c r="F392" s="6" t="s">
        <v>334</v>
      </c>
      <c r="G392" s="6" t="n">
        <v>140</v>
      </c>
      <c r="H392" s="6"/>
      <c r="I392" s="6" t="s">
        <v>133</v>
      </c>
      <c r="J392" s="6" t="n">
        <v>6</v>
      </c>
      <c r="K392" s="6" t="s">
        <v>801</v>
      </c>
      <c r="L392" s="6"/>
      <c r="M392" s="6"/>
      <c r="N392" s="12" t="n">
        <v>114.6</v>
      </c>
      <c r="O392" s="12" t="n">
        <v>114.6</v>
      </c>
      <c r="P392" s="12"/>
      <c r="Q392" s="12" t="n">
        <v>52.5</v>
      </c>
      <c r="R392" s="14" t="n">
        <v>0.016</v>
      </c>
      <c r="S392" s="6" t="n">
        <v>0</v>
      </c>
      <c r="T392" s="6"/>
      <c r="U392" s="14" t="n">
        <v>0</v>
      </c>
      <c r="V392" s="15" t="n">
        <f aca="false">60*R392+0.5*(1-(Q392/N392)^2)</f>
        <v>1.35506523943971</v>
      </c>
      <c r="W392" s="14"/>
      <c r="X392" s="10" t="s">
        <v>335</v>
      </c>
      <c r="Y392" s="16" t="n">
        <v>18.39</v>
      </c>
      <c r="Z392" s="17" t="s">
        <v>48</v>
      </c>
      <c r="AA392" s="6" t="s">
        <v>802</v>
      </c>
      <c r="AB392" s="18" t="n">
        <f aca="false">IF(O392="","",$D$3*PI()*(O392/1000)^2/4*3600)</f>
        <v>55.6997026154661</v>
      </c>
      <c r="AC392" s="19" t="n">
        <f aca="false">IF(OR(U392="",NOT(ISNUMBER(U392))),"",U392*$D$3^2/(2*$H$3))</f>
        <v>0</v>
      </c>
      <c r="AD392" s="20" t="n">
        <f aca="false">IF(OR(U392="",NOT(ISNUMBER(U392))),"",U392*$D$3^2/2*$F$3)</f>
        <v>0</v>
      </c>
      <c r="AE392" s="19" t="n">
        <f aca="false">IF(OR(V392="",NOT(ISNUMBER(V392))),"",V392*$D$3^2/(2*$H$3))</f>
        <v>0.155397389844003</v>
      </c>
      <c r="AF392" s="20" t="n">
        <f aca="false">IF(OR(V392="",NOT(ISNUMBER(V392))),"",V392*$D$3^2/2*$F$3)</f>
        <v>1524.44839436967</v>
      </c>
      <c r="AG392" s="19" t="str">
        <f aca="false">IF(OR(W392="",NOT(ISNUMBER(W392))),"",W392*$D$3^2/(2*$H$3))</f>
        <v/>
      </c>
      <c r="AH392" s="20" t="str">
        <f aca="false">IF(OR(W392="",NOT(ISNUMBER(W392))),"",W392*$D$3^2/2*$F$3)</f>
        <v/>
      </c>
    </row>
    <row r="393" customFormat="false" ht="15" hidden="false" customHeight="false" outlineLevel="0" collapsed="false">
      <c r="A393" s="10" t="s">
        <v>873</v>
      </c>
      <c r="B393" s="21" t="s">
        <v>797</v>
      </c>
      <c r="C393" s="6" t="s">
        <v>798</v>
      </c>
      <c r="D393" s="6" t="s">
        <v>874</v>
      </c>
      <c r="E393" s="6" t="s">
        <v>800</v>
      </c>
      <c r="F393" s="6" t="s">
        <v>334</v>
      </c>
      <c r="G393" s="6" t="n">
        <v>140</v>
      </c>
      <c r="H393" s="6"/>
      <c r="I393" s="6" t="s">
        <v>139</v>
      </c>
      <c r="J393" s="6" t="n">
        <v>6</v>
      </c>
      <c r="K393" s="6" t="s">
        <v>801</v>
      </c>
      <c r="L393" s="6"/>
      <c r="M393" s="6"/>
      <c r="N393" s="12" t="n">
        <v>114.6</v>
      </c>
      <c r="O393" s="12" t="n">
        <v>114.6</v>
      </c>
      <c r="P393" s="12"/>
      <c r="Q393" s="12" t="n">
        <v>77.9</v>
      </c>
      <c r="R393" s="14" t="n">
        <v>0.016</v>
      </c>
      <c r="S393" s="6" t="n">
        <v>0</v>
      </c>
      <c r="T393" s="6"/>
      <c r="U393" s="14" t="n">
        <v>0</v>
      </c>
      <c r="V393" s="15" t="n">
        <f aca="false">60*R393+0.5*(1-(Q393/N393)^2)</f>
        <v>1.22896611325835</v>
      </c>
      <c r="W393" s="14"/>
      <c r="X393" s="10" t="s">
        <v>335</v>
      </c>
      <c r="Y393" s="16" t="n">
        <v>18.39</v>
      </c>
      <c r="Z393" s="17" t="s">
        <v>48</v>
      </c>
      <c r="AA393" s="6" t="s">
        <v>802</v>
      </c>
      <c r="AB393" s="18" t="n">
        <f aca="false">IF(O393="","",$D$3*PI()*(O393/1000)^2/4*3600)</f>
        <v>55.6997026154661</v>
      </c>
      <c r="AC393" s="19" t="n">
        <f aca="false">IF(OR(U393="",NOT(ISNUMBER(U393))),"",U393*$D$3^2/(2*$H$3))</f>
        <v>0</v>
      </c>
      <c r="AD393" s="20" t="n">
        <f aca="false">IF(OR(U393="",NOT(ISNUMBER(U393))),"",U393*$D$3^2/2*$F$3)</f>
        <v>0</v>
      </c>
      <c r="AE393" s="19" t="n">
        <f aca="false">IF(OR(V393="",NOT(ISNUMBER(V393))),"",V393*$D$3^2/(2*$H$3))</f>
        <v>0.140936480878251</v>
      </c>
      <c r="AF393" s="20" t="n">
        <f aca="false">IF(OR(V393="",NOT(ISNUMBER(V393))),"",V393*$D$3^2/2*$F$3)</f>
        <v>1382.58687741564</v>
      </c>
      <c r="AG393" s="19" t="str">
        <f aca="false">IF(OR(W393="",NOT(ISNUMBER(W393))),"",W393*$D$3^2/(2*$H$3))</f>
        <v/>
      </c>
      <c r="AH393" s="20" t="str">
        <f aca="false">IF(OR(W393="",NOT(ISNUMBER(W393))),"",W393*$D$3^2/2*$F$3)</f>
        <v/>
      </c>
    </row>
    <row r="394" customFormat="false" ht="15" hidden="false" customHeight="false" outlineLevel="0" collapsed="false">
      <c r="A394" s="10" t="s">
        <v>875</v>
      </c>
      <c r="B394" s="21" t="s">
        <v>797</v>
      </c>
      <c r="C394" s="6" t="s">
        <v>798</v>
      </c>
      <c r="D394" s="6" t="s">
        <v>876</v>
      </c>
      <c r="E394" s="6" t="s">
        <v>800</v>
      </c>
      <c r="F394" s="6" t="s">
        <v>334</v>
      </c>
      <c r="G394" s="6" t="n">
        <v>160</v>
      </c>
      <c r="H394" s="6"/>
      <c r="I394" s="6" t="s">
        <v>118</v>
      </c>
      <c r="J394" s="6" t="n">
        <v>6</v>
      </c>
      <c r="K394" s="6" t="s">
        <v>801</v>
      </c>
      <c r="L394" s="6"/>
      <c r="M394" s="6"/>
      <c r="N394" s="12" t="n">
        <v>130.8</v>
      </c>
      <c r="O394" s="12" t="n">
        <v>130.8</v>
      </c>
      <c r="P394" s="12"/>
      <c r="Q394" s="12" t="n">
        <v>26.6</v>
      </c>
      <c r="R394" s="14" t="n">
        <v>0.015</v>
      </c>
      <c r="S394" s="6" t="n">
        <v>0</v>
      </c>
      <c r="T394" s="6"/>
      <c r="U394" s="14" t="n">
        <v>0</v>
      </c>
      <c r="V394" s="15" t="n">
        <f aca="false">60*R394+0.5*(1-(Q394/N394)^2)</f>
        <v>1.37932155916543</v>
      </c>
      <c r="W394" s="14"/>
      <c r="X394" s="10" t="s">
        <v>335</v>
      </c>
      <c r="Y394" s="16" t="n">
        <v>23.45</v>
      </c>
      <c r="Z394" s="17" t="s">
        <v>48</v>
      </c>
      <c r="AA394" s="6" t="s">
        <v>802</v>
      </c>
      <c r="AB394" s="18" t="n">
        <f aca="false">IF(O394="","",$D$3*PI()*(O394/1000)^2/4*3600)</f>
        <v>72.5603099448318</v>
      </c>
      <c r="AC394" s="19" t="n">
        <f aca="false">IF(OR(U394="",NOT(ISNUMBER(U394))),"",U394*$D$3^2/(2*$H$3))</f>
        <v>0</v>
      </c>
      <c r="AD394" s="20" t="n">
        <f aca="false">IF(OR(U394="",NOT(ISNUMBER(U394))),"",U394*$D$3^2/2*$F$3)</f>
        <v>0</v>
      </c>
      <c r="AE394" s="19" t="n">
        <f aca="false">IF(OR(V394="",NOT(ISNUMBER(V394))),"",V394*$D$3^2/(2*$H$3))</f>
        <v>0.158179077885944</v>
      </c>
      <c r="AF394" s="20" t="n">
        <f aca="false">IF(OR(V394="",NOT(ISNUMBER(V394))),"",V394*$D$3^2/2*$F$3)</f>
        <v>1551.73675406111</v>
      </c>
      <c r="AG394" s="19" t="str">
        <f aca="false">IF(OR(W394="",NOT(ISNUMBER(W394))),"",W394*$D$3^2/(2*$H$3))</f>
        <v/>
      </c>
      <c r="AH394" s="20" t="str">
        <f aca="false">IF(OR(W394="",NOT(ISNUMBER(W394))),"",W394*$D$3^2/2*$F$3)</f>
        <v/>
      </c>
    </row>
    <row r="395" customFormat="false" ht="15" hidden="false" customHeight="false" outlineLevel="0" collapsed="false">
      <c r="A395" s="10" t="s">
        <v>877</v>
      </c>
      <c r="B395" s="21" t="s">
        <v>797</v>
      </c>
      <c r="C395" s="6" t="s">
        <v>798</v>
      </c>
      <c r="D395" s="6" t="s">
        <v>878</v>
      </c>
      <c r="E395" s="6" t="s">
        <v>800</v>
      </c>
      <c r="F395" s="6" t="s">
        <v>334</v>
      </c>
      <c r="G395" s="6" t="n">
        <v>160</v>
      </c>
      <c r="H395" s="6"/>
      <c r="I395" s="6" t="s">
        <v>130</v>
      </c>
      <c r="J395" s="6" t="n">
        <v>6</v>
      </c>
      <c r="K395" s="6" t="s">
        <v>801</v>
      </c>
      <c r="L395" s="6"/>
      <c r="M395" s="6"/>
      <c r="N395" s="12" t="n">
        <v>130.8</v>
      </c>
      <c r="O395" s="12" t="n">
        <v>130.8</v>
      </c>
      <c r="P395" s="12"/>
      <c r="Q395" s="12" t="n">
        <v>40.9</v>
      </c>
      <c r="R395" s="14" t="n">
        <v>0.015</v>
      </c>
      <c r="S395" s="6" t="n">
        <v>0</v>
      </c>
      <c r="T395" s="6"/>
      <c r="U395" s="14" t="n">
        <v>0</v>
      </c>
      <c r="V395" s="15" t="n">
        <f aca="false">60*R395+0.5*(1-(Q395/N395)^2)</f>
        <v>1.3511121281411</v>
      </c>
      <c r="W395" s="14"/>
      <c r="X395" s="10" t="s">
        <v>335</v>
      </c>
      <c r="Y395" s="16" t="n">
        <v>23.45</v>
      </c>
      <c r="Z395" s="17" t="s">
        <v>48</v>
      </c>
      <c r="AA395" s="6" t="s">
        <v>802</v>
      </c>
      <c r="AB395" s="18" t="n">
        <f aca="false">IF(O395="","",$D$3*PI()*(O395/1000)^2/4*3600)</f>
        <v>72.5603099448318</v>
      </c>
      <c r="AC395" s="19" t="n">
        <f aca="false">IF(OR(U395="",NOT(ISNUMBER(U395))),"",U395*$D$3^2/(2*$H$3))</f>
        <v>0</v>
      </c>
      <c r="AD395" s="20" t="n">
        <f aca="false">IF(OR(U395="",NOT(ISNUMBER(U395))),"",U395*$D$3^2/2*$F$3)</f>
        <v>0</v>
      </c>
      <c r="AE395" s="19" t="n">
        <f aca="false">IF(OR(V395="",NOT(ISNUMBER(V395))),"",V395*$D$3^2/(2*$H$3))</f>
        <v>0.154944051392328</v>
      </c>
      <c r="AF395" s="20" t="n">
        <f aca="false">IF(OR(V395="",NOT(ISNUMBER(V395))),"",V395*$D$3^2/2*$F$3)</f>
        <v>1520.00114415874</v>
      </c>
      <c r="AG395" s="19" t="str">
        <f aca="false">IF(OR(W395="",NOT(ISNUMBER(W395))),"",W395*$D$3^2/(2*$H$3))</f>
        <v/>
      </c>
      <c r="AH395" s="20" t="str">
        <f aca="false">IF(OR(W395="",NOT(ISNUMBER(W395))),"",W395*$D$3^2/2*$F$3)</f>
        <v/>
      </c>
    </row>
    <row r="396" customFormat="false" ht="15" hidden="false" customHeight="false" outlineLevel="0" collapsed="false">
      <c r="A396" s="10" t="s">
        <v>879</v>
      </c>
      <c r="B396" s="21" t="s">
        <v>797</v>
      </c>
      <c r="C396" s="6" t="s">
        <v>798</v>
      </c>
      <c r="D396" s="6" t="s">
        <v>880</v>
      </c>
      <c r="E396" s="6" t="s">
        <v>800</v>
      </c>
      <c r="F396" s="6" t="s">
        <v>334</v>
      </c>
      <c r="G396" s="6" t="n">
        <v>160</v>
      </c>
      <c r="H396" s="6"/>
      <c r="I396" s="6" t="s">
        <v>133</v>
      </c>
      <c r="J396" s="6" t="n">
        <v>6</v>
      </c>
      <c r="K396" s="6" t="s">
        <v>801</v>
      </c>
      <c r="L396" s="6"/>
      <c r="M396" s="6"/>
      <c r="N396" s="12" t="n">
        <v>130.8</v>
      </c>
      <c r="O396" s="12" t="n">
        <v>130.8</v>
      </c>
      <c r="P396" s="12"/>
      <c r="Q396" s="12" t="n">
        <v>52.5</v>
      </c>
      <c r="R396" s="14" t="n">
        <v>0.015</v>
      </c>
      <c r="S396" s="6" t="n">
        <v>0</v>
      </c>
      <c r="T396" s="6"/>
      <c r="U396" s="14" t="n">
        <v>0</v>
      </c>
      <c r="V396" s="15" t="n">
        <f aca="false">60*R396+0.5*(1-(Q396/N396)^2)</f>
        <v>1.31944859439441</v>
      </c>
      <c r="W396" s="14"/>
      <c r="X396" s="10" t="s">
        <v>335</v>
      </c>
      <c r="Y396" s="16" t="n">
        <v>23.45</v>
      </c>
      <c r="Z396" s="17" t="s">
        <v>48</v>
      </c>
      <c r="AA396" s="6" t="s">
        <v>802</v>
      </c>
      <c r="AB396" s="18" t="n">
        <f aca="false">IF(O396="","",$D$3*PI()*(O396/1000)^2/4*3600)</f>
        <v>72.5603099448318</v>
      </c>
      <c r="AC396" s="19" t="n">
        <f aca="false">IF(OR(U396="",NOT(ISNUMBER(U396))),"",U396*$D$3^2/(2*$H$3))</f>
        <v>0</v>
      </c>
      <c r="AD396" s="20" t="n">
        <f aca="false">IF(OR(U396="",NOT(ISNUMBER(U396))),"",U396*$D$3^2/2*$F$3)</f>
        <v>0</v>
      </c>
      <c r="AE396" s="19" t="n">
        <f aca="false">IF(OR(V396="",NOT(ISNUMBER(V396))),"",V396*$D$3^2/(2*$H$3))</f>
        <v>0.151312912201194</v>
      </c>
      <c r="AF396" s="20" t="n">
        <f aca="false">IF(OR(V396="",NOT(ISNUMBER(V396))),"",V396*$D$3^2/2*$F$3)</f>
        <v>1484.37966869371</v>
      </c>
      <c r="AG396" s="19" t="str">
        <f aca="false">IF(OR(W396="",NOT(ISNUMBER(W396))),"",W396*$D$3^2/(2*$H$3))</f>
        <v/>
      </c>
      <c r="AH396" s="20" t="str">
        <f aca="false">IF(OR(W396="",NOT(ISNUMBER(W396))),"",W396*$D$3^2/2*$F$3)</f>
        <v/>
      </c>
    </row>
    <row r="397" customFormat="false" ht="15" hidden="false" customHeight="false" outlineLevel="0" collapsed="false">
      <c r="A397" s="10" t="s">
        <v>881</v>
      </c>
      <c r="B397" s="21" t="s">
        <v>797</v>
      </c>
      <c r="C397" s="6" t="s">
        <v>798</v>
      </c>
      <c r="D397" s="6" t="s">
        <v>882</v>
      </c>
      <c r="E397" s="6" t="s">
        <v>800</v>
      </c>
      <c r="F397" s="6" t="s">
        <v>334</v>
      </c>
      <c r="G397" s="6" t="n">
        <v>160</v>
      </c>
      <c r="H397" s="6"/>
      <c r="I397" s="6" t="s">
        <v>139</v>
      </c>
      <c r="J397" s="6" t="n">
        <v>6</v>
      </c>
      <c r="K397" s="6" t="s">
        <v>801</v>
      </c>
      <c r="L397" s="6"/>
      <c r="M397" s="6"/>
      <c r="N397" s="12" t="n">
        <v>130.8</v>
      </c>
      <c r="O397" s="12" t="n">
        <v>130.8</v>
      </c>
      <c r="P397" s="12"/>
      <c r="Q397" s="12" t="n">
        <v>77.9</v>
      </c>
      <c r="R397" s="14" t="n">
        <v>0.015</v>
      </c>
      <c r="S397" s="6" t="n">
        <v>0</v>
      </c>
      <c r="T397" s="6"/>
      <c r="U397" s="14" t="n">
        <v>0</v>
      </c>
      <c r="V397" s="15" t="n">
        <f aca="false">60*R397+0.5*(1-(Q397/N397)^2)</f>
        <v>1.22265071916879</v>
      </c>
      <c r="W397" s="14"/>
      <c r="X397" s="10" t="s">
        <v>335</v>
      </c>
      <c r="Y397" s="16" t="n">
        <v>23.45</v>
      </c>
      <c r="Z397" s="17" t="s">
        <v>48</v>
      </c>
      <c r="AA397" s="6" t="s">
        <v>802</v>
      </c>
      <c r="AB397" s="18" t="n">
        <f aca="false">IF(O397="","",$D$3*PI()*(O397/1000)^2/4*3600)</f>
        <v>72.5603099448318</v>
      </c>
      <c r="AC397" s="19" t="n">
        <f aca="false">IF(OR(U397="",NOT(ISNUMBER(U397))),"",U397*$D$3^2/(2*$H$3))</f>
        <v>0</v>
      </c>
      <c r="AD397" s="20" t="n">
        <f aca="false">IF(OR(U397="",NOT(ISNUMBER(U397))),"",U397*$D$3^2/2*$F$3)</f>
        <v>0</v>
      </c>
      <c r="AE397" s="19" t="n">
        <f aca="false">IF(OR(V397="",NOT(ISNUMBER(V397))),"",V397*$D$3^2/(2*$H$3))</f>
        <v>0.140212238436788</v>
      </c>
      <c r="AF397" s="20" t="n">
        <f aca="false">IF(OR(V397="",NOT(ISNUMBER(V397))),"",V397*$D$3^2/2*$F$3)</f>
        <v>1375.48205906489</v>
      </c>
      <c r="AG397" s="19" t="str">
        <f aca="false">IF(OR(W397="",NOT(ISNUMBER(W397))),"",W397*$D$3^2/(2*$H$3))</f>
        <v/>
      </c>
      <c r="AH397" s="20" t="str">
        <f aca="false">IF(OR(W397="",NOT(ISNUMBER(W397))),"",W397*$D$3^2/2*$F$3)</f>
        <v/>
      </c>
    </row>
    <row r="398" customFormat="false" ht="15" hidden="false" customHeight="false" outlineLevel="0" collapsed="false">
      <c r="A398" s="10" t="s">
        <v>883</v>
      </c>
      <c r="B398" s="21" t="s">
        <v>797</v>
      </c>
      <c r="C398" s="6" t="s">
        <v>798</v>
      </c>
      <c r="D398" s="6" t="s">
        <v>884</v>
      </c>
      <c r="E398" s="6" t="s">
        <v>800</v>
      </c>
      <c r="F398" s="6" t="s">
        <v>334</v>
      </c>
      <c r="G398" s="6" t="n">
        <v>200</v>
      </c>
      <c r="H398" s="6"/>
      <c r="I398" s="6" t="s">
        <v>127</v>
      </c>
      <c r="J398" s="6" t="n">
        <v>6</v>
      </c>
      <c r="K398" s="6" t="s">
        <v>801</v>
      </c>
      <c r="L398" s="6"/>
      <c r="M398" s="6"/>
      <c r="N398" s="12" t="n">
        <v>163.6</v>
      </c>
      <c r="O398" s="12" t="n">
        <v>163.6</v>
      </c>
      <c r="P398" s="12"/>
      <c r="Q398" s="12" t="n">
        <v>35.1</v>
      </c>
      <c r="R398" s="14" t="n">
        <v>0.014</v>
      </c>
      <c r="S398" s="6" t="n">
        <v>0</v>
      </c>
      <c r="T398" s="6"/>
      <c r="U398" s="14" t="n">
        <v>0</v>
      </c>
      <c r="V398" s="15" t="n">
        <f aca="false">60*R398+0.5*(1-(Q398/N398)^2)</f>
        <v>1.31698464709082</v>
      </c>
      <c r="W398" s="14"/>
      <c r="X398" s="10" t="s">
        <v>335</v>
      </c>
      <c r="Y398" s="16" t="n">
        <v>75.5</v>
      </c>
      <c r="Z398" s="17" t="s">
        <v>48</v>
      </c>
      <c r="AA398" s="6" t="s">
        <v>802</v>
      </c>
      <c r="AB398" s="18" t="n">
        <f aca="false">IF(O398="","",$D$3*PI()*(O398/1000)^2/4*3600)</f>
        <v>113.514212307993</v>
      </c>
      <c r="AC398" s="19" t="n">
        <f aca="false">IF(OR(U398="",NOT(ISNUMBER(U398))),"",U398*$D$3^2/(2*$H$3))</f>
        <v>0</v>
      </c>
      <c r="AD398" s="20" t="n">
        <f aca="false">IF(OR(U398="",NOT(ISNUMBER(U398))),"",U398*$D$3^2/2*$F$3)</f>
        <v>0</v>
      </c>
      <c r="AE398" s="19" t="n">
        <f aca="false">IF(OR(V398="",NOT(ISNUMBER(V398))),"",V398*$D$3^2/(2*$H$3))</f>
        <v>0.151030349437021</v>
      </c>
      <c r="AF398" s="20" t="n">
        <f aca="false">IF(OR(V398="",NOT(ISNUMBER(V398))),"",V398*$D$3^2/2*$F$3)</f>
        <v>1481.60772797718</v>
      </c>
      <c r="AG398" s="19" t="str">
        <f aca="false">IF(OR(W398="",NOT(ISNUMBER(W398))),"",W398*$D$3^2/(2*$H$3))</f>
        <v/>
      </c>
      <c r="AH398" s="20" t="str">
        <f aca="false">IF(OR(W398="",NOT(ISNUMBER(W398))),"",W398*$D$3^2/2*$F$3)</f>
        <v/>
      </c>
    </row>
    <row r="399" customFormat="false" ht="15" hidden="false" customHeight="false" outlineLevel="0" collapsed="false">
      <c r="A399" s="10" t="s">
        <v>885</v>
      </c>
      <c r="B399" s="21" t="s">
        <v>797</v>
      </c>
      <c r="C399" s="6" t="s">
        <v>798</v>
      </c>
      <c r="D399" s="6" t="s">
        <v>886</v>
      </c>
      <c r="E399" s="6" t="s">
        <v>800</v>
      </c>
      <c r="F399" s="6" t="s">
        <v>334</v>
      </c>
      <c r="G399" s="6" t="n">
        <v>200</v>
      </c>
      <c r="H399" s="6"/>
      <c r="I399" s="6" t="s">
        <v>130</v>
      </c>
      <c r="J399" s="6" t="n">
        <v>6</v>
      </c>
      <c r="K399" s="6" t="s">
        <v>801</v>
      </c>
      <c r="L399" s="6"/>
      <c r="M399" s="6"/>
      <c r="N399" s="12" t="n">
        <v>163.6</v>
      </c>
      <c r="O399" s="12" t="n">
        <v>163.6</v>
      </c>
      <c r="P399" s="12"/>
      <c r="Q399" s="12" t="n">
        <v>40.9</v>
      </c>
      <c r="R399" s="14" t="n">
        <v>0.014</v>
      </c>
      <c r="S399" s="6" t="n">
        <v>0</v>
      </c>
      <c r="T399" s="6"/>
      <c r="U399" s="14" t="n">
        <v>0</v>
      </c>
      <c r="V399" s="15" t="n">
        <f aca="false">60*R399+0.5*(1-(Q399/N399)^2)</f>
        <v>1.30875</v>
      </c>
      <c r="W399" s="14"/>
      <c r="X399" s="10" t="s">
        <v>335</v>
      </c>
      <c r="Y399" s="16" t="n">
        <v>75.5</v>
      </c>
      <c r="Z399" s="17" t="s">
        <v>48</v>
      </c>
      <c r="AA399" s="6" t="s">
        <v>802</v>
      </c>
      <c r="AB399" s="18" t="n">
        <f aca="false">IF(O399="","",$D$3*PI()*(O399/1000)^2/4*3600)</f>
        <v>113.514212307993</v>
      </c>
      <c r="AC399" s="19" t="n">
        <f aca="false">IF(OR(U399="",NOT(ISNUMBER(U399))),"",U399*$D$3^2/(2*$H$3))</f>
        <v>0</v>
      </c>
      <c r="AD399" s="20" t="n">
        <f aca="false">IF(OR(U399="",NOT(ISNUMBER(U399))),"",U399*$D$3^2/2*$F$3)</f>
        <v>0</v>
      </c>
      <c r="AE399" s="19" t="n">
        <f aca="false">IF(OR(V399="",NOT(ISNUMBER(V399))),"",V399*$D$3^2/(2*$H$3))</f>
        <v>0.150086009174312</v>
      </c>
      <c r="AF399" s="20" t="n">
        <f aca="false">IF(OR(V399="",NOT(ISNUMBER(V399))),"",V399*$D$3^2/2*$F$3)</f>
        <v>1472.34375</v>
      </c>
      <c r="AG399" s="19" t="str">
        <f aca="false">IF(OR(W399="",NOT(ISNUMBER(W399))),"",W399*$D$3^2/(2*$H$3))</f>
        <v/>
      </c>
      <c r="AH399" s="20" t="str">
        <f aca="false">IF(OR(W399="",NOT(ISNUMBER(W399))),"",W399*$D$3^2/2*$F$3)</f>
        <v/>
      </c>
    </row>
    <row r="400" customFormat="false" ht="15" hidden="false" customHeight="false" outlineLevel="0" collapsed="false">
      <c r="A400" s="10" t="s">
        <v>887</v>
      </c>
      <c r="B400" s="21" t="s">
        <v>797</v>
      </c>
      <c r="C400" s="6" t="s">
        <v>798</v>
      </c>
      <c r="D400" s="6" t="s">
        <v>888</v>
      </c>
      <c r="E400" s="6" t="s">
        <v>800</v>
      </c>
      <c r="F400" s="6" t="s">
        <v>334</v>
      </c>
      <c r="G400" s="6" t="n">
        <v>200</v>
      </c>
      <c r="H400" s="6"/>
      <c r="I400" s="6" t="s">
        <v>133</v>
      </c>
      <c r="J400" s="6" t="n">
        <v>6</v>
      </c>
      <c r="K400" s="6" t="s">
        <v>801</v>
      </c>
      <c r="L400" s="6"/>
      <c r="M400" s="6"/>
      <c r="N400" s="12" t="n">
        <v>163.6</v>
      </c>
      <c r="O400" s="12" t="n">
        <v>163.6</v>
      </c>
      <c r="P400" s="12"/>
      <c r="Q400" s="12" t="n">
        <v>52.5</v>
      </c>
      <c r="R400" s="14" t="n">
        <v>0.014</v>
      </c>
      <c r="S400" s="6" t="n">
        <v>0</v>
      </c>
      <c r="T400" s="6"/>
      <c r="U400" s="14" t="n">
        <v>0</v>
      </c>
      <c r="V400" s="15" t="n">
        <f aca="false">60*R400+0.5*(1-(Q400/N400)^2)</f>
        <v>1.28851010425571</v>
      </c>
      <c r="W400" s="14"/>
      <c r="X400" s="10" t="s">
        <v>335</v>
      </c>
      <c r="Y400" s="16" t="n">
        <v>75.5</v>
      </c>
      <c r="Z400" s="17" t="s">
        <v>48</v>
      </c>
      <c r="AA400" s="6" t="s">
        <v>802</v>
      </c>
      <c r="AB400" s="18" t="n">
        <f aca="false">IF(O400="","",$D$3*PI()*(O400/1000)^2/4*3600)</f>
        <v>113.514212307993</v>
      </c>
      <c r="AC400" s="19" t="n">
        <f aca="false">IF(OR(U400="",NOT(ISNUMBER(U400))),"",U400*$D$3^2/(2*$H$3))</f>
        <v>0</v>
      </c>
      <c r="AD400" s="20" t="n">
        <f aca="false">IF(OR(U400="",NOT(ISNUMBER(U400))),"",U400*$D$3^2/2*$F$3)</f>
        <v>0</v>
      </c>
      <c r="AE400" s="19" t="n">
        <f aca="false">IF(OR(V400="",NOT(ISNUMBER(V400))),"",V400*$D$3^2/(2*$H$3))</f>
        <v>0.147764920212811</v>
      </c>
      <c r="AF400" s="20" t="n">
        <f aca="false">IF(OR(V400="",NOT(ISNUMBER(V400))),"",V400*$D$3^2/2*$F$3)</f>
        <v>1449.57386728768</v>
      </c>
      <c r="AG400" s="19" t="str">
        <f aca="false">IF(OR(W400="",NOT(ISNUMBER(W400))),"",W400*$D$3^2/(2*$H$3))</f>
        <v/>
      </c>
      <c r="AH400" s="20" t="str">
        <f aca="false">IF(OR(W400="",NOT(ISNUMBER(W400))),"",W400*$D$3^2/2*$F$3)</f>
        <v/>
      </c>
    </row>
    <row r="401" customFormat="false" ht="15" hidden="false" customHeight="false" outlineLevel="0" collapsed="false">
      <c r="A401" s="10" t="s">
        <v>889</v>
      </c>
      <c r="B401" s="21" t="s">
        <v>797</v>
      </c>
      <c r="C401" s="6" t="s">
        <v>798</v>
      </c>
      <c r="D401" s="6" t="s">
        <v>890</v>
      </c>
      <c r="E401" s="6" t="s">
        <v>800</v>
      </c>
      <c r="F401" s="6" t="s">
        <v>334</v>
      </c>
      <c r="G401" s="6" t="n">
        <v>200</v>
      </c>
      <c r="H401" s="6"/>
      <c r="I401" s="6" t="s">
        <v>139</v>
      </c>
      <c r="J401" s="6" t="n">
        <v>6</v>
      </c>
      <c r="K401" s="6" t="s">
        <v>801</v>
      </c>
      <c r="L401" s="6"/>
      <c r="M401" s="6"/>
      <c r="N401" s="12" t="n">
        <v>163.6</v>
      </c>
      <c r="O401" s="12" t="n">
        <v>163.6</v>
      </c>
      <c r="P401" s="12"/>
      <c r="Q401" s="12" t="n">
        <v>77.9</v>
      </c>
      <c r="R401" s="14" t="n">
        <v>0.014</v>
      </c>
      <c r="S401" s="6" t="n">
        <v>0</v>
      </c>
      <c r="T401" s="6"/>
      <c r="U401" s="14" t="n">
        <v>0</v>
      </c>
      <c r="V401" s="15" t="n">
        <f aca="false">60*R401+0.5*(1-(Q401/N401)^2)</f>
        <v>1.22663517524405</v>
      </c>
      <c r="W401" s="14"/>
      <c r="X401" s="10" t="s">
        <v>335</v>
      </c>
      <c r="Y401" s="16" t="n">
        <v>75.5</v>
      </c>
      <c r="Z401" s="17" t="s">
        <v>48</v>
      </c>
      <c r="AA401" s="6" t="s">
        <v>802</v>
      </c>
      <c r="AB401" s="18" t="n">
        <f aca="false">IF(O401="","",$D$3*PI()*(O401/1000)^2/4*3600)</f>
        <v>113.514212307993</v>
      </c>
      <c r="AC401" s="19" t="n">
        <f aca="false">IF(OR(U401="",NOT(ISNUMBER(U401))),"",U401*$D$3^2/(2*$H$3))</f>
        <v>0</v>
      </c>
      <c r="AD401" s="20" t="n">
        <f aca="false">IF(OR(U401="",NOT(ISNUMBER(U401))),"",U401*$D$3^2/2*$F$3)</f>
        <v>0</v>
      </c>
      <c r="AE401" s="19" t="n">
        <f aca="false">IF(OR(V401="",NOT(ISNUMBER(V401))),"",V401*$D$3^2/(2*$H$3))</f>
        <v>0.140669171472942</v>
      </c>
      <c r="AF401" s="20" t="n">
        <f aca="false">IF(OR(V401="",NOT(ISNUMBER(V401))),"",V401*$D$3^2/2*$F$3)</f>
        <v>1379.96457214956</v>
      </c>
      <c r="AG401" s="19" t="str">
        <f aca="false">IF(OR(W401="",NOT(ISNUMBER(W401))),"",W401*$D$3^2/(2*$H$3))</f>
        <v/>
      </c>
      <c r="AH401" s="20" t="str">
        <f aca="false">IF(OR(W401="",NOT(ISNUMBER(W401))),"",W401*$D$3^2/2*$F$3)</f>
        <v/>
      </c>
    </row>
    <row r="402" customFormat="false" ht="15" hidden="false" customHeight="false" outlineLevel="0" collapsed="false">
      <c r="A402" s="10" t="s">
        <v>891</v>
      </c>
      <c r="B402" s="21" t="s">
        <v>797</v>
      </c>
      <c r="C402" s="6" t="s">
        <v>798</v>
      </c>
      <c r="D402" s="6" t="s">
        <v>892</v>
      </c>
      <c r="E402" s="6" t="s">
        <v>800</v>
      </c>
      <c r="F402" s="6" t="s">
        <v>334</v>
      </c>
      <c r="G402" s="6" t="n">
        <v>200</v>
      </c>
      <c r="H402" s="6"/>
      <c r="I402" s="6" t="s">
        <v>142</v>
      </c>
      <c r="J402" s="6" t="n">
        <v>6</v>
      </c>
      <c r="K402" s="6" t="s">
        <v>801</v>
      </c>
      <c r="L402" s="6"/>
      <c r="M402" s="6"/>
      <c r="N402" s="12" t="n">
        <v>163.6</v>
      </c>
      <c r="O402" s="12" t="n">
        <v>163.6</v>
      </c>
      <c r="P402" s="12"/>
      <c r="Q402" s="12" t="n">
        <v>102.3</v>
      </c>
      <c r="R402" s="14" t="n">
        <v>0.014</v>
      </c>
      <c r="S402" s="6" t="n">
        <v>0</v>
      </c>
      <c r="T402" s="6"/>
      <c r="U402" s="14" t="n">
        <v>0</v>
      </c>
      <c r="V402" s="15" t="n">
        <f aca="false">60*R402+0.5*(1-(Q402/N402)^2)</f>
        <v>1.14449643862722</v>
      </c>
      <c r="W402" s="14"/>
      <c r="X402" s="10" t="s">
        <v>335</v>
      </c>
      <c r="Y402" s="16" t="n">
        <v>75.5</v>
      </c>
      <c r="Z402" s="17" t="s">
        <v>48</v>
      </c>
      <c r="AA402" s="6" t="s">
        <v>802</v>
      </c>
      <c r="AB402" s="18" t="n">
        <f aca="false">IF(O402="","",$D$3*PI()*(O402/1000)^2/4*3600)</f>
        <v>113.514212307993</v>
      </c>
      <c r="AC402" s="19" t="n">
        <f aca="false">IF(OR(U402="",NOT(ISNUMBER(U402))),"",U402*$D$3^2/(2*$H$3))</f>
        <v>0</v>
      </c>
      <c r="AD402" s="20" t="n">
        <f aca="false">IF(OR(U402="",NOT(ISNUMBER(U402))),"",U402*$D$3^2/2*$F$3)</f>
        <v>0</v>
      </c>
      <c r="AE402" s="19" t="n">
        <f aca="false">IF(OR(V402="",NOT(ISNUMBER(V402))),"",V402*$D$3^2/(2*$H$3))</f>
        <v>0.13124959158569</v>
      </c>
      <c r="AF402" s="20" t="n">
        <f aca="false">IF(OR(V402="",NOT(ISNUMBER(V402))),"",V402*$D$3^2/2*$F$3)</f>
        <v>1287.55849345562</v>
      </c>
      <c r="AG402" s="19" t="str">
        <f aca="false">IF(OR(W402="",NOT(ISNUMBER(W402))),"",W402*$D$3^2/(2*$H$3))</f>
        <v/>
      </c>
      <c r="AH402" s="20" t="str">
        <f aca="false">IF(OR(W402="",NOT(ISNUMBER(W402))),"",W402*$D$3^2/2*$F$3)</f>
        <v/>
      </c>
    </row>
    <row r="403" customFormat="false" ht="15" hidden="false" customHeight="false" outlineLevel="0" collapsed="false">
      <c r="A403" s="10" t="s">
        <v>893</v>
      </c>
      <c r="B403" s="21" t="s">
        <v>797</v>
      </c>
      <c r="C403" s="6" t="s">
        <v>798</v>
      </c>
      <c r="D403" s="6" t="s">
        <v>894</v>
      </c>
      <c r="E403" s="6" t="s">
        <v>800</v>
      </c>
      <c r="F403" s="6" t="s">
        <v>334</v>
      </c>
      <c r="G403" s="6" t="n">
        <v>225</v>
      </c>
      <c r="H403" s="6"/>
      <c r="I403" s="6" t="s">
        <v>127</v>
      </c>
      <c r="J403" s="6" t="n">
        <v>6</v>
      </c>
      <c r="K403" s="6" t="s">
        <v>801</v>
      </c>
      <c r="L403" s="6"/>
      <c r="M403" s="6"/>
      <c r="N403" s="12" t="n">
        <v>184</v>
      </c>
      <c r="O403" s="12" t="n">
        <v>184</v>
      </c>
      <c r="P403" s="12"/>
      <c r="Q403" s="12" t="n">
        <v>35.1</v>
      </c>
      <c r="R403" s="14" t="n">
        <v>0.014</v>
      </c>
      <c r="S403" s="6" t="n">
        <v>0</v>
      </c>
      <c r="T403" s="6"/>
      <c r="U403" s="14" t="n">
        <v>0</v>
      </c>
      <c r="V403" s="15" t="n">
        <f aca="false">60*R403+0.5*(1-(Q403/N403)^2)</f>
        <v>1.32180514532136</v>
      </c>
      <c r="W403" s="14"/>
      <c r="X403" s="10" t="s">
        <v>335</v>
      </c>
      <c r="Y403" s="16" t="n">
        <v>85.6</v>
      </c>
      <c r="Z403" s="17" t="s">
        <v>48</v>
      </c>
      <c r="AA403" s="6" t="s">
        <v>802</v>
      </c>
      <c r="AB403" s="18" t="n">
        <f aca="false">IF(O403="","",$D$3*PI()*(O403/1000)^2/4*3600)</f>
        <v>143.588377187914</v>
      </c>
      <c r="AC403" s="19" t="n">
        <f aca="false">IF(OR(U403="",NOT(ISNUMBER(U403))),"",U403*$D$3^2/(2*$H$3))</f>
        <v>0</v>
      </c>
      <c r="AD403" s="20" t="n">
        <f aca="false">IF(OR(U403="",NOT(ISNUMBER(U403))),"",U403*$D$3^2/2*$F$3)</f>
        <v>0</v>
      </c>
      <c r="AE403" s="19" t="n">
        <f aca="false">IF(OR(V403="",NOT(ISNUMBER(V403))),"",V403*$D$3^2/(2*$H$3))</f>
        <v>0.151583158867129</v>
      </c>
      <c r="AF403" s="20" t="n">
        <f aca="false">IF(OR(V403="",NOT(ISNUMBER(V403))),"",V403*$D$3^2/2*$F$3)</f>
        <v>1487.03078848653</v>
      </c>
      <c r="AG403" s="19" t="str">
        <f aca="false">IF(OR(W403="",NOT(ISNUMBER(W403))),"",W403*$D$3^2/(2*$H$3))</f>
        <v/>
      </c>
      <c r="AH403" s="20" t="str">
        <f aca="false">IF(OR(W403="",NOT(ISNUMBER(W403))),"",W403*$D$3^2/2*$F$3)</f>
        <v/>
      </c>
    </row>
    <row r="404" customFormat="false" ht="15" hidden="false" customHeight="false" outlineLevel="0" collapsed="false">
      <c r="A404" s="10" t="s">
        <v>895</v>
      </c>
      <c r="B404" s="21" t="s">
        <v>797</v>
      </c>
      <c r="C404" s="6" t="s">
        <v>798</v>
      </c>
      <c r="D404" s="6" t="s">
        <v>896</v>
      </c>
      <c r="E404" s="6" t="s">
        <v>800</v>
      </c>
      <c r="F404" s="6" t="s">
        <v>334</v>
      </c>
      <c r="G404" s="6" t="n">
        <v>225</v>
      </c>
      <c r="H404" s="6"/>
      <c r="I404" s="6" t="s">
        <v>130</v>
      </c>
      <c r="J404" s="6" t="n">
        <v>6</v>
      </c>
      <c r="K404" s="6" t="s">
        <v>801</v>
      </c>
      <c r="L404" s="6"/>
      <c r="M404" s="6"/>
      <c r="N404" s="12" t="n">
        <v>184</v>
      </c>
      <c r="O404" s="12" t="n">
        <v>184</v>
      </c>
      <c r="P404" s="12"/>
      <c r="Q404" s="12" t="n">
        <v>40.9</v>
      </c>
      <c r="R404" s="14" t="n">
        <v>0.014</v>
      </c>
      <c r="S404" s="6" t="n">
        <v>0</v>
      </c>
      <c r="T404" s="6"/>
      <c r="U404" s="14" t="n">
        <v>0</v>
      </c>
      <c r="V404" s="15" t="n">
        <f aca="false">60*R404+0.5*(1-(Q404/N404)^2)</f>
        <v>1.31529522093573</v>
      </c>
      <c r="W404" s="14"/>
      <c r="X404" s="10" t="s">
        <v>335</v>
      </c>
      <c r="Y404" s="16" t="n">
        <v>85.6</v>
      </c>
      <c r="Z404" s="17" t="s">
        <v>48</v>
      </c>
      <c r="AA404" s="6" t="s">
        <v>802</v>
      </c>
      <c r="AB404" s="18" t="n">
        <f aca="false">IF(O404="","",$D$3*PI()*(O404/1000)^2/4*3600)</f>
        <v>143.588377187914</v>
      </c>
      <c r="AC404" s="19" t="n">
        <f aca="false">IF(OR(U404="",NOT(ISNUMBER(U404))),"",U404*$D$3^2/(2*$H$3))</f>
        <v>0</v>
      </c>
      <c r="AD404" s="20" t="n">
        <f aca="false">IF(OR(U404="",NOT(ISNUMBER(U404))),"",U404*$D$3^2/2*$F$3)</f>
        <v>0</v>
      </c>
      <c r="AE404" s="19" t="n">
        <f aca="false">IF(OR(V404="",NOT(ISNUMBER(V404))),"",V404*$D$3^2/(2*$H$3))</f>
        <v>0.150836607905473</v>
      </c>
      <c r="AF404" s="20" t="n">
        <f aca="false">IF(OR(V404="",NOT(ISNUMBER(V404))),"",V404*$D$3^2/2*$F$3)</f>
        <v>1479.70712355269</v>
      </c>
      <c r="AG404" s="19" t="str">
        <f aca="false">IF(OR(W404="",NOT(ISNUMBER(W404))),"",W404*$D$3^2/(2*$H$3))</f>
        <v/>
      </c>
      <c r="AH404" s="20" t="str">
        <f aca="false">IF(OR(W404="",NOT(ISNUMBER(W404))),"",W404*$D$3^2/2*$F$3)</f>
        <v/>
      </c>
    </row>
    <row r="405" customFormat="false" ht="15" hidden="false" customHeight="false" outlineLevel="0" collapsed="false">
      <c r="A405" s="10" t="s">
        <v>897</v>
      </c>
      <c r="B405" s="21" t="s">
        <v>797</v>
      </c>
      <c r="C405" s="6" t="s">
        <v>798</v>
      </c>
      <c r="D405" s="6" t="s">
        <v>898</v>
      </c>
      <c r="E405" s="6" t="s">
        <v>800</v>
      </c>
      <c r="F405" s="6" t="s">
        <v>334</v>
      </c>
      <c r="G405" s="6" t="n">
        <v>225</v>
      </c>
      <c r="H405" s="6"/>
      <c r="I405" s="6" t="s">
        <v>133</v>
      </c>
      <c r="J405" s="6" t="n">
        <v>6</v>
      </c>
      <c r="K405" s="6" t="s">
        <v>801</v>
      </c>
      <c r="L405" s="6"/>
      <c r="M405" s="6"/>
      <c r="N405" s="12" t="n">
        <v>184</v>
      </c>
      <c r="O405" s="12" t="n">
        <v>184</v>
      </c>
      <c r="P405" s="12"/>
      <c r="Q405" s="12" t="n">
        <v>52.5</v>
      </c>
      <c r="R405" s="14" t="n">
        <v>0.014</v>
      </c>
      <c r="S405" s="6" t="n">
        <v>0</v>
      </c>
      <c r="T405" s="6"/>
      <c r="U405" s="14" t="n">
        <v>0</v>
      </c>
      <c r="V405" s="15" t="n">
        <f aca="false">60*R405+0.5*(1-(Q405/N405)^2)</f>
        <v>1.29929451205104</v>
      </c>
      <c r="W405" s="14"/>
      <c r="X405" s="10" t="s">
        <v>335</v>
      </c>
      <c r="Y405" s="16" t="n">
        <v>85.6</v>
      </c>
      <c r="Z405" s="17" t="s">
        <v>48</v>
      </c>
      <c r="AA405" s="6" t="s">
        <v>802</v>
      </c>
      <c r="AB405" s="18" t="n">
        <f aca="false">IF(O405="","",$D$3*PI()*(O405/1000)^2/4*3600)</f>
        <v>143.588377187914</v>
      </c>
      <c r="AC405" s="19" t="n">
        <f aca="false">IF(OR(U405="",NOT(ISNUMBER(U405))),"",U405*$D$3^2/(2*$H$3))</f>
        <v>0</v>
      </c>
      <c r="AD405" s="20" t="n">
        <f aca="false">IF(OR(U405="",NOT(ISNUMBER(U405))),"",U405*$D$3^2/2*$F$3)</f>
        <v>0</v>
      </c>
      <c r="AE405" s="19" t="n">
        <f aca="false">IF(OR(V405="",NOT(ISNUMBER(V405))),"",V405*$D$3^2/(2*$H$3))</f>
        <v>0.149001664226037</v>
      </c>
      <c r="AF405" s="20" t="n">
        <f aca="false">IF(OR(V405="",NOT(ISNUMBER(V405))),"",V405*$D$3^2/2*$F$3)</f>
        <v>1461.70632605742</v>
      </c>
      <c r="AG405" s="19" t="str">
        <f aca="false">IF(OR(W405="",NOT(ISNUMBER(W405))),"",W405*$D$3^2/(2*$H$3))</f>
        <v/>
      </c>
      <c r="AH405" s="20" t="str">
        <f aca="false">IF(OR(W405="",NOT(ISNUMBER(W405))),"",W405*$D$3^2/2*$F$3)</f>
        <v/>
      </c>
    </row>
    <row r="406" customFormat="false" ht="15" hidden="false" customHeight="false" outlineLevel="0" collapsed="false">
      <c r="A406" s="10" t="s">
        <v>899</v>
      </c>
      <c r="B406" s="21" t="s">
        <v>797</v>
      </c>
      <c r="C406" s="6" t="s">
        <v>798</v>
      </c>
      <c r="D406" s="6" t="s">
        <v>900</v>
      </c>
      <c r="E406" s="6" t="s">
        <v>800</v>
      </c>
      <c r="F406" s="6" t="s">
        <v>334</v>
      </c>
      <c r="G406" s="6" t="n">
        <v>225</v>
      </c>
      <c r="H406" s="6"/>
      <c r="I406" s="6" t="s">
        <v>139</v>
      </c>
      <c r="J406" s="6" t="n">
        <v>6</v>
      </c>
      <c r="K406" s="6" t="s">
        <v>801</v>
      </c>
      <c r="L406" s="6"/>
      <c r="M406" s="6"/>
      <c r="N406" s="12" t="n">
        <v>184</v>
      </c>
      <c r="O406" s="12" t="n">
        <v>184</v>
      </c>
      <c r="P406" s="12"/>
      <c r="Q406" s="12" t="n">
        <v>77.9</v>
      </c>
      <c r="R406" s="14" t="n">
        <v>0.014</v>
      </c>
      <c r="S406" s="6" t="n">
        <v>0</v>
      </c>
      <c r="T406" s="6"/>
      <c r="U406" s="14" t="n">
        <v>0</v>
      </c>
      <c r="V406" s="15" t="n">
        <f aca="false">60*R406+0.5*(1-(Q406/N406)^2)</f>
        <v>1.25037910562382</v>
      </c>
      <c r="W406" s="14"/>
      <c r="X406" s="10" t="s">
        <v>335</v>
      </c>
      <c r="Y406" s="16" t="n">
        <v>85.6</v>
      </c>
      <c r="Z406" s="17" t="s">
        <v>48</v>
      </c>
      <c r="AA406" s="6" t="s">
        <v>802</v>
      </c>
      <c r="AB406" s="18" t="n">
        <f aca="false">IF(O406="","",$D$3*PI()*(O406/1000)^2/4*3600)</f>
        <v>143.588377187914</v>
      </c>
      <c r="AC406" s="19" t="n">
        <f aca="false">IF(OR(U406="",NOT(ISNUMBER(U406))),"",U406*$D$3^2/(2*$H$3))</f>
        <v>0</v>
      </c>
      <c r="AD406" s="20" t="n">
        <f aca="false">IF(OR(U406="",NOT(ISNUMBER(U406))),"",U406*$D$3^2/2*$F$3)</f>
        <v>0</v>
      </c>
      <c r="AE406" s="19" t="n">
        <f aca="false">IF(OR(V406="",NOT(ISNUMBER(V406))),"",V406*$D$3^2/(2*$H$3))</f>
        <v>0.143392099268787</v>
      </c>
      <c r="AF406" s="20" t="n">
        <f aca="false">IF(OR(V406="",NOT(ISNUMBER(V406))),"",V406*$D$3^2/2*$F$3)</f>
        <v>1406.6764938268</v>
      </c>
      <c r="AG406" s="19" t="str">
        <f aca="false">IF(OR(W406="",NOT(ISNUMBER(W406))),"",W406*$D$3^2/(2*$H$3))</f>
        <v/>
      </c>
      <c r="AH406" s="20" t="str">
        <f aca="false">IF(OR(W406="",NOT(ISNUMBER(W406))),"",W406*$D$3^2/2*$F$3)</f>
        <v/>
      </c>
    </row>
    <row r="407" customFormat="false" ht="15" hidden="false" customHeight="false" outlineLevel="0" collapsed="false">
      <c r="A407" s="10" t="s">
        <v>901</v>
      </c>
      <c r="B407" s="21" t="s">
        <v>797</v>
      </c>
      <c r="C407" s="6" t="s">
        <v>798</v>
      </c>
      <c r="D407" s="6" t="s">
        <v>902</v>
      </c>
      <c r="E407" s="6" t="s">
        <v>800</v>
      </c>
      <c r="F407" s="6" t="s">
        <v>334</v>
      </c>
      <c r="G407" s="6" t="n">
        <v>225</v>
      </c>
      <c r="H407" s="6"/>
      <c r="I407" s="6" t="s">
        <v>142</v>
      </c>
      <c r="J407" s="6" t="n">
        <v>6</v>
      </c>
      <c r="K407" s="6" t="s">
        <v>801</v>
      </c>
      <c r="L407" s="6"/>
      <c r="M407" s="6"/>
      <c r="N407" s="12" t="n">
        <v>184</v>
      </c>
      <c r="O407" s="12" t="n">
        <v>184</v>
      </c>
      <c r="P407" s="12"/>
      <c r="Q407" s="12" t="n">
        <v>102.3</v>
      </c>
      <c r="R407" s="14" t="n">
        <v>0.014</v>
      </c>
      <c r="S407" s="6" t="n">
        <v>0</v>
      </c>
      <c r="T407" s="6"/>
      <c r="U407" s="14" t="n">
        <v>0</v>
      </c>
      <c r="V407" s="15" t="n">
        <f aca="false">60*R407+0.5*(1-(Q407/N407)^2)</f>
        <v>1.18544408672023</v>
      </c>
      <c r="W407" s="14"/>
      <c r="X407" s="10" t="s">
        <v>335</v>
      </c>
      <c r="Y407" s="16" t="n">
        <v>85.6</v>
      </c>
      <c r="Z407" s="17" t="s">
        <v>48</v>
      </c>
      <c r="AA407" s="6" t="s">
        <v>802</v>
      </c>
      <c r="AB407" s="18" t="n">
        <f aca="false">IF(O407="","",$D$3*PI()*(O407/1000)^2/4*3600)</f>
        <v>143.588377187914</v>
      </c>
      <c r="AC407" s="19" t="n">
        <f aca="false">IF(OR(U407="",NOT(ISNUMBER(U407))),"",U407*$D$3^2/(2*$H$3))</f>
        <v>0</v>
      </c>
      <c r="AD407" s="20" t="n">
        <f aca="false">IF(OR(U407="",NOT(ISNUMBER(U407))),"",U407*$D$3^2/2*$F$3)</f>
        <v>0</v>
      </c>
      <c r="AE407" s="19" t="n">
        <f aca="false">IF(OR(V407="",NOT(ISNUMBER(V407))),"",V407*$D$3^2/(2*$H$3))</f>
        <v>0.135945422789017</v>
      </c>
      <c r="AF407" s="20" t="n">
        <f aca="false">IF(OR(V407="",NOT(ISNUMBER(V407))),"",V407*$D$3^2/2*$F$3)</f>
        <v>1333.62459756026</v>
      </c>
      <c r="AG407" s="19" t="str">
        <f aca="false">IF(OR(W407="",NOT(ISNUMBER(W407))),"",W407*$D$3^2/(2*$H$3))</f>
        <v/>
      </c>
      <c r="AH407" s="20" t="str">
        <f aca="false">IF(OR(W407="",NOT(ISNUMBER(W407))),"",W407*$D$3^2/2*$F$3)</f>
        <v/>
      </c>
    </row>
    <row r="408" customFormat="false" ht="15" hidden="false" customHeight="false" outlineLevel="0" collapsed="false">
      <c r="A408" s="10" t="s">
        <v>903</v>
      </c>
      <c r="B408" s="21" t="s">
        <v>797</v>
      </c>
      <c r="C408" s="6" t="s">
        <v>798</v>
      </c>
      <c r="D408" s="6" t="s">
        <v>904</v>
      </c>
      <c r="E408" s="6" t="s">
        <v>800</v>
      </c>
      <c r="F408" s="6" t="s">
        <v>334</v>
      </c>
      <c r="G408" s="6" t="n">
        <v>250</v>
      </c>
      <c r="H408" s="6"/>
      <c r="I408" s="6" t="s">
        <v>127</v>
      </c>
      <c r="J408" s="6" t="n">
        <v>6</v>
      </c>
      <c r="K408" s="6" t="s">
        <v>801</v>
      </c>
      <c r="L408" s="6"/>
      <c r="M408" s="6"/>
      <c r="N408" s="12" t="n">
        <v>204.6</v>
      </c>
      <c r="O408" s="12" t="n">
        <v>204.6</v>
      </c>
      <c r="P408" s="12"/>
      <c r="Q408" s="12" t="n">
        <v>35.1</v>
      </c>
      <c r="R408" s="14" t="n">
        <v>0.014</v>
      </c>
      <c r="S408" s="6" t="n">
        <v>0</v>
      </c>
      <c r="T408" s="6"/>
      <c r="U408" s="14" t="n">
        <v>0</v>
      </c>
      <c r="V408" s="15" t="n">
        <f aca="false">60*R408+0.5*(1-(Q408/N408)^2)</f>
        <v>1.32528456927615</v>
      </c>
      <c r="W408" s="14"/>
      <c r="X408" s="10" t="s">
        <v>335</v>
      </c>
      <c r="Y408" s="16" t="n">
        <v>96.8</v>
      </c>
      <c r="Z408" s="17" t="s">
        <v>48</v>
      </c>
      <c r="AA408" s="6" t="s">
        <v>802</v>
      </c>
      <c r="AB408" s="18" t="n">
        <f aca="false">IF(O408="","",$D$3*PI()*(O408/1000)^2/4*3600)</f>
        <v>177.539462181108</v>
      </c>
      <c r="AC408" s="19" t="n">
        <f aca="false">IF(OR(U408="",NOT(ISNUMBER(U408))),"",U408*$D$3^2/(2*$H$3))</f>
        <v>0</v>
      </c>
      <c r="AD408" s="20" t="n">
        <f aca="false">IF(OR(U408="",NOT(ISNUMBER(U408))),"",U408*$D$3^2/2*$F$3)</f>
        <v>0</v>
      </c>
      <c r="AE408" s="19" t="n">
        <f aca="false">IF(OR(V408="",NOT(ISNUMBER(V408))),"",V408*$D$3^2/(2*$H$3))</f>
        <v>0.151982175375705</v>
      </c>
      <c r="AF408" s="20" t="n">
        <f aca="false">IF(OR(V408="",NOT(ISNUMBER(V408))),"",V408*$D$3^2/2*$F$3)</f>
        <v>1490.94514043567</v>
      </c>
      <c r="AG408" s="19" t="str">
        <f aca="false">IF(OR(W408="",NOT(ISNUMBER(W408))),"",W408*$D$3^2/(2*$H$3))</f>
        <v/>
      </c>
      <c r="AH408" s="20" t="str">
        <f aca="false">IF(OR(W408="",NOT(ISNUMBER(W408))),"",W408*$D$3^2/2*$F$3)</f>
        <v/>
      </c>
    </row>
    <row r="409" customFormat="false" ht="15" hidden="false" customHeight="false" outlineLevel="0" collapsed="false">
      <c r="A409" s="10" t="s">
        <v>905</v>
      </c>
      <c r="B409" s="21" t="s">
        <v>797</v>
      </c>
      <c r="C409" s="6" t="s">
        <v>798</v>
      </c>
      <c r="D409" s="6" t="s">
        <v>906</v>
      </c>
      <c r="E409" s="6" t="s">
        <v>800</v>
      </c>
      <c r="F409" s="6" t="s">
        <v>334</v>
      </c>
      <c r="G409" s="6" t="n">
        <v>250</v>
      </c>
      <c r="H409" s="6"/>
      <c r="I409" s="6" t="s">
        <v>130</v>
      </c>
      <c r="J409" s="6" t="n">
        <v>6</v>
      </c>
      <c r="K409" s="6" t="s">
        <v>801</v>
      </c>
      <c r="L409" s="6"/>
      <c r="M409" s="6"/>
      <c r="N409" s="12" t="n">
        <v>204.6</v>
      </c>
      <c r="O409" s="12" t="n">
        <v>204.6</v>
      </c>
      <c r="P409" s="12"/>
      <c r="Q409" s="12" t="n">
        <v>40.9</v>
      </c>
      <c r="R409" s="14" t="n">
        <v>0.014</v>
      </c>
      <c r="S409" s="6" t="n">
        <v>0</v>
      </c>
      <c r="T409" s="6"/>
      <c r="U409" s="14" t="n">
        <v>0</v>
      </c>
      <c r="V409" s="15" t="n">
        <f aca="false">60*R409+0.5*(1-(Q409/N409)^2)</f>
        <v>1.32001954556443</v>
      </c>
      <c r="W409" s="14"/>
      <c r="X409" s="10" t="s">
        <v>335</v>
      </c>
      <c r="Y409" s="16" t="n">
        <v>96.8</v>
      </c>
      <c r="Z409" s="17" t="s">
        <v>48</v>
      </c>
      <c r="AA409" s="6" t="s">
        <v>802</v>
      </c>
      <c r="AB409" s="18" t="n">
        <f aca="false">IF(O409="","",$D$3*PI()*(O409/1000)^2/4*3600)</f>
        <v>177.539462181108</v>
      </c>
      <c r="AC409" s="19" t="n">
        <f aca="false">IF(OR(U409="",NOT(ISNUMBER(U409))),"",U409*$D$3^2/(2*$H$3))</f>
        <v>0</v>
      </c>
      <c r="AD409" s="20" t="n">
        <f aca="false">IF(OR(U409="",NOT(ISNUMBER(U409))),"",U409*$D$3^2/2*$F$3)</f>
        <v>0</v>
      </c>
      <c r="AE409" s="19" t="n">
        <f aca="false">IF(OR(V409="",NOT(ISNUMBER(V409))),"",V409*$D$3^2/(2*$H$3))</f>
        <v>0.151378388252802</v>
      </c>
      <c r="AF409" s="20" t="n">
        <f aca="false">IF(OR(V409="",NOT(ISNUMBER(V409))),"",V409*$D$3^2/2*$F$3)</f>
        <v>1485.02198875999</v>
      </c>
      <c r="AG409" s="19" t="str">
        <f aca="false">IF(OR(W409="",NOT(ISNUMBER(W409))),"",W409*$D$3^2/(2*$H$3))</f>
        <v/>
      </c>
      <c r="AH409" s="20" t="str">
        <f aca="false">IF(OR(W409="",NOT(ISNUMBER(W409))),"",W409*$D$3^2/2*$F$3)</f>
        <v/>
      </c>
    </row>
    <row r="410" customFormat="false" ht="15" hidden="false" customHeight="false" outlineLevel="0" collapsed="false">
      <c r="A410" s="10" t="s">
        <v>907</v>
      </c>
      <c r="B410" s="21" t="s">
        <v>797</v>
      </c>
      <c r="C410" s="6" t="s">
        <v>798</v>
      </c>
      <c r="D410" s="6" t="s">
        <v>908</v>
      </c>
      <c r="E410" s="6" t="s">
        <v>800</v>
      </c>
      <c r="F410" s="6" t="s">
        <v>334</v>
      </c>
      <c r="G410" s="6" t="n">
        <v>250</v>
      </c>
      <c r="H410" s="6"/>
      <c r="I410" s="6" t="s">
        <v>133</v>
      </c>
      <c r="J410" s="6" t="n">
        <v>6</v>
      </c>
      <c r="K410" s="6" t="s">
        <v>801</v>
      </c>
      <c r="L410" s="6"/>
      <c r="M410" s="6"/>
      <c r="N410" s="12" t="n">
        <v>204.6</v>
      </c>
      <c r="O410" s="12" t="n">
        <v>204.6</v>
      </c>
      <c r="P410" s="12"/>
      <c r="Q410" s="12" t="n">
        <v>52.5</v>
      </c>
      <c r="R410" s="14" t="n">
        <v>0.014</v>
      </c>
      <c r="S410" s="6" t="n">
        <v>0</v>
      </c>
      <c r="T410" s="6"/>
      <c r="U410" s="14" t="n">
        <v>0</v>
      </c>
      <c r="V410" s="15" t="n">
        <f aca="false">60*R410+0.5*(1-(Q410/N410)^2)</f>
        <v>1.30707867149405</v>
      </c>
      <c r="W410" s="14"/>
      <c r="X410" s="10" t="s">
        <v>335</v>
      </c>
      <c r="Y410" s="16" t="n">
        <v>96.8</v>
      </c>
      <c r="Z410" s="17" t="s">
        <v>48</v>
      </c>
      <c r="AA410" s="6" t="s">
        <v>802</v>
      </c>
      <c r="AB410" s="18" t="n">
        <f aca="false">IF(O410="","",$D$3*PI()*(O410/1000)^2/4*3600)</f>
        <v>177.539462181108</v>
      </c>
      <c r="AC410" s="19" t="n">
        <f aca="false">IF(OR(U410="",NOT(ISNUMBER(U410))),"",U410*$D$3^2/(2*$H$3))</f>
        <v>0</v>
      </c>
      <c r="AD410" s="20" t="n">
        <f aca="false">IF(OR(U410="",NOT(ISNUMBER(U410))),"",U410*$D$3^2/2*$F$3)</f>
        <v>0</v>
      </c>
      <c r="AE410" s="19" t="n">
        <f aca="false">IF(OR(V410="",NOT(ISNUMBER(V410))),"",V410*$D$3^2/(2*$H$3))</f>
        <v>0.149894343061245</v>
      </c>
      <c r="AF410" s="20" t="n">
        <f aca="false">IF(OR(V410="",NOT(ISNUMBER(V410))),"",V410*$D$3^2/2*$F$3)</f>
        <v>1470.46350543081</v>
      </c>
      <c r="AG410" s="19" t="str">
        <f aca="false">IF(OR(W410="",NOT(ISNUMBER(W410))),"",W410*$D$3^2/(2*$H$3))</f>
        <v/>
      </c>
      <c r="AH410" s="20" t="str">
        <f aca="false">IF(OR(W410="",NOT(ISNUMBER(W410))),"",W410*$D$3^2/2*$F$3)</f>
        <v/>
      </c>
    </row>
    <row r="411" customFormat="false" ht="15" hidden="false" customHeight="false" outlineLevel="0" collapsed="false">
      <c r="A411" s="10" t="s">
        <v>909</v>
      </c>
      <c r="B411" s="21" t="s">
        <v>797</v>
      </c>
      <c r="C411" s="6" t="s">
        <v>798</v>
      </c>
      <c r="D411" s="6" t="s">
        <v>910</v>
      </c>
      <c r="E411" s="6" t="s">
        <v>800</v>
      </c>
      <c r="F411" s="6" t="s">
        <v>334</v>
      </c>
      <c r="G411" s="6" t="n">
        <v>250</v>
      </c>
      <c r="H411" s="6"/>
      <c r="I411" s="6" t="s">
        <v>139</v>
      </c>
      <c r="J411" s="6" t="n">
        <v>6</v>
      </c>
      <c r="K411" s="6" t="s">
        <v>801</v>
      </c>
      <c r="L411" s="6"/>
      <c r="M411" s="6"/>
      <c r="N411" s="12" t="n">
        <v>204.6</v>
      </c>
      <c r="O411" s="12" t="n">
        <v>204.6</v>
      </c>
      <c r="P411" s="12"/>
      <c r="Q411" s="12" t="n">
        <v>77.9</v>
      </c>
      <c r="R411" s="14" t="n">
        <v>0.014</v>
      </c>
      <c r="S411" s="6" t="n">
        <v>0</v>
      </c>
      <c r="T411" s="6"/>
      <c r="U411" s="14" t="n">
        <v>0</v>
      </c>
      <c r="V411" s="15" t="n">
        <f aca="false">60*R411+0.5*(1-(Q411/N411)^2)</f>
        <v>1.26751741709977</v>
      </c>
      <c r="W411" s="14"/>
      <c r="X411" s="10" t="s">
        <v>335</v>
      </c>
      <c r="Y411" s="16" t="n">
        <v>96.8</v>
      </c>
      <c r="Z411" s="17" t="s">
        <v>48</v>
      </c>
      <c r="AA411" s="6" t="s">
        <v>802</v>
      </c>
      <c r="AB411" s="18" t="n">
        <f aca="false">IF(O411="","",$D$3*PI()*(O411/1000)^2/4*3600)</f>
        <v>177.539462181108</v>
      </c>
      <c r="AC411" s="19" t="n">
        <f aca="false">IF(OR(U411="",NOT(ISNUMBER(U411))),"",U411*$D$3^2/(2*$H$3))</f>
        <v>0</v>
      </c>
      <c r="AD411" s="20" t="n">
        <f aca="false">IF(OR(U411="",NOT(ISNUMBER(U411))),"",U411*$D$3^2/2*$F$3)</f>
        <v>0</v>
      </c>
      <c r="AE411" s="19" t="n">
        <f aca="false">IF(OR(V411="",NOT(ISNUMBER(V411))),"",V411*$D$3^2/(2*$H$3))</f>
        <v>0.145357501960982</v>
      </c>
      <c r="AF411" s="20" t="n">
        <f aca="false">IF(OR(V411="",NOT(ISNUMBER(V411))),"",V411*$D$3^2/2*$F$3)</f>
        <v>1425.95709423724</v>
      </c>
      <c r="AG411" s="19" t="str">
        <f aca="false">IF(OR(W411="",NOT(ISNUMBER(W411))),"",W411*$D$3^2/(2*$H$3))</f>
        <v/>
      </c>
      <c r="AH411" s="20" t="str">
        <f aca="false">IF(OR(W411="",NOT(ISNUMBER(W411))),"",W411*$D$3^2/2*$F$3)</f>
        <v/>
      </c>
    </row>
    <row r="412" customFormat="false" ht="15" hidden="false" customHeight="false" outlineLevel="0" collapsed="false">
      <c r="A412" s="10" t="s">
        <v>911</v>
      </c>
      <c r="B412" s="21" t="s">
        <v>797</v>
      </c>
      <c r="C412" s="6" t="s">
        <v>798</v>
      </c>
      <c r="D412" s="6" t="s">
        <v>912</v>
      </c>
      <c r="E412" s="6" t="s">
        <v>800</v>
      </c>
      <c r="F412" s="6" t="s">
        <v>334</v>
      </c>
      <c r="G412" s="6" t="n">
        <v>250</v>
      </c>
      <c r="H412" s="6"/>
      <c r="I412" s="6" t="s">
        <v>142</v>
      </c>
      <c r="J412" s="6" t="n">
        <v>6</v>
      </c>
      <c r="K412" s="6" t="s">
        <v>801</v>
      </c>
      <c r="L412" s="6"/>
      <c r="M412" s="6"/>
      <c r="N412" s="12" t="n">
        <v>204.6</v>
      </c>
      <c r="O412" s="12" t="n">
        <v>204.6</v>
      </c>
      <c r="P412" s="12"/>
      <c r="Q412" s="12" t="n">
        <v>102.3</v>
      </c>
      <c r="R412" s="14" t="n">
        <v>0.014</v>
      </c>
      <c r="S412" s="6" t="n">
        <v>0</v>
      </c>
      <c r="T412" s="6"/>
      <c r="U412" s="14" t="n">
        <v>0</v>
      </c>
      <c r="V412" s="15" t="n">
        <f aca="false">60*R412+0.5*(1-(Q412/N412)^2)</f>
        <v>1.215</v>
      </c>
      <c r="W412" s="14"/>
      <c r="X412" s="10" t="s">
        <v>335</v>
      </c>
      <c r="Y412" s="16" t="n">
        <v>96.8</v>
      </c>
      <c r="Z412" s="17" t="s">
        <v>48</v>
      </c>
      <c r="AA412" s="6" t="s">
        <v>802</v>
      </c>
      <c r="AB412" s="18" t="n">
        <f aca="false">IF(O412="","",$D$3*PI()*(O412/1000)^2/4*3600)</f>
        <v>177.539462181108</v>
      </c>
      <c r="AC412" s="19" t="n">
        <f aca="false">IF(OR(U412="",NOT(ISNUMBER(U412))),"",U412*$D$3^2/(2*$H$3))</f>
        <v>0</v>
      </c>
      <c r="AD412" s="20" t="n">
        <f aca="false">IF(OR(U412="",NOT(ISNUMBER(U412))),"",U412*$D$3^2/2*$F$3)</f>
        <v>0</v>
      </c>
      <c r="AE412" s="19" t="n">
        <f aca="false">IF(OR(V412="",NOT(ISNUMBER(V412))),"",V412*$D$3^2/(2*$H$3))</f>
        <v>0.139334862385321</v>
      </c>
      <c r="AF412" s="20" t="n">
        <f aca="false">IF(OR(V412="",NOT(ISNUMBER(V412))),"",V412*$D$3^2/2*$F$3)</f>
        <v>1366.875</v>
      </c>
      <c r="AG412" s="19" t="str">
        <f aca="false">IF(OR(W412="",NOT(ISNUMBER(W412))),"",W412*$D$3^2/(2*$H$3))</f>
        <v/>
      </c>
      <c r="AH412" s="20" t="str">
        <f aca="false">IF(OR(W412="",NOT(ISNUMBER(W412))),"",W412*$D$3^2/2*$F$3)</f>
        <v/>
      </c>
    </row>
    <row r="413" customFormat="false" ht="15" hidden="false" customHeight="false" outlineLevel="0" collapsed="false">
      <c r="A413" s="10" t="s">
        <v>913</v>
      </c>
      <c r="B413" s="21" t="s">
        <v>797</v>
      </c>
      <c r="C413" s="6" t="s">
        <v>798</v>
      </c>
      <c r="D413" s="6" t="s">
        <v>914</v>
      </c>
      <c r="E413" s="6" t="s">
        <v>800</v>
      </c>
      <c r="F413" s="6" t="s">
        <v>334</v>
      </c>
      <c r="G413" s="6" t="n">
        <v>315</v>
      </c>
      <c r="H413" s="6"/>
      <c r="I413" s="6" t="s">
        <v>127</v>
      </c>
      <c r="J413" s="6" t="n">
        <v>6</v>
      </c>
      <c r="K413" s="6" t="s">
        <v>801</v>
      </c>
      <c r="L413" s="6"/>
      <c r="M413" s="6"/>
      <c r="N413" s="12" t="n">
        <v>257.8</v>
      </c>
      <c r="O413" s="12" t="n">
        <v>257.8</v>
      </c>
      <c r="P413" s="12"/>
      <c r="Q413" s="12" t="n">
        <v>35.1</v>
      </c>
      <c r="R413" s="14" t="n">
        <v>0.013</v>
      </c>
      <c r="S413" s="6" t="n">
        <v>0</v>
      </c>
      <c r="T413" s="6"/>
      <c r="U413" s="14" t="n">
        <v>0</v>
      </c>
      <c r="V413" s="15" t="n">
        <f aca="false">60*R413+0.5*(1-(Q413/N413)^2)</f>
        <v>1.27073130884292</v>
      </c>
      <c r="W413" s="14"/>
      <c r="X413" s="10" t="s">
        <v>335</v>
      </c>
      <c r="Y413" s="16" t="n">
        <v>119.9</v>
      </c>
      <c r="Z413" s="17" t="s">
        <v>48</v>
      </c>
      <c r="AA413" s="6" t="s">
        <v>802</v>
      </c>
      <c r="AB413" s="18" t="n">
        <f aca="false">IF(O413="","",$D$3*PI()*(O413/1000)^2/4*3600)</f>
        <v>281.870397038799</v>
      </c>
      <c r="AC413" s="19" t="n">
        <f aca="false">IF(OR(U413="",NOT(ISNUMBER(U413))),"",U413*$D$3^2/(2*$H$3))</f>
        <v>0</v>
      </c>
      <c r="AD413" s="20" t="n">
        <f aca="false">IF(OR(U413="",NOT(ISNUMBER(U413))),"",U413*$D$3^2/2*$F$3)</f>
        <v>0</v>
      </c>
      <c r="AE413" s="19" t="n">
        <f aca="false">IF(OR(V413="",NOT(ISNUMBER(V413))),"",V413*$D$3^2/(2*$H$3))</f>
        <v>0.145726067527858</v>
      </c>
      <c r="AF413" s="20" t="n">
        <f aca="false">IF(OR(V413="",NOT(ISNUMBER(V413))),"",V413*$D$3^2/2*$F$3)</f>
        <v>1429.57272244829</v>
      </c>
      <c r="AG413" s="19" t="str">
        <f aca="false">IF(OR(W413="",NOT(ISNUMBER(W413))),"",W413*$D$3^2/(2*$H$3))</f>
        <v/>
      </c>
      <c r="AH413" s="20" t="str">
        <f aca="false">IF(OR(W413="",NOT(ISNUMBER(W413))),"",W413*$D$3^2/2*$F$3)</f>
        <v/>
      </c>
    </row>
    <row r="414" customFormat="false" ht="15" hidden="false" customHeight="false" outlineLevel="0" collapsed="false">
      <c r="A414" s="10" t="s">
        <v>915</v>
      </c>
      <c r="B414" s="21" t="s">
        <v>797</v>
      </c>
      <c r="C414" s="6" t="s">
        <v>798</v>
      </c>
      <c r="D414" s="6" t="s">
        <v>916</v>
      </c>
      <c r="E414" s="6" t="s">
        <v>800</v>
      </c>
      <c r="F414" s="6" t="s">
        <v>334</v>
      </c>
      <c r="G414" s="6" t="n">
        <v>315</v>
      </c>
      <c r="H414" s="6"/>
      <c r="I414" s="6" t="s">
        <v>130</v>
      </c>
      <c r="J414" s="6" t="n">
        <v>6</v>
      </c>
      <c r="K414" s="6" t="s">
        <v>801</v>
      </c>
      <c r="L414" s="6"/>
      <c r="M414" s="6"/>
      <c r="N414" s="12" t="n">
        <v>257.8</v>
      </c>
      <c r="O414" s="12" t="n">
        <v>257.8</v>
      </c>
      <c r="P414" s="12"/>
      <c r="Q414" s="12" t="n">
        <v>40.9</v>
      </c>
      <c r="R414" s="14" t="n">
        <v>0.013</v>
      </c>
      <c r="S414" s="6" t="n">
        <v>0</v>
      </c>
      <c r="T414" s="6"/>
      <c r="U414" s="14" t="n">
        <v>0</v>
      </c>
      <c r="V414" s="15" t="n">
        <f aca="false">60*R414+0.5*(1-(Q414/N414)^2)</f>
        <v>1.26741507028801</v>
      </c>
      <c r="W414" s="14"/>
      <c r="X414" s="10" t="s">
        <v>335</v>
      </c>
      <c r="Y414" s="16" t="n">
        <v>119.9</v>
      </c>
      <c r="Z414" s="17" t="s">
        <v>48</v>
      </c>
      <c r="AA414" s="6" t="s">
        <v>802</v>
      </c>
      <c r="AB414" s="18" t="n">
        <f aca="false">IF(O414="","",$D$3*PI()*(O414/1000)^2/4*3600)</f>
        <v>281.870397038799</v>
      </c>
      <c r="AC414" s="19" t="n">
        <f aca="false">IF(OR(U414="",NOT(ISNUMBER(U414))),"",U414*$D$3^2/(2*$H$3))</f>
        <v>0</v>
      </c>
      <c r="AD414" s="20" t="n">
        <f aca="false">IF(OR(U414="",NOT(ISNUMBER(U414))),"",U414*$D$3^2/2*$F$3)</f>
        <v>0</v>
      </c>
      <c r="AE414" s="19" t="n">
        <f aca="false">IF(OR(V414="",NOT(ISNUMBER(V414))),"",V414*$D$3^2/(2*$H$3))</f>
        <v>0.145345764941285</v>
      </c>
      <c r="AF414" s="20" t="n">
        <f aca="false">IF(OR(V414="",NOT(ISNUMBER(V414))),"",V414*$D$3^2/2*$F$3)</f>
        <v>1425.84195407401</v>
      </c>
      <c r="AG414" s="19" t="str">
        <f aca="false">IF(OR(W414="",NOT(ISNUMBER(W414))),"",W414*$D$3^2/(2*$H$3))</f>
        <v/>
      </c>
      <c r="AH414" s="20" t="str">
        <f aca="false">IF(OR(W414="",NOT(ISNUMBER(W414))),"",W414*$D$3^2/2*$F$3)</f>
        <v/>
      </c>
    </row>
    <row r="415" customFormat="false" ht="15" hidden="false" customHeight="false" outlineLevel="0" collapsed="false">
      <c r="A415" s="10" t="s">
        <v>917</v>
      </c>
      <c r="B415" s="21" t="s">
        <v>797</v>
      </c>
      <c r="C415" s="6" t="s">
        <v>798</v>
      </c>
      <c r="D415" s="6" t="s">
        <v>918</v>
      </c>
      <c r="E415" s="6" t="s">
        <v>800</v>
      </c>
      <c r="F415" s="6" t="s">
        <v>334</v>
      </c>
      <c r="G415" s="6" t="n">
        <v>315</v>
      </c>
      <c r="H415" s="6"/>
      <c r="I415" s="6" t="s">
        <v>133</v>
      </c>
      <c r="J415" s="6" t="n">
        <v>6</v>
      </c>
      <c r="K415" s="6" t="s">
        <v>801</v>
      </c>
      <c r="L415" s="6"/>
      <c r="M415" s="6"/>
      <c r="N415" s="12" t="n">
        <v>257.8</v>
      </c>
      <c r="O415" s="12" t="n">
        <v>257.8</v>
      </c>
      <c r="P415" s="12"/>
      <c r="Q415" s="12" t="n">
        <v>52.5</v>
      </c>
      <c r="R415" s="14" t="n">
        <v>0.013</v>
      </c>
      <c r="S415" s="6" t="n">
        <v>0</v>
      </c>
      <c r="T415" s="6"/>
      <c r="U415" s="14" t="n">
        <v>0</v>
      </c>
      <c r="V415" s="15" t="n">
        <f aca="false">60*R415+0.5*(1-(Q415/N415)^2)</f>
        <v>1.25926410499777</v>
      </c>
      <c r="W415" s="14"/>
      <c r="X415" s="10" t="s">
        <v>335</v>
      </c>
      <c r="Y415" s="16" t="n">
        <v>119.9</v>
      </c>
      <c r="Z415" s="17" t="s">
        <v>48</v>
      </c>
      <c r="AA415" s="6" t="s">
        <v>802</v>
      </c>
      <c r="AB415" s="18" t="n">
        <f aca="false">IF(O415="","",$D$3*PI()*(O415/1000)^2/4*3600)</f>
        <v>281.870397038799</v>
      </c>
      <c r="AC415" s="19" t="n">
        <f aca="false">IF(OR(U415="",NOT(ISNUMBER(U415))),"",U415*$D$3^2/(2*$H$3))</f>
        <v>0</v>
      </c>
      <c r="AD415" s="20" t="n">
        <f aca="false">IF(OR(U415="",NOT(ISNUMBER(U415))),"",U415*$D$3^2/2*$F$3)</f>
        <v>0</v>
      </c>
      <c r="AE415" s="19" t="n">
        <f aca="false">IF(OR(V415="",NOT(ISNUMBER(V415))),"",V415*$D$3^2/(2*$H$3))</f>
        <v>0.144411021215341</v>
      </c>
      <c r="AF415" s="20" t="n">
        <f aca="false">IF(OR(V415="",NOT(ISNUMBER(V415))),"",V415*$D$3^2/2*$F$3)</f>
        <v>1416.67211812249</v>
      </c>
      <c r="AG415" s="19" t="str">
        <f aca="false">IF(OR(W415="",NOT(ISNUMBER(W415))),"",W415*$D$3^2/(2*$H$3))</f>
        <v/>
      </c>
      <c r="AH415" s="20" t="str">
        <f aca="false">IF(OR(W415="",NOT(ISNUMBER(W415))),"",W415*$D$3^2/2*$F$3)</f>
        <v/>
      </c>
    </row>
    <row r="416" customFormat="false" ht="15" hidden="false" customHeight="false" outlineLevel="0" collapsed="false">
      <c r="A416" s="10" t="s">
        <v>919</v>
      </c>
      <c r="B416" s="21" t="s">
        <v>797</v>
      </c>
      <c r="C416" s="6" t="s">
        <v>798</v>
      </c>
      <c r="D416" s="6" t="s">
        <v>920</v>
      </c>
      <c r="E416" s="6" t="s">
        <v>800</v>
      </c>
      <c r="F416" s="6" t="s">
        <v>334</v>
      </c>
      <c r="G416" s="6" t="n">
        <v>315</v>
      </c>
      <c r="H416" s="6"/>
      <c r="I416" s="6" t="s">
        <v>139</v>
      </c>
      <c r="J416" s="6" t="n">
        <v>6</v>
      </c>
      <c r="K416" s="6" t="s">
        <v>801</v>
      </c>
      <c r="L416" s="6"/>
      <c r="M416" s="6"/>
      <c r="N416" s="12" t="n">
        <v>257.8</v>
      </c>
      <c r="O416" s="12" t="n">
        <v>257.8</v>
      </c>
      <c r="P416" s="12"/>
      <c r="Q416" s="12" t="n">
        <v>77.9</v>
      </c>
      <c r="R416" s="14" t="n">
        <v>0.013</v>
      </c>
      <c r="S416" s="6" t="n">
        <v>0</v>
      </c>
      <c r="T416" s="6"/>
      <c r="U416" s="14" t="n">
        <v>0</v>
      </c>
      <c r="V416" s="15" t="n">
        <f aca="false">60*R416+0.5*(1-(Q416/N416)^2)</f>
        <v>1.23434597275629</v>
      </c>
      <c r="W416" s="14"/>
      <c r="X416" s="10" t="s">
        <v>335</v>
      </c>
      <c r="Y416" s="16" t="n">
        <v>119.9</v>
      </c>
      <c r="Z416" s="17" t="s">
        <v>48</v>
      </c>
      <c r="AA416" s="6" t="s">
        <v>802</v>
      </c>
      <c r="AB416" s="18" t="n">
        <f aca="false">IF(O416="","",$D$3*PI()*(O416/1000)^2/4*3600)</f>
        <v>281.870397038799</v>
      </c>
      <c r="AC416" s="19" t="n">
        <f aca="false">IF(OR(U416="",NOT(ISNUMBER(U416))),"",U416*$D$3^2/(2*$H$3))</f>
        <v>0</v>
      </c>
      <c r="AD416" s="20" t="n">
        <f aca="false">IF(OR(U416="",NOT(ISNUMBER(U416))),"",U416*$D$3^2/2*$F$3)</f>
        <v>0</v>
      </c>
      <c r="AE416" s="19" t="n">
        <f aca="false">IF(OR(V416="",NOT(ISNUMBER(V416))),"",V416*$D$3^2/(2*$H$3))</f>
        <v>0.141553437242694</v>
      </c>
      <c r="AF416" s="20" t="n">
        <f aca="false">IF(OR(V416="",NOT(ISNUMBER(V416))),"",V416*$D$3^2/2*$F$3)</f>
        <v>1388.63921935082</v>
      </c>
      <c r="AG416" s="19" t="str">
        <f aca="false">IF(OR(W416="",NOT(ISNUMBER(W416))),"",W416*$D$3^2/(2*$H$3))</f>
        <v/>
      </c>
      <c r="AH416" s="20" t="str">
        <f aca="false">IF(OR(W416="",NOT(ISNUMBER(W416))),"",W416*$D$3^2/2*$F$3)</f>
        <v/>
      </c>
    </row>
    <row r="417" customFormat="false" ht="15" hidden="false" customHeight="false" outlineLevel="0" collapsed="false">
      <c r="A417" s="10" t="s">
        <v>921</v>
      </c>
      <c r="B417" s="21" t="s">
        <v>797</v>
      </c>
      <c r="C417" s="6" t="s">
        <v>798</v>
      </c>
      <c r="D417" s="6" t="s">
        <v>922</v>
      </c>
      <c r="E417" s="6" t="s">
        <v>800</v>
      </c>
      <c r="F417" s="6" t="s">
        <v>334</v>
      </c>
      <c r="G417" s="6" t="n">
        <v>315</v>
      </c>
      <c r="H417" s="6"/>
      <c r="I417" s="6" t="s">
        <v>142</v>
      </c>
      <c r="J417" s="6" t="n">
        <v>6</v>
      </c>
      <c r="K417" s="6" t="s">
        <v>801</v>
      </c>
      <c r="L417" s="6"/>
      <c r="M417" s="6"/>
      <c r="N417" s="12" t="n">
        <v>257.8</v>
      </c>
      <c r="O417" s="12" t="n">
        <v>257.8</v>
      </c>
      <c r="P417" s="12"/>
      <c r="Q417" s="12" t="n">
        <v>102.3</v>
      </c>
      <c r="R417" s="14" t="n">
        <v>0.013</v>
      </c>
      <c r="S417" s="6" t="n">
        <v>0</v>
      </c>
      <c r="T417" s="6"/>
      <c r="U417" s="14" t="n">
        <v>0</v>
      </c>
      <c r="V417" s="15" t="n">
        <f aca="false">60*R417+0.5*(1-(Q417/N417)^2)</f>
        <v>1.20126724549374</v>
      </c>
      <c r="W417" s="14"/>
      <c r="X417" s="10" t="s">
        <v>335</v>
      </c>
      <c r="Y417" s="16" t="n">
        <v>119.9</v>
      </c>
      <c r="Z417" s="17" t="s">
        <v>48</v>
      </c>
      <c r="AA417" s="6" t="s">
        <v>802</v>
      </c>
      <c r="AB417" s="18" t="n">
        <f aca="false">IF(O417="","",$D$3*PI()*(O417/1000)^2/4*3600)</f>
        <v>281.870397038799</v>
      </c>
      <c r="AC417" s="19" t="n">
        <f aca="false">IF(OR(U417="",NOT(ISNUMBER(U417))),"",U417*$D$3^2/(2*$H$3))</f>
        <v>0</v>
      </c>
      <c r="AD417" s="20" t="n">
        <f aca="false">IF(OR(U417="",NOT(ISNUMBER(U417))),"",U417*$D$3^2/2*$F$3)</f>
        <v>0</v>
      </c>
      <c r="AE417" s="19" t="n">
        <f aca="false">IF(OR(V417="",NOT(ISNUMBER(V417))),"",V417*$D$3^2/(2*$H$3))</f>
        <v>0.137760005217172</v>
      </c>
      <c r="AF417" s="20" t="n">
        <f aca="false">IF(OR(V417="",NOT(ISNUMBER(V417))),"",V417*$D$3^2/2*$F$3)</f>
        <v>1351.42565118045</v>
      </c>
      <c r="AG417" s="19" t="str">
        <f aca="false">IF(OR(W417="",NOT(ISNUMBER(W417))),"",W417*$D$3^2/(2*$H$3))</f>
        <v/>
      </c>
      <c r="AH417" s="20" t="str">
        <f aca="false">IF(OR(W417="",NOT(ISNUMBER(W417))),"",W417*$D$3^2/2*$F$3)</f>
        <v/>
      </c>
    </row>
    <row r="418" customFormat="false" ht="15" hidden="false" customHeight="false" outlineLevel="0" collapsed="false">
      <c r="A418" s="10" t="s">
        <v>923</v>
      </c>
      <c r="B418" s="22" t="s">
        <v>924</v>
      </c>
      <c r="C418" s="6" t="s">
        <v>925</v>
      </c>
      <c r="D418" s="6" t="s">
        <v>926</v>
      </c>
      <c r="E418" s="6" t="s">
        <v>927</v>
      </c>
      <c r="F418" s="6" t="s">
        <v>45</v>
      </c>
      <c r="G418" s="6" t="n">
        <v>20</v>
      </c>
      <c r="H418" s="6"/>
      <c r="I418" s="6"/>
      <c r="J418" s="6" t="n">
        <v>16</v>
      </c>
      <c r="K418" s="6" t="s">
        <v>928</v>
      </c>
      <c r="L418" s="6"/>
      <c r="M418" s="6"/>
      <c r="N418" s="12" t="n">
        <v>16</v>
      </c>
      <c r="O418" s="12" t="n">
        <v>16</v>
      </c>
      <c r="P418" s="12"/>
      <c r="Q418" s="12"/>
      <c r="R418" s="14" t="n">
        <v>0.027</v>
      </c>
      <c r="S418" s="6"/>
      <c r="T418" s="6"/>
      <c r="U418" s="14" t="n">
        <v>0</v>
      </c>
      <c r="V418" s="14"/>
      <c r="W418" s="14"/>
      <c r="X418" s="10" t="s">
        <v>929</v>
      </c>
      <c r="Y418" s="16"/>
      <c r="Z418" s="17" t="s">
        <v>48</v>
      </c>
      <c r="AA418" s="6" t="s">
        <v>929</v>
      </c>
      <c r="AB418" s="18" t="n">
        <f aca="false">IF(O418="","",$D$3*PI()*(O418/1000)^2/4*3600)</f>
        <v>1.08573442108063</v>
      </c>
      <c r="AC418" s="19" t="n">
        <f aca="false">IF(OR(U418="",NOT(ISNUMBER(U418))),"",U418*$D$3^2/(2*$H$3))</f>
        <v>0</v>
      </c>
      <c r="AD418" s="20" t="n">
        <f aca="false">IF(OR(U418="",NOT(ISNUMBER(U418))),"",U418*$D$3^2/2*$F$3)</f>
        <v>0</v>
      </c>
      <c r="AE418" s="19" t="str">
        <f aca="false">IF(OR(V418="",NOT(ISNUMBER(V418))),"",V418*$D$3^2/(2*$H$3))</f>
        <v/>
      </c>
      <c r="AF418" s="20" t="str">
        <f aca="false">IF(OR(V418="",NOT(ISNUMBER(V418))),"",V418*$D$3^2/2*$F$3)</f>
        <v/>
      </c>
      <c r="AG418" s="19" t="str">
        <f aca="false">IF(OR(W418="",NOT(ISNUMBER(W418))),"",W418*$D$3^2/(2*$H$3))</f>
        <v/>
      </c>
      <c r="AH418" s="20" t="str">
        <f aca="false">IF(OR(W418="",NOT(ISNUMBER(W418))),"",W418*$D$3^2/2*$F$3)</f>
        <v/>
      </c>
    </row>
    <row r="419" customFormat="false" ht="15" hidden="false" customHeight="false" outlineLevel="0" collapsed="false">
      <c r="A419" s="10" t="s">
        <v>930</v>
      </c>
      <c r="B419" s="22" t="s">
        <v>924</v>
      </c>
      <c r="C419" s="6" t="s">
        <v>925</v>
      </c>
      <c r="D419" s="6" t="s">
        <v>931</v>
      </c>
      <c r="E419" s="6" t="s">
        <v>927</v>
      </c>
      <c r="F419" s="6" t="s">
        <v>45</v>
      </c>
      <c r="G419" s="6" t="n">
        <v>25</v>
      </c>
      <c r="H419" s="6"/>
      <c r="I419" s="6"/>
      <c r="J419" s="6" t="n">
        <v>16</v>
      </c>
      <c r="K419" s="6" t="s">
        <v>928</v>
      </c>
      <c r="L419" s="6"/>
      <c r="M419" s="6"/>
      <c r="N419" s="12" t="n">
        <v>20.4</v>
      </c>
      <c r="O419" s="12" t="n">
        <v>20.4</v>
      </c>
      <c r="P419" s="12"/>
      <c r="Q419" s="12"/>
      <c r="R419" s="14" t="n">
        <v>0.025</v>
      </c>
      <c r="S419" s="6"/>
      <c r="T419" s="6"/>
      <c r="U419" s="14" t="n">
        <v>0</v>
      </c>
      <c r="V419" s="14"/>
      <c r="W419" s="14"/>
      <c r="X419" s="10" t="s">
        <v>929</v>
      </c>
      <c r="Y419" s="16"/>
      <c r="Z419" s="17" t="s">
        <v>48</v>
      </c>
      <c r="AA419" s="6" t="s">
        <v>929</v>
      </c>
      <c r="AB419" s="18" t="n">
        <f aca="false">IF(O419="","",$D$3*PI()*(O419/1000)^2/4*3600)</f>
        <v>1.7649970182692</v>
      </c>
      <c r="AC419" s="19" t="n">
        <f aca="false">IF(OR(U419="",NOT(ISNUMBER(U419))),"",U419*$D$3^2/(2*$H$3))</f>
        <v>0</v>
      </c>
      <c r="AD419" s="20" t="n">
        <f aca="false">IF(OR(U419="",NOT(ISNUMBER(U419))),"",U419*$D$3^2/2*$F$3)</f>
        <v>0</v>
      </c>
      <c r="AE419" s="19" t="str">
        <f aca="false">IF(OR(V419="",NOT(ISNUMBER(V419))),"",V419*$D$3^2/(2*$H$3))</f>
        <v/>
      </c>
      <c r="AF419" s="20" t="str">
        <f aca="false">IF(OR(V419="",NOT(ISNUMBER(V419))),"",V419*$D$3^2/2*$F$3)</f>
        <v/>
      </c>
      <c r="AG419" s="19" t="str">
        <f aca="false">IF(OR(W419="",NOT(ISNUMBER(W419))),"",W419*$D$3^2/(2*$H$3))</f>
        <v/>
      </c>
      <c r="AH419" s="20" t="str">
        <f aca="false">IF(OR(W419="",NOT(ISNUMBER(W419))),"",W419*$D$3^2/2*$F$3)</f>
        <v/>
      </c>
    </row>
    <row r="420" customFormat="false" ht="15" hidden="false" customHeight="false" outlineLevel="0" collapsed="false">
      <c r="A420" s="10" t="s">
        <v>932</v>
      </c>
      <c r="B420" s="22" t="s">
        <v>924</v>
      </c>
      <c r="C420" s="6" t="s">
        <v>925</v>
      </c>
      <c r="D420" s="6" t="s">
        <v>933</v>
      </c>
      <c r="E420" s="6" t="s">
        <v>927</v>
      </c>
      <c r="F420" s="6" t="s">
        <v>45</v>
      </c>
      <c r="G420" s="6" t="n">
        <v>32</v>
      </c>
      <c r="H420" s="6"/>
      <c r="I420" s="6"/>
      <c r="J420" s="6" t="n">
        <v>16</v>
      </c>
      <c r="K420" s="6" t="s">
        <v>928</v>
      </c>
      <c r="L420" s="6"/>
      <c r="M420" s="6"/>
      <c r="N420" s="12" t="n">
        <v>26.2</v>
      </c>
      <c r="O420" s="12" t="n">
        <v>26.2</v>
      </c>
      <c r="P420" s="12"/>
      <c r="Q420" s="12"/>
      <c r="R420" s="14" t="n">
        <v>0.023</v>
      </c>
      <c r="S420" s="6"/>
      <c r="T420" s="6"/>
      <c r="U420" s="14" t="n">
        <v>0</v>
      </c>
      <c r="V420" s="14"/>
      <c r="W420" s="14"/>
      <c r="X420" s="10" t="s">
        <v>929</v>
      </c>
      <c r="Y420" s="16"/>
      <c r="Z420" s="17" t="s">
        <v>48</v>
      </c>
      <c r="AA420" s="6" t="s">
        <v>929</v>
      </c>
      <c r="AB420" s="18" t="n">
        <f aca="false">IF(O420="","",$D$3*PI()*(O420/1000)^2/4*3600)</f>
        <v>2.91129506252574</v>
      </c>
      <c r="AC420" s="19" t="n">
        <f aca="false">IF(OR(U420="",NOT(ISNUMBER(U420))),"",U420*$D$3^2/(2*$H$3))</f>
        <v>0</v>
      </c>
      <c r="AD420" s="20" t="n">
        <f aca="false">IF(OR(U420="",NOT(ISNUMBER(U420))),"",U420*$D$3^2/2*$F$3)</f>
        <v>0</v>
      </c>
      <c r="AE420" s="19" t="str">
        <f aca="false">IF(OR(V420="",NOT(ISNUMBER(V420))),"",V420*$D$3^2/(2*$H$3))</f>
        <v/>
      </c>
      <c r="AF420" s="20" t="str">
        <f aca="false">IF(OR(V420="",NOT(ISNUMBER(V420))),"",V420*$D$3^2/2*$F$3)</f>
        <v/>
      </c>
      <c r="AG420" s="19" t="str">
        <f aca="false">IF(OR(W420="",NOT(ISNUMBER(W420))),"",W420*$D$3^2/(2*$H$3))</f>
        <v/>
      </c>
      <c r="AH420" s="20" t="str">
        <f aca="false">IF(OR(W420="",NOT(ISNUMBER(W420))),"",W420*$D$3^2/2*$F$3)</f>
        <v/>
      </c>
    </row>
    <row r="421" customFormat="false" ht="15" hidden="false" customHeight="false" outlineLevel="0" collapsed="false">
      <c r="A421" s="10" t="s">
        <v>934</v>
      </c>
      <c r="B421" s="22" t="s">
        <v>924</v>
      </c>
      <c r="C421" s="6" t="s">
        <v>925</v>
      </c>
      <c r="D421" s="6" t="s">
        <v>935</v>
      </c>
      <c r="E421" s="6" t="s">
        <v>927</v>
      </c>
      <c r="F421" s="6" t="s">
        <v>45</v>
      </c>
      <c r="G421" s="6" t="n">
        <v>40</v>
      </c>
      <c r="H421" s="6"/>
      <c r="I421" s="6"/>
      <c r="J421" s="6" t="n">
        <v>16</v>
      </c>
      <c r="K421" s="6" t="s">
        <v>928</v>
      </c>
      <c r="L421" s="6"/>
      <c r="M421" s="6"/>
      <c r="N421" s="12" t="n">
        <v>32.6</v>
      </c>
      <c r="O421" s="12" t="n">
        <v>32.6</v>
      </c>
      <c r="P421" s="12"/>
      <c r="Q421" s="12"/>
      <c r="R421" s="14" t="n">
        <v>0.022</v>
      </c>
      <c r="S421" s="6"/>
      <c r="T421" s="6"/>
      <c r="U421" s="14" t="n">
        <v>0</v>
      </c>
      <c r="V421" s="14"/>
      <c r="W421" s="14"/>
      <c r="X421" s="10" t="s">
        <v>929</v>
      </c>
      <c r="Y421" s="16"/>
      <c r="Z421" s="17" t="s">
        <v>48</v>
      </c>
      <c r="AA421" s="6" t="s">
        <v>929</v>
      </c>
      <c r="AB421" s="18" t="n">
        <f aca="false">IF(O421="","",$D$3*PI()*(O421/1000)^2/4*3600)</f>
        <v>4.50732466151427</v>
      </c>
      <c r="AC421" s="19" t="n">
        <f aca="false">IF(OR(U421="",NOT(ISNUMBER(U421))),"",U421*$D$3^2/(2*$H$3))</f>
        <v>0</v>
      </c>
      <c r="AD421" s="20" t="n">
        <f aca="false">IF(OR(U421="",NOT(ISNUMBER(U421))),"",U421*$D$3^2/2*$F$3)</f>
        <v>0</v>
      </c>
      <c r="AE421" s="19" t="str">
        <f aca="false">IF(OR(V421="",NOT(ISNUMBER(V421))),"",V421*$D$3^2/(2*$H$3))</f>
        <v/>
      </c>
      <c r="AF421" s="20" t="str">
        <f aca="false">IF(OR(V421="",NOT(ISNUMBER(V421))),"",V421*$D$3^2/2*$F$3)</f>
        <v/>
      </c>
      <c r="AG421" s="19" t="str">
        <f aca="false">IF(OR(W421="",NOT(ISNUMBER(W421))),"",W421*$D$3^2/(2*$H$3))</f>
        <v/>
      </c>
      <c r="AH421" s="20" t="str">
        <f aca="false">IF(OR(W421="",NOT(ISNUMBER(W421))),"",W421*$D$3^2/2*$F$3)</f>
        <v/>
      </c>
    </row>
    <row r="422" customFormat="false" ht="15" hidden="false" customHeight="false" outlineLevel="0" collapsed="false">
      <c r="A422" s="10" t="s">
        <v>936</v>
      </c>
      <c r="B422" s="22" t="s">
        <v>924</v>
      </c>
      <c r="C422" s="6" t="s">
        <v>925</v>
      </c>
      <c r="D422" s="6" t="s">
        <v>937</v>
      </c>
      <c r="E422" s="6" t="s">
        <v>927</v>
      </c>
      <c r="F422" s="6" t="s">
        <v>45</v>
      </c>
      <c r="G422" s="6" t="n">
        <v>50</v>
      </c>
      <c r="H422" s="6"/>
      <c r="I422" s="6"/>
      <c r="J422" s="6" t="n">
        <v>16</v>
      </c>
      <c r="K422" s="6" t="s">
        <v>928</v>
      </c>
      <c r="L422" s="6"/>
      <c r="M422" s="6"/>
      <c r="N422" s="12" t="n">
        <v>40.8</v>
      </c>
      <c r="O422" s="12" t="n">
        <v>40.8</v>
      </c>
      <c r="P422" s="12"/>
      <c r="Q422" s="12"/>
      <c r="R422" s="14" t="n">
        <v>0.021</v>
      </c>
      <c r="S422" s="6"/>
      <c r="T422" s="6"/>
      <c r="U422" s="14" t="n">
        <v>0</v>
      </c>
      <c r="V422" s="14"/>
      <c r="W422" s="14"/>
      <c r="X422" s="10" t="s">
        <v>929</v>
      </c>
      <c r="Y422" s="16"/>
      <c r="Z422" s="17" t="s">
        <v>48</v>
      </c>
      <c r="AA422" s="6" t="s">
        <v>929</v>
      </c>
      <c r="AB422" s="18" t="n">
        <f aca="false">IF(O422="","",$D$3*PI()*(O422/1000)^2/4*3600)</f>
        <v>7.05998807307681</v>
      </c>
      <c r="AC422" s="19" t="n">
        <f aca="false">IF(OR(U422="",NOT(ISNUMBER(U422))),"",U422*$D$3^2/(2*$H$3))</f>
        <v>0</v>
      </c>
      <c r="AD422" s="20" t="n">
        <f aca="false">IF(OR(U422="",NOT(ISNUMBER(U422))),"",U422*$D$3^2/2*$F$3)</f>
        <v>0</v>
      </c>
      <c r="AE422" s="19" t="str">
        <f aca="false">IF(OR(V422="",NOT(ISNUMBER(V422))),"",V422*$D$3^2/(2*$H$3))</f>
        <v/>
      </c>
      <c r="AF422" s="20" t="str">
        <f aca="false">IF(OR(V422="",NOT(ISNUMBER(V422))),"",V422*$D$3^2/2*$F$3)</f>
        <v/>
      </c>
      <c r="AG422" s="19" t="str">
        <f aca="false">IF(OR(W422="",NOT(ISNUMBER(W422))),"",W422*$D$3^2/(2*$H$3))</f>
        <v/>
      </c>
      <c r="AH422" s="20" t="str">
        <f aca="false">IF(OR(W422="",NOT(ISNUMBER(W422))),"",W422*$D$3^2/2*$F$3)</f>
        <v/>
      </c>
    </row>
    <row r="423" customFormat="false" ht="15" hidden="false" customHeight="false" outlineLevel="0" collapsed="false">
      <c r="A423" s="10" t="s">
        <v>938</v>
      </c>
      <c r="B423" s="22" t="s">
        <v>924</v>
      </c>
      <c r="C423" s="6" t="s">
        <v>925</v>
      </c>
      <c r="D423" s="6" t="s">
        <v>939</v>
      </c>
      <c r="E423" s="6" t="s">
        <v>927</v>
      </c>
      <c r="F423" s="6" t="s">
        <v>45</v>
      </c>
      <c r="G423" s="6" t="n">
        <v>63</v>
      </c>
      <c r="H423" s="6"/>
      <c r="I423" s="6"/>
      <c r="J423" s="6" t="n">
        <v>16</v>
      </c>
      <c r="K423" s="6" t="s">
        <v>928</v>
      </c>
      <c r="L423" s="6"/>
      <c r="M423" s="6"/>
      <c r="N423" s="12" t="n">
        <v>51.4</v>
      </c>
      <c r="O423" s="12" t="n">
        <v>51.4</v>
      </c>
      <c r="P423" s="12"/>
      <c r="Q423" s="12"/>
      <c r="R423" s="14" t="n">
        <v>0.019</v>
      </c>
      <c r="S423" s="6"/>
      <c r="T423" s="6"/>
      <c r="U423" s="14" t="n">
        <v>0</v>
      </c>
      <c r="V423" s="14"/>
      <c r="W423" s="14"/>
      <c r="X423" s="10" t="s">
        <v>929</v>
      </c>
      <c r="Y423" s="16"/>
      <c r="Z423" s="17" t="s">
        <v>48</v>
      </c>
      <c r="AA423" s="6" t="s">
        <v>929</v>
      </c>
      <c r="AB423" s="18" t="n">
        <f aca="false">IF(O423="","",$D$3*PI()*(O423/1000)^2/4*3600)</f>
        <v>11.2049488715554</v>
      </c>
      <c r="AC423" s="19" t="n">
        <f aca="false">IF(OR(U423="",NOT(ISNUMBER(U423))),"",U423*$D$3^2/(2*$H$3))</f>
        <v>0</v>
      </c>
      <c r="AD423" s="20" t="n">
        <f aca="false">IF(OR(U423="",NOT(ISNUMBER(U423))),"",U423*$D$3^2/2*$F$3)</f>
        <v>0</v>
      </c>
      <c r="AE423" s="19" t="str">
        <f aca="false">IF(OR(V423="",NOT(ISNUMBER(V423))),"",V423*$D$3^2/(2*$H$3))</f>
        <v/>
      </c>
      <c r="AF423" s="20" t="str">
        <f aca="false">IF(OR(V423="",NOT(ISNUMBER(V423))),"",V423*$D$3^2/2*$F$3)</f>
        <v/>
      </c>
      <c r="AG423" s="19" t="str">
        <f aca="false">IF(OR(W423="",NOT(ISNUMBER(W423))),"",W423*$D$3^2/(2*$H$3))</f>
        <v/>
      </c>
      <c r="AH423" s="20" t="str">
        <f aca="false">IF(OR(W423="",NOT(ISNUMBER(W423))),"",W423*$D$3^2/2*$F$3)</f>
        <v/>
      </c>
    </row>
    <row r="424" customFormat="false" ht="15" hidden="false" customHeight="false" outlineLevel="0" collapsed="false">
      <c r="A424" s="10" t="s">
        <v>940</v>
      </c>
      <c r="B424" s="22" t="s">
        <v>924</v>
      </c>
      <c r="C424" s="6" t="s">
        <v>925</v>
      </c>
      <c r="D424" s="6" t="s">
        <v>941</v>
      </c>
      <c r="E424" s="6" t="s">
        <v>927</v>
      </c>
      <c r="F424" s="6" t="s">
        <v>45</v>
      </c>
      <c r="G424" s="6" t="n">
        <v>75</v>
      </c>
      <c r="H424" s="6"/>
      <c r="I424" s="6"/>
      <c r="J424" s="6" t="n">
        <v>16</v>
      </c>
      <c r="K424" s="6" t="s">
        <v>928</v>
      </c>
      <c r="L424" s="6"/>
      <c r="M424" s="6"/>
      <c r="N424" s="12" t="n">
        <v>61.4</v>
      </c>
      <c r="O424" s="12" t="n">
        <v>61.4</v>
      </c>
      <c r="P424" s="12"/>
      <c r="Q424" s="12"/>
      <c r="R424" s="14" t="n">
        <v>0.018</v>
      </c>
      <c r="S424" s="6"/>
      <c r="T424" s="6"/>
      <c r="U424" s="14" t="n">
        <v>0</v>
      </c>
      <c r="V424" s="14"/>
      <c r="W424" s="14"/>
      <c r="X424" s="10" t="s">
        <v>929</v>
      </c>
      <c r="Y424" s="16"/>
      <c r="Z424" s="17" t="s">
        <v>48</v>
      </c>
      <c r="AA424" s="6" t="s">
        <v>929</v>
      </c>
      <c r="AB424" s="18" t="n">
        <f aca="false">IF(O424="","",$D$3*PI()*(O424/1000)^2/4*3600)</f>
        <v>15.988966164442</v>
      </c>
      <c r="AC424" s="19" t="n">
        <f aca="false">IF(OR(U424="",NOT(ISNUMBER(U424))),"",U424*$D$3^2/(2*$H$3))</f>
        <v>0</v>
      </c>
      <c r="AD424" s="20" t="n">
        <f aca="false">IF(OR(U424="",NOT(ISNUMBER(U424))),"",U424*$D$3^2/2*$F$3)</f>
        <v>0</v>
      </c>
      <c r="AE424" s="19" t="str">
        <f aca="false">IF(OR(V424="",NOT(ISNUMBER(V424))),"",V424*$D$3^2/(2*$H$3))</f>
        <v/>
      </c>
      <c r="AF424" s="20" t="str">
        <f aca="false">IF(OR(V424="",NOT(ISNUMBER(V424))),"",V424*$D$3^2/2*$F$3)</f>
        <v/>
      </c>
      <c r="AG424" s="19" t="str">
        <f aca="false">IF(OR(W424="",NOT(ISNUMBER(W424))),"",W424*$D$3^2/(2*$H$3))</f>
        <v/>
      </c>
      <c r="AH424" s="20" t="str">
        <f aca="false">IF(OR(W424="",NOT(ISNUMBER(W424))),"",W424*$D$3^2/2*$F$3)</f>
        <v/>
      </c>
    </row>
    <row r="425" customFormat="false" ht="15" hidden="false" customHeight="false" outlineLevel="0" collapsed="false">
      <c r="A425" s="10" t="s">
        <v>942</v>
      </c>
      <c r="B425" s="22" t="s">
        <v>924</v>
      </c>
      <c r="C425" s="6" t="s">
        <v>925</v>
      </c>
      <c r="D425" s="6" t="s">
        <v>943</v>
      </c>
      <c r="E425" s="6" t="s">
        <v>927</v>
      </c>
      <c r="F425" s="6" t="s">
        <v>45</v>
      </c>
      <c r="G425" s="6" t="n">
        <v>90</v>
      </c>
      <c r="H425" s="6"/>
      <c r="I425" s="6"/>
      <c r="J425" s="6" t="n">
        <v>16</v>
      </c>
      <c r="K425" s="6" t="s">
        <v>928</v>
      </c>
      <c r="L425" s="6"/>
      <c r="M425" s="6"/>
      <c r="N425" s="12" t="n">
        <v>73.6</v>
      </c>
      <c r="O425" s="12" t="n">
        <v>73.6</v>
      </c>
      <c r="P425" s="12"/>
      <c r="Q425" s="12"/>
      <c r="R425" s="14" t="n">
        <v>0.018</v>
      </c>
      <c r="S425" s="6"/>
      <c r="T425" s="6"/>
      <c r="U425" s="14" t="n">
        <v>0</v>
      </c>
      <c r="V425" s="14"/>
      <c r="W425" s="14"/>
      <c r="X425" s="10" t="s">
        <v>929</v>
      </c>
      <c r="Y425" s="16"/>
      <c r="Z425" s="17" t="s">
        <v>48</v>
      </c>
      <c r="AA425" s="6" t="s">
        <v>929</v>
      </c>
      <c r="AB425" s="18" t="n">
        <f aca="false">IF(O425="","",$D$3*PI()*(O425/1000)^2/4*3600)</f>
        <v>22.9741403500662</v>
      </c>
      <c r="AC425" s="19" t="n">
        <f aca="false">IF(OR(U425="",NOT(ISNUMBER(U425))),"",U425*$D$3^2/(2*$H$3))</f>
        <v>0</v>
      </c>
      <c r="AD425" s="20" t="n">
        <f aca="false">IF(OR(U425="",NOT(ISNUMBER(U425))),"",U425*$D$3^2/2*$F$3)</f>
        <v>0</v>
      </c>
      <c r="AE425" s="19" t="str">
        <f aca="false">IF(OR(V425="",NOT(ISNUMBER(V425))),"",V425*$D$3^2/(2*$H$3))</f>
        <v/>
      </c>
      <c r="AF425" s="20" t="str">
        <f aca="false">IF(OR(V425="",NOT(ISNUMBER(V425))),"",V425*$D$3^2/2*$F$3)</f>
        <v/>
      </c>
      <c r="AG425" s="19" t="str">
        <f aca="false">IF(OR(W425="",NOT(ISNUMBER(W425))),"",W425*$D$3^2/(2*$H$3))</f>
        <v/>
      </c>
      <c r="AH425" s="20" t="str">
        <f aca="false">IF(OR(W425="",NOT(ISNUMBER(W425))),"",W425*$D$3^2/2*$F$3)</f>
        <v/>
      </c>
    </row>
    <row r="426" customFormat="false" ht="15" hidden="false" customHeight="false" outlineLevel="0" collapsed="false">
      <c r="A426" s="10" t="s">
        <v>944</v>
      </c>
      <c r="B426" s="22" t="s">
        <v>924</v>
      </c>
      <c r="C426" s="6" t="s">
        <v>925</v>
      </c>
      <c r="D426" s="6" t="s">
        <v>945</v>
      </c>
      <c r="E426" s="6" t="s">
        <v>927</v>
      </c>
      <c r="F426" s="6" t="s">
        <v>45</v>
      </c>
      <c r="G426" s="6" t="n">
        <v>110</v>
      </c>
      <c r="H426" s="6"/>
      <c r="I426" s="6"/>
      <c r="J426" s="6" t="n">
        <v>16</v>
      </c>
      <c r="K426" s="6" t="s">
        <v>928</v>
      </c>
      <c r="L426" s="6"/>
      <c r="M426" s="6"/>
      <c r="N426" s="12" t="n">
        <v>90</v>
      </c>
      <c r="O426" s="12" t="n">
        <v>90</v>
      </c>
      <c r="P426" s="12"/>
      <c r="Q426" s="12"/>
      <c r="R426" s="14" t="n">
        <v>0.017</v>
      </c>
      <c r="S426" s="6"/>
      <c r="T426" s="6"/>
      <c r="U426" s="14" t="n">
        <v>0</v>
      </c>
      <c r="V426" s="14"/>
      <c r="W426" s="14"/>
      <c r="X426" s="10" t="s">
        <v>929</v>
      </c>
      <c r="Y426" s="16"/>
      <c r="Z426" s="17" t="s">
        <v>48</v>
      </c>
      <c r="AA426" s="6" t="s">
        <v>929</v>
      </c>
      <c r="AB426" s="18" t="n">
        <f aca="false">IF(O426="","",$D$3*PI()*(O426/1000)^2/4*3600)</f>
        <v>34.3533156670044</v>
      </c>
      <c r="AC426" s="19" t="n">
        <f aca="false">IF(OR(U426="",NOT(ISNUMBER(U426))),"",U426*$D$3^2/(2*$H$3))</f>
        <v>0</v>
      </c>
      <c r="AD426" s="20" t="n">
        <f aca="false">IF(OR(U426="",NOT(ISNUMBER(U426))),"",U426*$D$3^2/2*$F$3)</f>
        <v>0</v>
      </c>
      <c r="AE426" s="19" t="str">
        <f aca="false">IF(OR(V426="",NOT(ISNUMBER(V426))),"",V426*$D$3^2/(2*$H$3))</f>
        <v/>
      </c>
      <c r="AF426" s="20" t="str">
        <f aca="false">IF(OR(V426="",NOT(ISNUMBER(V426))),"",V426*$D$3^2/2*$F$3)</f>
        <v/>
      </c>
      <c r="AG426" s="19" t="str">
        <f aca="false">IF(OR(W426="",NOT(ISNUMBER(W426))),"",W426*$D$3^2/(2*$H$3))</f>
        <v/>
      </c>
      <c r="AH426" s="20" t="str">
        <f aca="false">IF(OR(W426="",NOT(ISNUMBER(W426))),"",W426*$D$3^2/2*$F$3)</f>
        <v/>
      </c>
    </row>
    <row r="427" customFormat="false" ht="15" hidden="false" customHeight="false" outlineLevel="0" collapsed="false">
      <c r="A427" s="10" t="s">
        <v>946</v>
      </c>
      <c r="B427" s="22" t="s">
        <v>924</v>
      </c>
      <c r="C427" s="6" t="s">
        <v>925</v>
      </c>
      <c r="D427" s="6" t="s">
        <v>947</v>
      </c>
      <c r="E427" s="6" t="s">
        <v>927</v>
      </c>
      <c r="F427" s="6" t="s">
        <v>45</v>
      </c>
      <c r="G427" s="6" t="n">
        <v>125</v>
      </c>
      <c r="H427" s="6"/>
      <c r="I427" s="6"/>
      <c r="J427" s="6" t="n">
        <v>16</v>
      </c>
      <c r="K427" s="6" t="s">
        <v>928</v>
      </c>
      <c r="L427" s="6"/>
      <c r="M427" s="6"/>
      <c r="N427" s="12" t="n">
        <v>102.2</v>
      </c>
      <c r="O427" s="12" t="n">
        <v>102.2</v>
      </c>
      <c r="P427" s="12"/>
      <c r="Q427" s="12"/>
      <c r="R427" s="14" t="n">
        <v>0.016</v>
      </c>
      <c r="S427" s="6"/>
      <c r="T427" s="6"/>
      <c r="U427" s="14" t="n">
        <v>0</v>
      </c>
      <c r="V427" s="14"/>
      <c r="W427" s="14"/>
      <c r="X427" s="10" t="s">
        <v>929</v>
      </c>
      <c r="Y427" s="16"/>
      <c r="Z427" s="17" t="s">
        <v>48</v>
      </c>
      <c r="AA427" s="6" t="s">
        <v>929</v>
      </c>
      <c r="AB427" s="18" t="n">
        <f aca="false">IF(O427="","",$D$3*PI()*(O427/1000)^2/4*3600)</f>
        <v>44.2981340260931</v>
      </c>
      <c r="AC427" s="19" t="n">
        <f aca="false">IF(OR(U427="",NOT(ISNUMBER(U427))),"",U427*$D$3^2/(2*$H$3))</f>
        <v>0</v>
      </c>
      <c r="AD427" s="20" t="n">
        <f aca="false">IF(OR(U427="",NOT(ISNUMBER(U427))),"",U427*$D$3^2/2*$F$3)</f>
        <v>0</v>
      </c>
      <c r="AE427" s="19" t="str">
        <f aca="false">IF(OR(V427="",NOT(ISNUMBER(V427))),"",V427*$D$3^2/(2*$H$3))</f>
        <v/>
      </c>
      <c r="AF427" s="20" t="str">
        <f aca="false">IF(OR(V427="",NOT(ISNUMBER(V427))),"",V427*$D$3^2/2*$F$3)</f>
        <v/>
      </c>
      <c r="AG427" s="19" t="str">
        <f aca="false">IF(OR(W427="",NOT(ISNUMBER(W427))),"",W427*$D$3^2/(2*$H$3))</f>
        <v/>
      </c>
      <c r="AH427" s="20" t="str">
        <f aca="false">IF(OR(W427="",NOT(ISNUMBER(W427))),"",W427*$D$3^2/2*$F$3)</f>
        <v/>
      </c>
    </row>
    <row r="428" customFormat="false" ht="15" hidden="false" customHeight="false" outlineLevel="0" collapsed="false">
      <c r="A428" s="10" t="s">
        <v>948</v>
      </c>
      <c r="B428" s="22" t="s">
        <v>924</v>
      </c>
      <c r="C428" s="6" t="s">
        <v>925</v>
      </c>
      <c r="D428" s="6" t="s">
        <v>949</v>
      </c>
      <c r="E428" s="6" t="s">
        <v>927</v>
      </c>
      <c r="F428" s="6" t="s">
        <v>45</v>
      </c>
      <c r="G428" s="6" t="n">
        <v>140</v>
      </c>
      <c r="H428" s="6"/>
      <c r="I428" s="6"/>
      <c r="J428" s="6" t="n">
        <v>16</v>
      </c>
      <c r="K428" s="6" t="s">
        <v>928</v>
      </c>
      <c r="L428" s="6"/>
      <c r="M428" s="6"/>
      <c r="N428" s="12" t="n">
        <v>114.6</v>
      </c>
      <c r="O428" s="12" t="n">
        <v>114.6</v>
      </c>
      <c r="P428" s="12"/>
      <c r="Q428" s="12"/>
      <c r="R428" s="14" t="n">
        <v>0.016</v>
      </c>
      <c r="S428" s="6"/>
      <c r="T428" s="6"/>
      <c r="U428" s="14" t="n">
        <v>0</v>
      </c>
      <c r="V428" s="14"/>
      <c r="W428" s="14"/>
      <c r="X428" s="10" t="s">
        <v>929</v>
      </c>
      <c r="Y428" s="16"/>
      <c r="Z428" s="17" t="s">
        <v>48</v>
      </c>
      <c r="AA428" s="6" t="s">
        <v>929</v>
      </c>
      <c r="AB428" s="18" t="n">
        <f aca="false">IF(O428="","",$D$3*PI()*(O428/1000)^2/4*3600)</f>
        <v>55.6997026154661</v>
      </c>
      <c r="AC428" s="19" t="n">
        <f aca="false">IF(OR(U428="",NOT(ISNUMBER(U428))),"",U428*$D$3^2/(2*$H$3))</f>
        <v>0</v>
      </c>
      <c r="AD428" s="20" t="n">
        <f aca="false">IF(OR(U428="",NOT(ISNUMBER(U428))),"",U428*$D$3^2/2*$F$3)</f>
        <v>0</v>
      </c>
      <c r="AE428" s="19" t="str">
        <f aca="false">IF(OR(V428="",NOT(ISNUMBER(V428))),"",V428*$D$3^2/(2*$H$3))</f>
        <v/>
      </c>
      <c r="AF428" s="20" t="str">
        <f aca="false">IF(OR(V428="",NOT(ISNUMBER(V428))),"",V428*$D$3^2/2*$F$3)</f>
        <v/>
      </c>
      <c r="AG428" s="19" t="str">
        <f aca="false">IF(OR(W428="",NOT(ISNUMBER(W428))),"",W428*$D$3^2/(2*$H$3))</f>
        <v/>
      </c>
      <c r="AH428" s="20" t="str">
        <f aca="false">IF(OR(W428="",NOT(ISNUMBER(W428))),"",W428*$D$3^2/2*$F$3)</f>
        <v/>
      </c>
    </row>
    <row r="429" customFormat="false" ht="15" hidden="false" customHeight="false" outlineLevel="0" collapsed="false">
      <c r="A429" s="10" t="s">
        <v>950</v>
      </c>
      <c r="B429" s="22" t="s">
        <v>924</v>
      </c>
      <c r="C429" s="6" t="s">
        <v>925</v>
      </c>
      <c r="D429" s="6" t="s">
        <v>951</v>
      </c>
      <c r="E429" s="6" t="s">
        <v>927</v>
      </c>
      <c r="F429" s="6" t="s">
        <v>45</v>
      </c>
      <c r="G429" s="6" t="n">
        <v>160</v>
      </c>
      <c r="H429" s="6"/>
      <c r="I429" s="6"/>
      <c r="J429" s="6" t="n">
        <v>16</v>
      </c>
      <c r="K429" s="6" t="s">
        <v>928</v>
      </c>
      <c r="L429" s="6"/>
      <c r="M429" s="6"/>
      <c r="N429" s="12" t="n">
        <v>130.8</v>
      </c>
      <c r="O429" s="12" t="n">
        <v>130.8</v>
      </c>
      <c r="P429" s="12"/>
      <c r="Q429" s="12"/>
      <c r="R429" s="14" t="n">
        <v>0.015</v>
      </c>
      <c r="S429" s="6"/>
      <c r="T429" s="6"/>
      <c r="U429" s="14" t="n">
        <v>0</v>
      </c>
      <c r="V429" s="14"/>
      <c r="W429" s="14"/>
      <c r="X429" s="10" t="s">
        <v>929</v>
      </c>
      <c r="Y429" s="16"/>
      <c r="Z429" s="17" t="s">
        <v>48</v>
      </c>
      <c r="AA429" s="6" t="s">
        <v>929</v>
      </c>
      <c r="AB429" s="18" t="n">
        <f aca="false">IF(O429="","",$D$3*PI()*(O429/1000)^2/4*3600)</f>
        <v>72.5603099448318</v>
      </c>
      <c r="AC429" s="19" t="n">
        <f aca="false">IF(OR(U429="",NOT(ISNUMBER(U429))),"",U429*$D$3^2/(2*$H$3))</f>
        <v>0</v>
      </c>
      <c r="AD429" s="20" t="n">
        <f aca="false">IF(OR(U429="",NOT(ISNUMBER(U429))),"",U429*$D$3^2/2*$F$3)</f>
        <v>0</v>
      </c>
      <c r="AE429" s="19" t="str">
        <f aca="false">IF(OR(V429="",NOT(ISNUMBER(V429))),"",V429*$D$3^2/(2*$H$3))</f>
        <v/>
      </c>
      <c r="AF429" s="20" t="str">
        <f aca="false">IF(OR(V429="",NOT(ISNUMBER(V429))),"",V429*$D$3^2/2*$F$3)</f>
        <v/>
      </c>
      <c r="AG429" s="19" t="str">
        <f aca="false">IF(OR(W429="",NOT(ISNUMBER(W429))),"",W429*$D$3^2/(2*$H$3))</f>
        <v/>
      </c>
      <c r="AH429" s="20" t="str">
        <f aca="false">IF(OR(W429="",NOT(ISNUMBER(W429))),"",W429*$D$3^2/2*$F$3)</f>
        <v/>
      </c>
    </row>
    <row r="430" customFormat="false" ht="15" hidden="false" customHeight="false" outlineLevel="0" collapsed="false">
      <c r="A430" s="10" t="s">
        <v>952</v>
      </c>
      <c r="B430" s="22" t="s">
        <v>924</v>
      </c>
      <c r="C430" s="6" t="s">
        <v>925</v>
      </c>
      <c r="D430" s="6" t="s">
        <v>953</v>
      </c>
      <c r="E430" s="6" t="s">
        <v>927</v>
      </c>
      <c r="F430" s="6" t="s">
        <v>45</v>
      </c>
      <c r="G430" s="6" t="n">
        <v>180</v>
      </c>
      <c r="H430" s="6"/>
      <c r="I430" s="6"/>
      <c r="J430" s="6" t="n">
        <v>16</v>
      </c>
      <c r="K430" s="6" t="s">
        <v>928</v>
      </c>
      <c r="L430" s="6"/>
      <c r="M430" s="6"/>
      <c r="N430" s="12" t="n">
        <v>147.2</v>
      </c>
      <c r="O430" s="12" t="n">
        <v>147.2</v>
      </c>
      <c r="P430" s="12"/>
      <c r="Q430" s="12"/>
      <c r="R430" s="14" t="n">
        <v>0.015</v>
      </c>
      <c r="S430" s="6"/>
      <c r="T430" s="6"/>
      <c r="U430" s="14" t="n">
        <v>0</v>
      </c>
      <c r="V430" s="14"/>
      <c r="W430" s="14"/>
      <c r="X430" s="10" t="s">
        <v>929</v>
      </c>
      <c r="Y430" s="16"/>
      <c r="Z430" s="17" t="s">
        <v>48</v>
      </c>
      <c r="AA430" s="6" t="s">
        <v>929</v>
      </c>
      <c r="AB430" s="18" t="n">
        <f aca="false">IF(O430="","",$D$3*PI()*(O430/1000)^2/4*3600)</f>
        <v>91.8965614002647</v>
      </c>
      <c r="AC430" s="19" t="n">
        <f aca="false">IF(OR(U430="",NOT(ISNUMBER(U430))),"",U430*$D$3^2/(2*$H$3))</f>
        <v>0</v>
      </c>
      <c r="AD430" s="20" t="n">
        <f aca="false">IF(OR(U430="",NOT(ISNUMBER(U430))),"",U430*$D$3^2/2*$F$3)</f>
        <v>0</v>
      </c>
      <c r="AE430" s="19" t="str">
        <f aca="false">IF(OR(V430="",NOT(ISNUMBER(V430))),"",V430*$D$3^2/(2*$H$3))</f>
        <v/>
      </c>
      <c r="AF430" s="20" t="str">
        <f aca="false">IF(OR(V430="",NOT(ISNUMBER(V430))),"",V430*$D$3^2/2*$F$3)</f>
        <v/>
      </c>
      <c r="AG430" s="19" t="str">
        <f aca="false">IF(OR(W430="",NOT(ISNUMBER(W430))),"",W430*$D$3^2/(2*$H$3))</f>
        <v/>
      </c>
      <c r="AH430" s="20" t="str">
        <f aca="false">IF(OR(W430="",NOT(ISNUMBER(W430))),"",W430*$D$3^2/2*$F$3)</f>
        <v/>
      </c>
    </row>
    <row r="431" customFormat="false" ht="15" hidden="false" customHeight="false" outlineLevel="0" collapsed="false">
      <c r="A431" s="10" t="s">
        <v>954</v>
      </c>
      <c r="B431" s="22" t="s">
        <v>924</v>
      </c>
      <c r="C431" s="6" t="s">
        <v>925</v>
      </c>
      <c r="D431" s="6" t="s">
        <v>955</v>
      </c>
      <c r="E431" s="6" t="s">
        <v>927</v>
      </c>
      <c r="F431" s="6" t="s">
        <v>45</v>
      </c>
      <c r="G431" s="6" t="n">
        <v>200</v>
      </c>
      <c r="H431" s="6"/>
      <c r="I431" s="6"/>
      <c r="J431" s="6" t="n">
        <v>16</v>
      </c>
      <c r="K431" s="6" t="s">
        <v>928</v>
      </c>
      <c r="L431" s="6"/>
      <c r="M431" s="6"/>
      <c r="N431" s="12" t="n">
        <v>163.6</v>
      </c>
      <c r="O431" s="12" t="n">
        <v>163.6</v>
      </c>
      <c r="P431" s="12"/>
      <c r="Q431" s="12"/>
      <c r="R431" s="14" t="n">
        <v>0.014</v>
      </c>
      <c r="S431" s="6"/>
      <c r="T431" s="6"/>
      <c r="U431" s="14" t="n">
        <v>0</v>
      </c>
      <c r="V431" s="14"/>
      <c r="W431" s="14"/>
      <c r="X431" s="10" t="s">
        <v>929</v>
      </c>
      <c r="Y431" s="16"/>
      <c r="Z431" s="17" t="s">
        <v>48</v>
      </c>
      <c r="AA431" s="6" t="s">
        <v>929</v>
      </c>
      <c r="AB431" s="18" t="n">
        <f aca="false">IF(O431="","",$D$3*PI()*(O431/1000)^2/4*3600)</f>
        <v>113.514212307993</v>
      </c>
      <c r="AC431" s="19" t="n">
        <f aca="false">IF(OR(U431="",NOT(ISNUMBER(U431))),"",U431*$D$3^2/(2*$H$3))</f>
        <v>0</v>
      </c>
      <c r="AD431" s="20" t="n">
        <f aca="false">IF(OR(U431="",NOT(ISNUMBER(U431))),"",U431*$D$3^2/2*$F$3)</f>
        <v>0</v>
      </c>
      <c r="AE431" s="19" t="str">
        <f aca="false">IF(OR(V431="",NOT(ISNUMBER(V431))),"",V431*$D$3^2/(2*$H$3))</f>
        <v/>
      </c>
      <c r="AF431" s="20" t="str">
        <f aca="false">IF(OR(V431="",NOT(ISNUMBER(V431))),"",V431*$D$3^2/2*$F$3)</f>
        <v/>
      </c>
      <c r="AG431" s="19" t="str">
        <f aca="false">IF(OR(W431="",NOT(ISNUMBER(W431))),"",W431*$D$3^2/(2*$H$3))</f>
        <v/>
      </c>
      <c r="AH431" s="20" t="str">
        <f aca="false">IF(OR(W431="",NOT(ISNUMBER(W431))),"",W431*$D$3^2/2*$F$3)</f>
        <v/>
      </c>
    </row>
    <row r="432" customFormat="false" ht="15" hidden="false" customHeight="false" outlineLevel="0" collapsed="false">
      <c r="A432" s="10" t="s">
        <v>956</v>
      </c>
      <c r="B432" s="22" t="s">
        <v>924</v>
      </c>
      <c r="C432" s="6" t="s">
        <v>925</v>
      </c>
      <c r="D432" s="6" t="s">
        <v>957</v>
      </c>
      <c r="E432" s="6" t="s">
        <v>927</v>
      </c>
      <c r="F432" s="6" t="s">
        <v>45</v>
      </c>
      <c r="G432" s="6" t="n">
        <v>225</v>
      </c>
      <c r="H432" s="6"/>
      <c r="I432" s="6"/>
      <c r="J432" s="6" t="n">
        <v>16</v>
      </c>
      <c r="K432" s="6" t="s">
        <v>928</v>
      </c>
      <c r="L432" s="6"/>
      <c r="M432" s="6"/>
      <c r="N432" s="12" t="n">
        <v>184</v>
      </c>
      <c r="O432" s="12" t="n">
        <v>184</v>
      </c>
      <c r="P432" s="12"/>
      <c r="Q432" s="12"/>
      <c r="R432" s="14" t="n">
        <v>0.014</v>
      </c>
      <c r="S432" s="6"/>
      <c r="T432" s="6"/>
      <c r="U432" s="14" t="n">
        <v>0</v>
      </c>
      <c r="V432" s="14"/>
      <c r="W432" s="14"/>
      <c r="X432" s="10" t="s">
        <v>929</v>
      </c>
      <c r="Y432" s="16"/>
      <c r="Z432" s="17" t="s">
        <v>48</v>
      </c>
      <c r="AA432" s="6" t="s">
        <v>929</v>
      </c>
      <c r="AB432" s="18" t="n">
        <f aca="false">IF(O432="","",$D$3*PI()*(O432/1000)^2/4*3600)</f>
        <v>143.588377187914</v>
      </c>
      <c r="AC432" s="19" t="n">
        <f aca="false">IF(OR(U432="",NOT(ISNUMBER(U432))),"",U432*$D$3^2/(2*$H$3))</f>
        <v>0</v>
      </c>
      <c r="AD432" s="20" t="n">
        <f aca="false">IF(OR(U432="",NOT(ISNUMBER(U432))),"",U432*$D$3^2/2*$F$3)</f>
        <v>0</v>
      </c>
      <c r="AE432" s="19" t="str">
        <f aca="false">IF(OR(V432="",NOT(ISNUMBER(V432))),"",V432*$D$3^2/(2*$H$3))</f>
        <v/>
      </c>
      <c r="AF432" s="20" t="str">
        <f aca="false">IF(OR(V432="",NOT(ISNUMBER(V432))),"",V432*$D$3^2/2*$F$3)</f>
        <v/>
      </c>
      <c r="AG432" s="19" t="str">
        <f aca="false">IF(OR(W432="",NOT(ISNUMBER(W432))),"",W432*$D$3^2/(2*$H$3))</f>
        <v/>
      </c>
      <c r="AH432" s="20" t="str">
        <f aca="false">IF(OR(W432="",NOT(ISNUMBER(W432))),"",W432*$D$3^2/2*$F$3)</f>
        <v/>
      </c>
    </row>
    <row r="433" customFormat="false" ht="15" hidden="false" customHeight="false" outlineLevel="0" collapsed="false">
      <c r="A433" s="10" t="s">
        <v>958</v>
      </c>
      <c r="B433" s="22" t="s">
        <v>924</v>
      </c>
      <c r="C433" s="6" t="s">
        <v>925</v>
      </c>
      <c r="D433" s="6" t="s">
        <v>959</v>
      </c>
      <c r="E433" s="6" t="s">
        <v>927</v>
      </c>
      <c r="F433" s="6" t="s">
        <v>45</v>
      </c>
      <c r="G433" s="6" t="n">
        <v>250</v>
      </c>
      <c r="H433" s="6"/>
      <c r="I433" s="6"/>
      <c r="J433" s="6" t="n">
        <v>16</v>
      </c>
      <c r="K433" s="6" t="s">
        <v>928</v>
      </c>
      <c r="L433" s="6"/>
      <c r="M433" s="6"/>
      <c r="N433" s="12" t="n">
        <v>204.6</v>
      </c>
      <c r="O433" s="12" t="n">
        <v>204.6</v>
      </c>
      <c r="P433" s="12"/>
      <c r="Q433" s="12"/>
      <c r="R433" s="14" t="n">
        <v>0.014</v>
      </c>
      <c r="S433" s="6"/>
      <c r="T433" s="6"/>
      <c r="U433" s="14" t="n">
        <v>0</v>
      </c>
      <c r="V433" s="14"/>
      <c r="W433" s="14"/>
      <c r="X433" s="10" t="s">
        <v>929</v>
      </c>
      <c r="Y433" s="16"/>
      <c r="Z433" s="17" t="s">
        <v>48</v>
      </c>
      <c r="AA433" s="6" t="s">
        <v>929</v>
      </c>
      <c r="AB433" s="18" t="n">
        <f aca="false">IF(O433="","",$D$3*PI()*(O433/1000)^2/4*3600)</f>
        <v>177.539462181108</v>
      </c>
      <c r="AC433" s="19" t="n">
        <f aca="false">IF(OR(U433="",NOT(ISNUMBER(U433))),"",U433*$D$3^2/(2*$H$3))</f>
        <v>0</v>
      </c>
      <c r="AD433" s="20" t="n">
        <f aca="false">IF(OR(U433="",NOT(ISNUMBER(U433))),"",U433*$D$3^2/2*$F$3)</f>
        <v>0</v>
      </c>
      <c r="AE433" s="19" t="str">
        <f aca="false">IF(OR(V433="",NOT(ISNUMBER(V433))),"",V433*$D$3^2/(2*$H$3))</f>
        <v/>
      </c>
      <c r="AF433" s="20" t="str">
        <f aca="false">IF(OR(V433="",NOT(ISNUMBER(V433))),"",V433*$D$3^2/2*$F$3)</f>
        <v/>
      </c>
      <c r="AG433" s="19" t="str">
        <f aca="false">IF(OR(W433="",NOT(ISNUMBER(W433))),"",W433*$D$3^2/(2*$H$3))</f>
        <v/>
      </c>
      <c r="AH433" s="20" t="str">
        <f aca="false">IF(OR(W433="",NOT(ISNUMBER(W433))),"",W433*$D$3^2/2*$F$3)</f>
        <v/>
      </c>
    </row>
    <row r="434" customFormat="false" ht="15" hidden="false" customHeight="false" outlineLevel="0" collapsed="false">
      <c r="A434" s="10" t="s">
        <v>960</v>
      </c>
      <c r="B434" s="22" t="s">
        <v>924</v>
      </c>
      <c r="C434" s="6" t="s">
        <v>925</v>
      </c>
      <c r="D434" s="6" t="s">
        <v>961</v>
      </c>
      <c r="E434" s="6" t="s">
        <v>927</v>
      </c>
      <c r="F434" s="6" t="s">
        <v>45</v>
      </c>
      <c r="G434" s="6" t="n">
        <v>280</v>
      </c>
      <c r="H434" s="6"/>
      <c r="I434" s="6"/>
      <c r="J434" s="6" t="n">
        <v>16</v>
      </c>
      <c r="K434" s="6" t="s">
        <v>928</v>
      </c>
      <c r="L434" s="6"/>
      <c r="M434" s="6"/>
      <c r="N434" s="12" t="n">
        <v>229.2</v>
      </c>
      <c r="O434" s="12" t="n">
        <v>229.2</v>
      </c>
      <c r="P434" s="12"/>
      <c r="Q434" s="12"/>
      <c r="R434" s="14" t="n">
        <v>0.014</v>
      </c>
      <c r="S434" s="6"/>
      <c r="T434" s="6"/>
      <c r="U434" s="14" t="n">
        <v>0</v>
      </c>
      <c r="V434" s="14"/>
      <c r="W434" s="14"/>
      <c r="X434" s="10" t="s">
        <v>929</v>
      </c>
      <c r="Y434" s="16"/>
      <c r="Z434" s="17" t="s">
        <v>48</v>
      </c>
      <c r="AA434" s="6" t="s">
        <v>929</v>
      </c>
      <c r="AB434" s="18" t="n">
        <f aca="false">IF(O434="","",$D$3*PI()*(O434/1000)^2/4*3600)</f>
        <v>222.798810461864</v>
      </c>
      <c r="AC434" s="19" t="n">
        <f aca="false">IF(OR(U434="",NOT(ISNUMBER(U434))),"",U434*$D$3^2/(2*$H$3))</f>
        <v>0</v>
      </c>
      <c r="AD434" s="20" t="n">
        <f aca="false">IF(OR(U434="",NOT(ISNUMBER(U434))),"",U434*$D$3^2/2*$F$3)</f>
        <v>0</v>
      </c>
      <c r="AE434" s="19" t="str">
        <f aca="false">IF(OR(V434="",NOT(ISNUMBER(V434))),"",V434*$D$3^2/(2*$H$3))</f>
        <v/>
      </c>
      <c r="AF434" s="20" t="str">
        <f aca="false">IF(OR(V434="",NOT(ISNUMBER(V434))),"",V434*$D$3^2/2*$F$3)</f>
        <v/>
      </c>
      <c r="AG434" s="19" t="str">
        <f aca="false">IF(OR(W434="",NOT(ISNUMBER(W434))),"",W434*$D$3^2/(2*$H$3))</f>
        <v/>
      </c>
      <c r="AH434" s="20" t="str">
        <f aca="false">IF(OR(W434="",NOT(ISNUMBER(W434))),"",W434*$D$3^2/2*$F$3)</f>
        <v/>
      </c>
    </row>
    <row r="435" customFormat="false" ht="15" hidden="false" customHeight="false" outlineLevel="0" collapsed="false">
      <c r="A435" s="10" t="s">
        <v>962</v>
      </c>
      <c r="B435" s="22" t="s">
        <v>924</v>
      </c>
      <c r="C435" s="6" t="s">
        <v>925</v>
      </c>
      <c r="D435" s="6" t="s">
        <v>963</v>
      </c>
      <c r="E435" s="6" t="s">
        <v>927</v>
      </c>
      <c r="F435" s="6" t="s">
        <v>45</v>
      </c>
      <c r="G435" s="6" t="n">
        <v>315</v>
      </c>
      <c r="H435" s="6"/>
      <c r="I435" s="6"/>
      <c r="J435" s="6" t="n">
        <v>16</v>
      </c>
      <c r="K435" s="6" t="s">
        <v>928</v>
      </c>
      <c r="L435" s="6"/>
      <c r="M435" s="6"/>
      <c r="N435" s="12" t="n">
        <v>257.8</v>
      </c>
      <c r="O435" s="12" t="n">
        <v>257.8</v>
      </c>
      <c r="P435" s="12"/>
      <c r="Q435" s="12"/>
      <c r="R435" s="14" t="n">
        <v>0.013</v>
      </c>
      <c r="S435" s="6"/>
      <c r="T435" s="6"/>
      <c r="U435" s="14" t="n">
        <v>0</v>
      </c>
      <c r="V435" s="14"/>
      <c r="W435" s="14"/>
      <c r="X435" s="10" t="s">
        <v>929</v>
      </c>
      <c r="Y435" s="16"/>
      <c r="Z435" s="17" t="s">
        <v>48</v>
      </c>
      <c r="AA435" s="6" t="s">
        <v>929</v>
      </c>
      <c r="AB435" s="18" t="n">
        <f aca="false">IF(O435="","",$D$3*PI()*(O435/1000)^2/4*3600)</f>
        <v>281.870397038799</v>
      </c>
      <c r="AC435" s="19" t="n">
        <f aca="false">IF(OR(U435="",NOT(ISNUMBER(U435))),"",U435*$D$3^2/(2*$H$3))</f>
        <v>0</v>
      </c>
      <c r="AD435" s="20" t="n">
        <f aca="false">IF(OR(U435="",NOT(ISNUMBER(U435))),"",U435*$D$3^2/2*$F$3)</f>
        <v>0</v>
      </c>
      <c r="AE435" s="19" t="str">
        <f aca="false">IF(OR(V435="",NOT(ISNUMBER(V435))),"",V435*$D$3^2/(2*$H$3))</f>
        <v/>
      </c>
      <c r="AF435" s="20" t="str">
        <f aca="false">IF(OR(V435="",NOT(ISNUMBER(V435))),"",V435*$D$3^2/2*$F$3)</f>
        <v/>
      </c>
      <c r="AG435" s="19" t="str">
        <f aca="false">IF(OR(W435="",NOT(ISNUMBER(W435))),"",W435*$D$3^2/(2*$H$3))</f>
        <v/>
      </c>
      <c r="AH435" s="20" t="str">
        <f aca="false">IF(OR(W435="",NOT(ISNUMBER(W435))),"",W435*$D$3^2/2*$F$3)</f>
        <v/>
      </c>
    </row>
    <row r="436" customFormat="false" ht="15" hidden="false" customHeight="false" outlineLevel="0" collapsed="false">
      <c r="A436" s="10" t="s">
        <v>964</v>
      </c>
      <c r="B436" s="22" t="s">
        <v>924</v>
      </c>
      <c r="C436" s="6" t="s">
        <v>925</v>
      </c>
      <c r="D436" s="6" t="s">
        <v>965</v>
      </c>
      <c r="E436" s="6" t="s">
        <v>927</v>
      </c>
      <c r="F436" s="6" t="s">
        <v>45</v>
      </c>
      <c r="G436" s="6" t="n">
        <v>355</v>
      </c>
      <c r="H436" s="6"/>
      <c r="I436" s="6"/>
      <c r="J436" s="6" t="n">
        <v>16</v>
      </c>
      <c r="K436" s="6" t="s">
        <v>928</v>
      </c>
      <c r="L436" s="6"/>
      <c r="M436" s="6"/>
      <c r="N436" s="12" t="n">
        <v>290.6</v>
      </c>
      <c r="O436" s="12" t="n">
        <v>290.6</v>
      </c>
      <c r="P436" s="12"/>
      <c r="Q436" s="12"/>
      <c r="R436" s="14" t="n">
        <v>0.013</v>
      </c>
      <c r="S436" s="6"/>
      <c r="T436" s="6"/>
      <c r="U436" s="14" t="n">
        <v>0</v>
      </c>
      <c r="V436" s="14"/>
      <c r="W436" s="14"/>
      <c r="X436" s="10" t="s">
        <v>929</v>
      </c>
      <c r="Y436" s="16"/>
      <c r="Z436" s="17" t="s">
        <v>48</v>
      </c>
      <c r="AA436" s="6" t="s">
        <v>929</v>
      </c>
      <c r="AB436" s="18" t="n">
        <f aca="false">IF(O436="","",$D$3*PI()*(O436/1000)^2/4*3600)</f>
        <v>358.158168968003</v>
      </c>
      <c r="AC436" s="19" t="n">
        <f aca="false">IF(OR(U436="",NOT(ISNUMBER(U436))),"",U436*$D$3^2/(2*$H$3))</f>
        <v>0</v>
      </c>
      <c r="AD436" s="20" t="n">
        <f aca="false">IF(OR(U436="",NOT(ISNUMBER(U436))),"",U436*$D$3^2/2*$F$3)</f>
        <v>0</v>
      </c>
      <c r="AE436" s="19" t="str">
        <f aca="false">IF(OR(V436="",NOT(ISNUMBER(V436))),"",V436*$D$3^2/(2*$H$3))</f>
        <v/>
      </c>
      <c r="AF436" s="20" t="str">
        <f aca="false">IF(OR(V436="",NOT(ISNUMBER(V436))),"",V436*$D$3^2/2*$F$3)</f>
        <v/>
      </c>
      <c r="AG436" s="19" t="str">
        <f aca="false">IF(OR(W436="",NOT(ISNUMBER(W436))),"",W436*$D$3^2/(2*$H$3))</f>
        <v/>
      </c>
      <c r="AH436" s="20" t="str">
        <f aca="false">IF(OR(W436="",NOT(ISNUMBER(W436))),"",W436*$D$3^2/2*$F$3)</f>
        <v/>
      </c>
    </row>
    <row r="437" customFormat="false" ht="15" hidden="false" customHeight="false" outlineLevel="0" collapsed="false">
      <c r="A437" s="10" t="s">
        <v>966</v>
      </c>
      <c r="B437" s="22" t="s">
        <v>924</v>
      </c>
      <c r="C437" s="6" t="s">
        <v>925</v>
      </c>
      <c r="D437" s="6" t="s">
        <v>967</v>
      </c>
      <c r="E437" s="6" t="s">
        <v>927</v>
      </c>
      <c r="F437" s="6" t="s">
        <v>45</v>
      </c>
      <c r="G437" s="6" t="n">
        <v>400</v>
      </c>
      <c r="H437" s="6"/>
      <c r="I437" s="6"/>
      <c r="J437" s="6" t="n">
        <v>16</v>
      </c>
      <c r="K437" s="6" t="s">
        <v>928</v>
      </c>
      <c r="L437" s="6"/>
      <c r="M437" s="6"/>
      <c r="N437" s="12" t="n">
        <v>327.4</v>
      </c>
      <c r="O437" s="12" t="n">
        <v>327.4</v>
      </c>
      <c r="P437" s="12"/>
      <c r="Q437" s="12"/>
      <c r="R437" s="14" t="n">
        <v>0.013</v>
      </c>
      <c r="S437" s="6"/>
      <c r="T437" s="6"/>
      <c r="U437" s="14" t="n">
        <v>0</v>
      </c>
      <c r="V437" s="14"/>
      <c r="W437" s="14"/>
      <c r="X437" s="10" t="s">
        <v>929</v>
      </c>
      <c r="Y437" s="16"/>
      <c r="Z437" s="17" t="s">
        <v>48</v>
      </c>
      <c r="AA437" s="6" t="s">
        <v>929</v>
      </c>
      <c r="AB437" s="18" t="n">
        <f aca="false">IF(O437="","",$D$3*PI()*(O437/1000)^2/4*3600)</f>
        <v>454.612100600754</v>
      </c>
      <c r="AC437" s="19" t="n">
        <f aca="false">IF(OR(U437="",NOT(ISNUMBER(U437))),"",U437*$D$3^2/(2*$H$3))</f>
        <v>0</v>
      </c>
      <c r="AD437" s="20" t="n">
        <f aca="false">IF(OR(U437="",NOT(ISNUMBER(U437))),"",U437*$D$3^2/2*$F$3)</f>
        <v>0</v>
      </c>
      <c r="AE437" s="19" t="str">
        <f aca="false">IF(OR(V437="",NOT(ISNUMBER(V437))),"",V437*$D$3^2/(2*$H$3))</f>
        <v/>
      </c>
      <c r="AF437" s="20" t="str">
        <f aca="false">IF(OR(V437="",NOT(ISNUMBER(V437))),"",V437*$D$3^2/2*$F$3)</f>
        <v/>
      </c>
      <c r="AG437" s="19" t="str">
        <f aca="false">IF(OR(W437="",NOT(ISNUMBER(W437))),"",W437*$D$3^2/(2*$H$3))</f>
        <v/>
      </c>
      <c r="AH437" s="20" t="str">
        <f aca="false">IF(OR(W437="",NOT(ISNUMBER(W437))),"",W437*$D$3^2/2*$F$3)</f>
        <v/>
      </c>
    </row>
    <row r="438" customFormat="false" ht="15" hidden="false" customHeight="false" outlineLevel="0" collapsed="false">
      <c r="A438" s="10" t="s">
        <v>968</v>
      </c>
      <c r="B438" s="22" t="s">
        <v>924</v>
      </c>
      <c r="C438" s="6" t="s">
        <v>925</v>
      </c>
      <c r="D438" s="6" t="s">
        <v>969</v>
      </c>
      <c r="E438" s="6" t="s">
        <v>970</v>
      </c>
      <c r="F438" s="6" t="s">
        <v>86</v>
      </c>
      <c r="G438" s="6" t="n">
        <v>20</v>
      </c>
      <c r="H438" s="6"/>
      <c r="I438" s="6"/>
      <c r="J438" s="6" t="n">
        <v>16</v>
      </c>
      <c r="K438" s="6" t="s">
        <v>928</v>
      </c>
      <c r="L438" s="6"/>
      <c r="M438" s="6"/>
      <c r="N438" s="12" t="n">
        <v>16</v>
      </c>
      <c r="O438" s="12" t="n">
        <v>16</v>
      </c>
      <c r="P438" s="12"/>
      <c r="Q438" s="12"/>
      <c r="R438" s="14" t="n">
        <v>0.027</v>
      </c>
      <c r="S438" s="6"/>
      <c r="T438" s="6"/>
      <c r="U438" s="14"/>
      <c r="V438" s="14"/>
      <c r="W438" s="14"/>
      <c r="X438" s="10" t="s">
        <v>87</v>
      </c>
      <c r="Y438" s="16"/>
      <c r="Z438" s="17" t="s">
        <v>48</v>
      </c>
      <c r="AA438" s="6"/>
      <c r="AB438" s="18" t="n">
        <f aca="false">IF(O438="","",$D$3*PI()*(O438/1000)^2/4*3600)</f>
        <v>1.08573442108063</v>
      </c>
      <c r="AC438" s="19" t="str">
        <f aca="false">IF(OR(U438="",NOT(ISNUMBER(U438))),"",U438*$D$3^2/(2*$H$3))</f>
        <v/>
      </c>
      <c r="AD438" s="20" t="str">
        <f aca="false">IF(OR(U438="",NOT(ISNUMBER(U438))),"",U438*$D$3^2/2*$F$3)</f>
        <v/>
      </c>
      <c r="AE438" s="19" t="str">
        <f aca="false">IF(OR(V438="",NOT(ISNUMBER(V438))),"",V438*$D$3^2/(2*$H$3))</f>
        <v/>
      </c>
      <c r="AF438" s="20" t="str">
        <f aca="false">IF(OR(V438="",NOT(ISNUMBER(V438))),"",V438*$D$3^2/2*$F$3)</f>
        <v/>
      </c>
      <c r="AG438" s="19" t="str">
        <f aca="false">IF(OR(W438="",NOT(ISNUMBER(W438))),"",W438*$D$3^2/(2*$H$3))</f>
        <v/>
      </c>
      <c r="AH438" s="20" t="str">
        <f aca="false">IF(OR(W438="",NOT(ISNUMBER(W438))),"",W438*$D$3^2/2*$F$3)</f>
        <v/>
      </c>
    </row>
    <row r="439" customFormat="false" ht="15" hidden="false" customHeight="false" outlineLevel="0" collapsed="false">
      <c r="A439" s="10" t="s">
        <v>971</v>
      </c>
      <c r="B439" s="22" t="s">
        <v>924</v>
      </c>
      <c r="C439" s="6" t="s">
        <v>925</v>
      </c>
      <c r="D439" s="6" t="s">
        <v>972</v>
      </c>
      <c r="E439" s="6" t="s">
        <v>970</v>
      </c>
      <c r="F439" s="6" t="s">
        <v>86</v>
      </c>
      <c r="G439" s="6" t="n">
        <v>25</v>
      </c>
      <c r="H439" s="6"/>
      <c r="I439" s="6"/>
      <c r="J439" s="6" t="n">
        <v>16</v>
      </c>
      <c r="K439" s="6" t="s">
        <v>928</v>
      </c>
      <c r="L439" s="6"/>
      <c r="M439" s="6"/>
      <c r="N439" s="12" t="n">
        <v>20.4</v>
      </c>
      <c r="O439" s="12" t="n">
        <v>20.4</v>
      </c>
      <c r="P439" s="12"/>
      <c r="Q439" s="12"/>
      <c r="R439" s="14" t="n">
        <v>0.025</v>
      </c>
      <c r="S439" s="6"/>
      <c r="T439" s="6"/>
      <c r="U439" s="14"/>
      <c r="V439" s="14"/>
      <c r="W439" s="14"/>
      <c r="X439" s="10" t="s">
        <v>87</v>
      </c>
      <c r="Y439" s="16"/>
      <c r="Z439" s="17" t="s">
        <v>48</v>
      </c>
      <c r="AA439" s="6"/>
      <c r="AB439" s="18" t="n">
        <f aca="false">IF(O439="","",$D$3*PI()*(O439/1000)^2/4*3600)</f>
        <v>1.7649970182692</v>
      </c>
      <c r="AC439" s="19" t="str">
        <f aca="false">IF(OR(U439="",NOT(ISNUMBER(U439))),"",U439*$D$3^2/(2*$H$3))</f>
        <v/>
      </c>
      <c r="AD439" s="20" t="str">
        <f aca="false">IF(OR(U439="",NOT(ISNUMBER(U439))),"",U439*$D$3^2/2*$F$3)</f>
        <v/>
      </c>
      <c r="AE439" s="19" t="str">
        <f aca="false">IF(OR(V439="",NOT(ISNUMBER(V439))),"",V439*$D$3^2/(2*$H$3))</f>
        <v/>
      </c>
      <c r="AF439" s="20" t="str">
        <f aca="false">IF(OR(V439="",NOT(ISNUMBER(V439))),"",V439*$D$3^2/2*$F$3)</f>
        <v/>
      </c>
      <c r="AG439" s="19" t="str">
        <f aca="false">IF(OR(W439="",NOT(ISNUMBER(W439))),"",W439*$D$3^2/(2*$H$3))</f>
        <v/>
      </c>
      <c r="AH439" s="20" t="str">
        <f aca="false">IF(OR(W439="",NOT(ISNUMBER(W439))),"",W439*$D$3^2/2*$F$3)</f>
        <v/>
      </c>
    </row>
    <row r="440" customFormat="false" ht="15" hidden="false" customHeight="false" outlineLevel="0" collapsed="false">
      <c r="A440" s="10" t="s">
        <v>973</v>
      </c>
      <c r="B440" s="22" t="s">
        <v>924</v>
      </c>
      <c r="C440" s="6" t="s">
        <v>925</v>
      </c>
      <c r="D440" s="6" t="s">
        <v>974</v>
      </c>
      <c r="E440" s="6" t="s">
        <v>970</v>
      </c>
      <c r="F440" s="6" t="s">
        <v>86</v>
      </c>
      <c r="G440" s="6" t="n">
        <v>32</v>
      </c>
      <c r="H440" s="6"/>
      <c r="I440" s="6"/>
      <c r="J440" s="6" t="n">
        <v>16</v>
      </c>
      <c r="K440" s="6" t="s">
        <v>928</v>
      </c>
      <c r="L440" s="6"/>
      <c r="M440" s="6"/>
      <c r="N440" s="12" t="n">
        <v>26.2</v>
      </c>
      <c r="O440" s="12" t="n">
        <v>26.2</v>
      </c>
      <c r="P440" s="12"/>
      <c r="Q440" s="12"/>
      <c r="R440" s="14" t="n">
        <v>0.023</v>
      </c>
      <c r="S440" s="6"/>
      <c r="T440" s="6"/>
      <c r="U440" s="14"/>
      <c r="V440" s="14"/>
      <c r="W440" s="14"/>
      <c r="X440" s="10" t="s">
        <v>87</v>
      </c>
      <c r="Y440" s="16"/>
      <c r="Z440" s="17" t="s">
        <v>48</v>
      </c>
      <c r="AA440" s="6"/>
      <c r="AB440" s="18" t="n">
        <f aca="false">IF(O440="","",$D$3*PI()*(O440/1000)^2/4*3600)</f>
        <v>2.91129506252574</v>
      </c>
      <c r="AC440" s="19" t="str">
        <f aca="false">IF(OR(U440="",NOT(ISNUMBER(U440))),"",U440*$D$3^2/(2*$H$3))</f>
        <v/>
      </c>
      <c r="AD440" s="20" t="str">
        <f aca="false">IF(OR(U440="",NOT(ISNUMBER(U440))),"",U440*$D$3^2/2*$F$3)</f>
        <v/>
      </c>
      <c r="AE440" s="19" t="str">
        <f aca="false">IF(OR(V440="",NOT(ISNUMBER(V440))),"",V440*$D$3^2/(2*$H$3))</f>
        <v/>
      </c>
      <c r="AF440" s="20" t="str">
        <f aca="false">IF(OR(V440="",NOT(ISNUMBER(V440))),"",V440*$D$3^2/2*$F$3)</f>
        <v/>
      </c>
      <c r="AG440" s="19" t="str">
        <f aca="false">IF(OR(W440="",NOT(ISNUMBER(W440))),"",W440*$D$3^2/(2*$H$3))</f>
        <v/>
      </c>
      <c r="AH440" s="20" t="str">
        <f aca="false">IF(OR(W440="",NOT(ISNUMBER(W440))),"",W440*$D$3^2/2*$F$3)</f>
        <v/>
      </c>
    </row>
    <row r="441" customFormat="false" ht="15" hidden="false" customHeight="false" outlineLevel="0" collapsed="false">
      <c r="A441" s="10" t="s">
        <v>975</v>
      </c>
      <c r="B441" s="22" t="s">
        <v>924</v>
      </c>
      <c r="C441" s="6" t="s">
        <v>925</v>
      </c>
      <c r="D441" s="6" t="s">
        <v>976</v>
      </c>
      <c r="E441" s="6" t="s">
        <v>970</v>
      </c>
      <c r="F441" s="6" t="s">
        <v>86</v>
      </c>
      <c r="G441" s="6" t="n">
        <v>40</v>
      </c>
      <c r="H441" s="6"/>
      <c r="I441" s="6"/>
      <c r="J441" s="6" t="n">
        <v>16</v>
      </c>
      <c r="K441" s="6" t="s">
        <v>928</v>
      </c>
      <c r="L441" s="6"/>
      <c r="M441" s="6"/>
      <c r="N441" s="12" t="n">
        <v>32.6</v>
      </c>
      <c r="O441" s="12" t="n">
        <v>32.6</v>
      </c>
      <c r="P441" s="12"/>
      <c r="Q441" s="12"/>
      <c r="R441" s="14" t="n">
        <v>0.022</v>
      </c>
      <c r="S441" s="6"/>
      <c r="T441" s="6"/>
      <c r="U441" s="14"/>
      <c r="V441" s="14"/>
      <c r="W441" s="14"/>
      <c r="X441" s="10" t="s">
        <v>87</v>
      </c>
      <c r="Y441" s="16"/>
      <c r="Z441" s="17" t="s">
        <v>48</v>
      </c>
      <c r="AA441" s="6"/>
      <c r="AB441" s="18" t="n">
        <f aca="false">IF(O441="","",$D$3*PI()*(O441/1000)^2/4*3600)</f>
        <v>4.50732466151427</v>
      </c>
      <c r="AC441" s="19" t="str">
        <f aca="false">IF(OR(U441="",NOT(ISNUMBER(U441))),"",U441*$D$3^2/(2*$H$3))</f>
        <v/>
      </c>
      <c r="AD441" s="20" t="str">
        <f aca="false">IF(OR(U441="",NOT(ISNUMBER(U441))),"",U441*$D$3^2/2*$F$3)</f>
        <v/>
      </c>
      <c r="AE441" s="19" t="str">
        <f aca="false">IF(OR(V441="",NOT(ISNUMBER(V441))),"",V441*$D$3^2/(2*$H$3))</f>
        <v/>
      </c>
      <c r="AF441" s="20" t="str">
        <f aca="false">IF(OR(V441="",NOT(ISNUMBER(V441))),"",V441*$D$3^2/2*$F$3)</f>
        <v/>
      </c>
      <c r="AG441" s="19" t="str">
        <f aca="false">IF(OR(W441="",NOT(ISNUMBER(W441))),"",W441*$D$3^2/(2*$H$3))</f>
        <v/>
      </c>
      <c r="AH441" s="20" t="str">
        <f aca="false">IF(OR(W441="",NOT(ISNUMBER(W441))),"",W441*$D$3^2/2*$F$3)</f>
        <v/>
      </c>
    </row>
    <row r="442" customFormat="false" ht="15" hidden="false" customHeight="false" outlineLevel="0" collapsed="false">
      <c r="A442" s="10" t="s">
        <v>977</v>
      </c>
      <c r="B442" s="22" t="s">
        <v>924</v>
      </c>
      <c r="C442" s="6" t="s">
        <v>925</v>
      </c>
      <c r="D442" s="6" t="s">
        <v>978</v>
      </c>
      <c r="E442" s="6" t="s">
        <v>970</v>
      </c>
      <c r="F442" s="6" t="s">
        <v>86</v>
      </c>
      <c r="G442" s="6" t="n">
        <v>50</v>
      </c>
      <c r="H442" s="6"/>
      <c r="I442" s="6"/>
      <c r="J442" s="6" t="n">
        <v>16</v>
      </c>
      <c r="K442" s="6" t="s">
        <v>928</v>
      </c>
      <c r="L442" s="6"/>
      <c r="M442" s="6"/>
      <c r="N442" s="12" t="n">
        <v>40.8</v>
      </c>
      <c r="O442" s="12" t="n">
        <v>40.8</v>
      </c>
      <c r="P442" s="12"/>
      <c r="Q442" s="12"/>
      <c r="R442" s="14" t="n">
        <v>0.021</v>
      </c>
      <c r="S442" s="6"/>
      <c r="T442" s="6"/>
      <c r="U442" s="14"/>
      <c r="V442" s="14"/>
      <c r="W442" s="14"/>
      <c r="X442" s="10" t="s">
        <v>87</v>
      </c>
      <c r="Y442" s="16"/>
      <c r="Z442" s="17" t="s">
        <v>48</v>
      </c>
      <c r="AA442" s="6"/>
      <c r="AB442" s="18" t="n">
        <f aca="false">IF(O442="","",$D$3*PI()*(O442/1000)^2/4*3600)</f>
        <v>7.05998807307681</v>
      </c>
      <c r="AC442" s="19" t="str">
        <f aca="false">IF(OR(U442="",NOT(ISNUMBER(U442))),"",U442*$D$3^2/(2*$H$3))</f>
        <v/>
      </c>
      <c r="AD442" s="20" t="str">
        <f aca="false">IF(OR(U442="",NOT(ISNUMBER(U442))),"",U442*$D$3^2/2*$F$3)</f>
        <v/>
      </c>
      <c r="AE442" s="19" t="str">
        <f aca="false">IF(OR(V442="",NOT(ISNUMBER(V442))),"",V442*$D$3^2/(2*$H$3))</f>
        <v/>
      </c>
      <c r="AF442" s="20" t="str">
        <f aca="false">IF(OR(V442="",NOT(ISNUMBER(V442))),"",V442*$D$3^2/2*$F$3)</f>
        <v/>
      </c>
      <c r="AG442" s="19" t="str">
        <f aca="false">IF(OR(W442="",NOT(ISNUMBER(W442))),"",W442*$D$3^2/(2*$H$3))</f>
        <v/>
      </c>
      <c r="AH442" s="20" t="str">
        <f aca="false">IF(OR(W442="",NOT(ISNUMBER(W442))),"",W442*$D$3^2/2*$F$3)</f>
        <v/>
      </c>
    </row>
    <row r="443" customFormat="false" ht="15" hidden="false" customHeight="false" outlineLevel="0" collapsed="false">
      <c r="A443" s="10" t="s">
        <v>979</v>
      </c>
      <c r="B443" s="22" t="s">
        <v>924</v>
      </c>
      <c r="C443" s="6" t="s">
        <v>925</v>
      </c>
      <c r="D443" s="6" t="s">
        <v>980</v>
      </c>
      <c r="E443" s="6" t="s">
        <v>970</v>
      </c>
      <c r="F443" s="6" t="s">
        <v>86</v>
      </c>
      <c r="G443" s="6" t="n">
        <v>63</v>
      </c>
      <c r="H443" s="6"/>
      <c r="I443" s="6"/>
      <c r="J443" s="6" t="n">
        <v>16</v>
      </c>
      <c r="K443" s="6" t="s">
        <v>928</v>
      </c>
      <c r="L443" s="6"/>
      <c r="M443" s="6"/>
      <c r="N443" s="12" t="n">
        <v>51.4</v>
      </c>
      <c r="O443" s="12" t="n">
        <v>51.4</v>
      </c>
      <c r="P443" s="12"/>
      <c r="Q443" s="12"/>
      <c r="R443" s="14" t="n">
        <v>0.019</v>
      </c>
      <c r="S443" s="6"/>
      <c r="T443" s="6"/>
      <c r="U443" s="14"/>
      <c r="V443" s="14"/>
      <c r="W443" s="14"/>
      <c r="X443" s="10" t="s">
        <v>87</v>
      </c>
      <c r="Y443" s="16"/>
      <c r="Z443" s="17" t="s">
        <v>48</v>
      </c>
      <c r="AA443" s="6"/>
      <c r="AB443" s="18" t="n">
        <f aca="false">IF(O443="","",$D$3*PI()*(O443/1000)^2/4*3600)</f>
        <v>11.2049488715554</v>
      </c>
      <c r="AC443" s="19" t="str">
        <f aca="false">IF(OR(U443="",NOT(ISNUMBER(U443))),"",U443*$D$3^2/(2*$H$3))</f>
        <v/>
      </c>
      <c r="AD443" s="20" t="str">
        <f aca="false">IF(OR(U443="",NOT(ISNUMBER(U443))),"",U443*$D$3^2/2*$F$3)</f>
        <v/>
      </c>
      <c r="AE443" s="19" t="str">
        <f aca="false">IF(OR(V443="",NOT(ISNUMBER(V443))),"",V443*$D$3^2/(2*$H$3))</f>
        <v/>
      </c>
      <c r="AF443" s="20" t="str">
        <f aca="false">IF(OR(V443="",NOT(ISNUMBER(V443))),"",V443*$D$3^2/2*$F$3)</f>
        <v/>
      </c>
      <c r="AG443" s="19" t="str">
        <f aca="false">IF(OR(W443="",NOT(ISNUMBER(W443))),"",W443*$D$3^2/(2*$H$3))</f>
        <v/>
      </c>
      <c r="AH443" s="20" t="str">
        <f aca="false">IF(OR(W443="",NOT(ISNUMBER(W443))),"",W443*$D$3^2/2*$F$3)</f>
        <v/>
      </c>
    </row>
    <row r="444" customFormat="false" ht="15" hidden="false" customHeight="false" outlineLevel="0" collapsed="false">
      <c r="A444" s="10" t="s">
        <v>981</v>
      </c>
      <c r="B444" s="22" t="s">
        <v>924</v>
      </c>
      <c r="C444" s="6" t="s">
        <v>925</v>
      </c>
      <c r="D444" s="6" t="s">
        <v>982</v>
      </c>
      <c r="E444" s="6" t="s">
        <v>970</v>
      </c>
      <c r="F444" s="6" t="s">
        <v>86</v>
      </c>
      <c r="G444" s="6" t="n">
        <v>75</v>
      </c>
      <c r="H444" s="6"/>
      <c r="I444" s="6"/>
      <c r="J444" s="6" t="n">
        <v>16</v>
      </c>
      <c r="K444" s="6" t="s">
        <v>928</v>
      </c>
      <c r="L444" s="6"/>
      <c r="M444" s="6"/>
      <c r="N444" s="12" t="n">
        <v>61.4</v>
      </c>
      <c r="O444" s="12" t="n">
        <v>61.4</v>
      </c>
      <c r="P444" s="12"/>
      <c r="Q444" s="12"/>
      <c r="R444" s="14" t="n">
        <v>0.018</v>
      </c>
      <c r="S444" s="6"/>
      <c r="T444" s="6"/>
      <c r="U444" s="14"/>
      <c r="V444" s="14"/>
      <c r="W444" s="14"/>
      <c r="X444" s="10" t="s">
        <v>87</v>
      </c>
      <c r="Y444" s="16"/>
      <c r="Z444" s="17" t="s">
        <v>48</v>
      </c>
      <c r="AA444" s="6"/>
      <c r="AB444" s="18" t="n">
        <f aca="false">IF(O444="","",$D$3*PI()*(O444/1000)^2/4*3600)</f>
        <v>15.988966164442</v>
      </c>
      <c r="AC444" s="19" t="str">
        <f aca="false">IF(OR(U444="",NOT(ISNUMBER(U444))),"",U444*$D$3^2/(2*$H$3))</f>
        <v/>
      </c>
      <c r="AD444" s="20" t="str">
        <f aca="false">IF(OR(U444="",NOT(ISNUMBER(U444))),"",U444*$D$3^2/2*$F$3)</f>
        <v/>
      </c>
      <c r="AE444" s="19" t="str">
        <f aca="false">IF(OR(V444="",NOT(ISNUMBER(V444))),"",V444*$D$3^2/(2*$H$3))</f>
        <v/>
      </c>
      <c r="AF444" s="20" t="str">
        <f aca="false">IF(OR(V444="",NOT(ISNUMBER(V444))),"",V444*$D$3^2/2*$F$3)</f>
        <v/>
      </c>
      <c r="AG444" s="19" t="str">
        <f aca="false">IF(OR(W444="",NOT(ISNUMBER(W444))),"",W444*$D$3^2/(2*$H$3))</f>
        <v/>
      </c>
      <c r="AH444" s="20" t="str">
        <f aca="false">IF(OR(W444="",NOT(ISNUMBER(W444))),"",W444*$D$3^2/2*$F$3)</f>
        <v/>
      </c>
    </row>
    <row r="445" customFormat="false" ht="15" hidden="false" customHeight="false" outlineLevel="0" collapsed="false">
      <c r="A445" s="10" t="s">
        <v>983</v>
      </c>
      <c r="B445" s="22" t="s">
        <v>924</v>
      </c>
      <c r="C445" s="6" t="s">
        <v>925</v>
      </c>
      <c r="D445" s="6" t="s">
        <v>984</v>
      </c>
      <c r="E445" s="6" t="s">
        <v>970</v>
      </c>
      <c r="F445" s="6" t="s">
        <v>86</v>
      </c>
      <c r="G445" s="6" t="n">
        <v>90</v>
      </c>
      <c r="H445" s="6"/>
      <c r="I445" s="6"/>
      <c r="J445" s="6" t="n">
        <v>16</v>
      </c>
      <c r="K445" s="6" t="s">
        <v>928</v>
      </c>
      <c r="L445" s="6"/>
      <c r="M445" s="6"/>
      <c r="N445" s="12" t="n">
        <v>73.6</v>
      </c>
      <c r="O445" s="12" t="n">
        <v>73.6</v>
      </c>
      <c r="P445" s="12"/>
      <c r="Q445" s="12"/>
      <c r="R445" s="14" t="n">
        <v>0.018</v>
      </c>
      <c r="S445" s="6"/>
      <c r="T445" s="6"/>
      <c r="U445" s="14"/>
      <c r="V445" s="14"/>
      <c r="W445" s="14"/>
      <c r="X445" s="10" t="s">
        <v>87</v>
      </c>
      <c r="Y445" s="16"/>
      <c r="Z445" s="17" t="s">
        <v>48</v>
      </c>
      <c r="AA445" s="6"/>
      <c r="AB445" s="18" t="n">
        <f aca="false">IF(O445="","",$D$3*PI()*(O445/1000)^2/4*3600)</f>
        <v>22.9741403500662</v>
      </c>
      <c r="AC445" s="19" t="str">
        <f aca="false">IF(OR(U445="",NOT(ISNUMBER(U445))),"",U445*$D$3^2/(2*$H$3))</f>
        <v/>
      </c>
      <c r="AD445" s="20" t="str">
        <f aca="false">IF(OR(U445="",NOT(ISNUMBER(U445))),"",U445*$D$3^2/2*$F$3)</f>
        <v/>
      </c>
      <c r="AE445" s="19" t="str">
        <f aca="false">IF(OR(V445="",NOT(ISNUMBER(V445))),"",V445*$D$3^2/(2*$H$3))</f>
        <v/>
      </c>
      <c r="AF445" s="20" t="str">
        <f aca="false">IF(OR(V445="",NOT(ISNUMBER(V445))),"",V445*$D$3^2/2*$F$3)</f>
        <v/>
      </c>
      <c r="AG445" s="19" t="str">
        <f aca="false">IF(OR(W445="",NOT(ISNUMBER(W445))),"",W445*$D$3^2/(2*$H$3))</f>
        <v/>
      </c>
      <c r="AH445" s="20" t="str">
        <f aca="false">IF(OR(W445="",NOT(ISNUMBER(W445))),"",W445*$D$3^2/2*$F$3)</f>
        <v/>
      </c>
    </row>
    <row r="446" customFormat="false" ht="15" hidden="false" customHeight="false" outlineLevel="0" collapsed="false">
      <c r="A446" s="10" t="s">
        <v>985</v>
      </c>
      <c r="B446" s="22" t="s">
        <v>924</v>
      </c>
      <c r="C446" s="6" t="s">
        <v>925</v>
      </c>
      <c r="D446" s="6" t="s">
        <v>986</v>
      </c>
      <c r="E446" s="6" t="s">
        <v>970</v>
      </c>
      <c r="F446" s="6" t="s">
        <v>86</v>
      </c>
      <c r="G446" s="6" t="n">
        <v>110</v>
      </c>
      <c r="H446" s="6"/>
      <c r="I446" s="6"/>
      <c r="J446" s="6" t="n">
        <v>16</v>
      </c>
      <c r="K446" s="6" t="s">
        <v>928</v>
      </c>
      <c r="L446" s="6"/>
      <c r="M446" s="6"/>
      <c r="N446" s="12" t="n">
        <v>90</v>
      </c>
      <c r="O446" s="12" t="n">
        <v>90</v>
      </c>
      <c r="P446" s="12"/>
      <c r="Q446" s="12"/>
      <c r="R446" s="14" t="n">
        <v>0.017</v>
      </c>
      <c r="S446" s="6"/>
      <c r="T446" s="6"/>
      <c r="U446" s="14"/>
      <c r="V446" s="14"/>
      <c r="W446" s="14"/>
      <c r="X446" s="10" t="s">
        <v>87</v>
      </c>
      <c r="Y446" s="16"/>
      <c r="Z446" s="17" t="s">
        <v>48</v>
      </c>
      <c r="AA446" s="6"/>
      <c r="AB446" s="18" t="n">
        <f aca="false">IF(O446="","",$D$3*PI()*(O446/1000)^2/4*3600)</f>
        <v>34.3533156670044</v>
      </c>
      <c r="AC446" s="19" t="str">
        <f aca="false">IF(OR(U446="",NOT(ISNUMBER(U446))),"",U446*$D$3^2/(2*$H$3))</f>
        <v/>
      </c>
      <c r="AD446" s="20" t="str">
        <f aca="false">IF(OR(U446="",NOT(ISNUMBER(U446))),"",U446*$D$3^2/2*$F$3)</f>
        <v/>
      </c>
      <c r="AE446" s="19" t="str">
        <f aca="false">IF(OR(V446="",NOT(ISNUMBER(V446))),"",V446*$D$3^2/(2*$H$3))</f>
        <v/>
      </c>
      <c r="AF446" s="20" t="str">
        <f aca="false">IF(OR(V446="",NOT(ISNUMBER(V446))),"",V446*$D$3^2/2*$F$3)</f>
        <v/>
      </c>
      <c r="AG446" s="19" t="str">
        <f aca="false">IF(OR(W446="",NOT(ISNUMBER(W446))),"",W446*$D$3^2/(2*$H$3))</f>
        <v/>
      </c>
      <c r="AH446" s="20" t="str">
        <f aca="false">IF(OR(W446="",NOT(ISNUMBER(W446))),"",W446*$D$3^2/2*$F$3)</f>
        <v/>
      </c>
    </row>
    <row r="447" customFormat="false" ht="15" hidden="false" customHeight="false" outlineLevel="0" collapsed="false">
      <c r="A447" s="10" t="s">
        <v>987</v>
      </c>
      <c r="B447" s="22" t="s">
        <v>924</v>
      </c>
      <c r="C447" s="6" t="s">
        <v>925</v>
      </c>
      <c r="D447" s="6" t="s">
        <v>988</v>
      </c>
      <c r="E447" s="6" t="s">
        <v>970</v>
      </c>
      <c r="F447" s="6" t="s">
        <v>86</v>
      </c>
      <c r="G447" s="6" t="n">
        <v>125</v>
      </c>
      <c r="H447" s="6"/>
      <c r="I447" s="6"/>
      <c r="J447" s="6" t="n">
        <v>16</v>
      </c>
      <c r="K447" s="6" t="s">
        <v>928</v>
      </c>
      <c r="L447" s="6"/>
      <c r="M447" s="6"/>
      <c r="N447" s="12" t="n">
        <v>102.2</v>
      </c>
      <c r="O447" s="12" t="n">
        <v>102.2</v>
      </c>
      <c r="P447" s="12"/>
      <c r="Q447" s="12"/>
      <c r="R447" s="14" t="n">
        <v>0.016</v>
      </c>
      <c r="S447" s="6"/>
      <c r="T447" s="6"/>
      <c r="U447" s="14"/>
      <c r="V447" s="14"/>
      <c r="W447" s="14"/>
      <c r="X447" s="10" t="s">
        <v>87</v>
      </c>
      <c r="Y447" s="16"/>
      <c r="Z447" s="17" t="s">
        <v>48</v>
      </c>
      <c r="AA447" s="6"/>
      <c r="AB447" s="18" t="n">
        <f aca="false">IF(O447="","",$D$3*PI()*(O447/1000)^2/4*3600)</f>
        <v>44.2981340260931</v>
      </c>
      <c r="AC447" s="19" t="str">
        <f aca="false">IF(OR(U447="",NOT(ISNUMBER(U447))),"",U447*$D$3^2/(2*$H$3))</f>
        <v/>
      </c>
      <c r="AD447" s="20" t="str">
        <f aca="false">IF(OR(U447="",NOT(ISNUMBER(U447))),"",U447*$D$3^2/2*$F$3)</f>
        <v/>
      </c>
      <c r="AE447" s="19" t="str">
        <f aca="false">IF(OR(V447="",NOT(ISNUMBER(V447))),"",V447*$D$3^2/(2*$H$3))</f>
        <v/>
      </c>
      <c r="AF447" s="20" t="str">
        <f aca="false">IF(OR(V447="",NOT(ISNUMBER(V447))),"",V447*$D$3^2/2*$F$3)</f>
        <v/>
      </c>
      <c r="AG447" s="19" t="str">
        <f aca="false">IF(OR(W447="",NOT(ISNUMBER(W447))),"",W447*$D$3^2/(2*$H$3))</f>
        <v/>
      </c>
      <c r="AH447" s="20" t="str">
        <f aca="false">IF(OR(W447="",NOT(ISNUMBER(W447))),"",W447*$D$3^2/2*$F$3)</f>
        <v/>
      </c>
    </row>
    <row r="448" customFormat="false" ht="15" hidden="false" customHeight="false" outlineLevel="0" collapsed="false">
      <c r="A448" s="10" t="s">
        <v>989</v>
      </c>
      <c r="B448" s="22" t="s">
        <v>924</v>
      </c>
      <c r="C448" s="6" t="s">
        <v>925</v>
      </c>
      <c r="D448" s="6" t="s">
        <v>990</v>
      </c>
      <c r="E448" s="6" t="s">
        <v>970</v>
      </c>
      <c r="F448" s="6" t="s">
        <v>86</v>
      </c>
      <c r="G448" s="6" t="n">
        <v>160</v>
      </c>
      <c r="H448" s="6"/>
      <c r="I448" s="6"/>
      <c r="J448" s="6" t="n">
        <v>16</v>
      </c>
      <c r="K448" s="6" t="s">
        <v>928</v>
      </c>
      <c r="L448" s="6"/>
      <c r="M448" s="6"/>
      <c r="N448" s="12" t="n">
        <v>130.8</v>
      </c>
      <c r="O448" s="12" t="n">
        <v>130.8</v>
      </c>
      <c r="P448" s="12"/>
      <c r="Q448" s="12"/>
      <c r="R448" s="14" t="n">
        <v>0.015</v>
      </c>
      <c r="S448" s="6"/>
      <c r="T448" s="6"/>
      <c r="U448" s="14"/>
      <c r="V448" s="14"/>
      <c r="W448" s="14"/>
      <c r="X448" s="10" t="s">
        <v>87</v>
      </c>
      <c r="Y448" s="16"/>
      <c r="Z448" s="17" t="s">
        <v>48</v>
      </c>
      <c r="AA448" s="6"/>
      <c r="AB448" s="18" t="n">
        <f aca="false">IF(O448="","",$D$3*PI()*(O448/1000)^2/4*3600)</f>
        <v>72.5603099448318</v>
      </c>
      <c r="AC448" s="19" t="str">
        <f aca="false">IF(OR(U448="",NOT(ISNUMBER(U448))),"",U448*$D$3^2/(2*$H$3))</f>
        <v/>
      </c>
      <c r="AD448" s="20" t="str">
        <f aca="false">IF(OR(U448="",NOT(ISNUMBER(U448))),"",U448*$D$3^2/2*$F$3)</f>
        <v/>
      </c>
      <c r="AE448" s="19" t="str">
        <f aca="false">IF(OR(V448="",NOT(ISNUMBER(V448))),"",V448*$D$3^2/(2*$H$3))</f>
        <v/>
      </c>
      <c r="AF448" s="20" t="str">
        <f aca="false">IF(OR(V448="",NOT(ISNUMBER(V448))),"",V448*$D$3^2/2*$F$3)</f>
        <v/>
      </c>
      <c r="AG448" s="19" t="str">
        <f aca="false">IF(OR(W448="",NOT(ISNUMBER(W448))),"",W448*$D$3^2/(2*$H$3))</f>
        <v/>
      </c>
      <c r="AH448" s="20" t="str">
        <f aca="false">IF(OR(W448="",NOT(ISNUMBER(W448))),"",W448*$D$3^2/2*$F$3)</f>
        <v/>
      </c>
    </row>
    <row r="449" customFormat="false" ht="15" hidden="false" customHeight="false" outlineLevel="0" collapsed="false">
      <c r="A449" s="10" t="s">
        <v>991</v>
      </c>
      <c r="B449" s="22" t="s">
        <v>924</v>
      </c>
      <c r="C449" s="6" t="s">
        <v>925</v>
      </c>
      <c r="D449" s="6" t="s">
        <v>992</v>
      </c>
      <c r="E449" s="6" t="s">
        <v>970</v>
      </c>
      <c r="F449" s="6" t="s">
        <v>86</v>
      </c>
      <c r="G449" s="6" t="n">
        <v>200</v>
      </c>
      <c r="H449" s="6"/>
      <c r="I449" s="6"/>
      <c r="J449" s="6" t="n">
        <v>16</v>
      </c>
      <c r="K449" s="6" t="s">
        <v>928</v>
      </c>
      <c r="L449" s="6"/>
      <c r="M449" s="6"/>
      <c r="N449" s="12" t="n">
        <v>163.6</v>
      </c>
      <c r="O449" s="12" t="n">
        <v>163.6</v>
      </c>
      <c r="P449" s="12"/>
      <c r="Q449" s="12"/>
      <c r="R449" s="14" t="n">
        <v>0.014</v>
      </c>
      <c r="S449" s="6"/>
      <c r="T449" s="6"/>
      <c r="U449" s="14"/>
      <c r="V449" s="14"/>
      <c r="W449" s="14"/>
      <c r="X449" s="10" t="s">
        <v>87</v>
      </c>
      <c r="Y449" s="16"/>
      <c r="Z449" s="17" t="s">
        <v>48</v>
      </c>
      <c r="AA449" s="6"/>
      <c r="AB449" s="18" t="n">
        <f aca="false">IF(O449="","",$D$3*PI()*(O449/1000)^2/4*3600)</f>
        <v>113.514212307993</v>
      </c>
      <c r="AC449" s="19" t="str">
        <f aca="false">IF(OR(U449="",NOT(ISNUMBER(U449))),"",U449*$D$3^2/(2*$H$3))</f>
        <v/>
      </c>
      <c r="AD449" s="20" t="str">
        <f aca="false">IF(OR(U449="",NOT(ISNUMBER(U449))),"",U449*$D$3^2/2*$F$3)</f>
        <v/>
      </c>
      <c r="AE449" s="19" t="str">
        <f aca="false">IF(OR(V449="",NOT(ISNUMBER(V449))),"",V449*$D$3^2/(2*$H$3))</f>
        <v/>
      </c>
      <c r="AF449" s="20" t="str">
        <f aca="false">IF(OR(V449="",NOT(ISNUMBER(V449))),"",V449*$D$3^2/2*$F$3)</f>
        <v/>
      </c>
      <c r="AG449" s="19" t="str">
        <f aca="false">IF(OR(W449="",NOT(ISNUMBER(W449))),"",W449*$D$3^2/(2*$H$3))</f>
        <v/>
      </c>
      <c r="AH449" s="20" t="str">
        <f aca="false">IF(OR(W449="",NOT(ISNUMBER(W449))),"",W449*$D$3^2/2*$F$3)</f>
        <v/>
      </c>
    </row>
    <row r="450" customFormat="false" ht="15" hidden="false" customHeight="false" outlineLevel="0" collapsed="false">
      <c r="A450" s="10" t="s">
        <v>993</v>
      </c>
      <c r="B450" s="22" t="s">
        <v>924</v>
      </c>
      <c r="C450" s="6" t="s">
        <v>925</v>
      </c>
      <c r="D450" s="6" t="s">
        <v>994</v>
      </c>
      <c r="E450" s="6" t="s">
        <v>995</v>
      </c>
      <c r="F450" s="6" t="s">
        <v>68</v>
      </c>
      <c r="G450" s="6" t="n">
        <v>25</v>
      </c>
      <c r="H450" s="6" t="n">
        <v>20</v>
      </c>
      <c r="I450" s="6"/>
      <c r="J450" s="6" t="n">
        <v>16</v>
      </c>
      <c r="K450" s="6" t="s">
        <v>928</v>
      </c>
      <c r="L450" s="6"/>
      <c r="M450" s="6"/>
      <c r="N450" s="12" t="n">
        <v>20.4</v>
      </c>
      <c r="O450" s="12" t="n">
        <v>16</v>
      </c>
      <c r="P450" s="12"/>
      <c r="Q450" s="12"/>
      <c r="R450" s="14" t="n">
        <v>0.025</v>
      </c>
      <c r="S450" s="6" t="n">
        <v>0</v>
      </c>
      <c r="T450" s="6" t="n">
        <v>30</v>
      </c>
      <c r="U450" s="15" t="n">
        <f aca="false">0.8*SIN(RADIANS(T450/2))*(1-(O450/N450)^2)</f>
        <v>0.0796856175771236</v>
      </c>
      <c r="V450" s="14"/>
      <c r="W450" s="15" t="n">
        <f aca="false">2.6*SIN(RADIANS(T450/2))*(1-(O450/N450)^2)^2</f>
        <v>0.0996682950337475</v>
      </c>
      <c r="X450" s="10" t="s">
        <v>996</v>
      </c>
      <c r="Y450" s="16"/>
      <c r="Z450" s="17" t="s">
        <v>48</v>
      </c>
      <c r="AA450" s="6"/>
      <c r="AB450" s="18" t="n">
        <f aca="false">IF(O450="","",$D$3*PI()*(O450/1000)^2/4*3600)</f>
        <v>1.08573442108063</v>
      </c>
      <c r="AC450" s="19" t="n">
        <f aca="false">IF(OR(U450="",NOT(ISNUMBER(U450))),"",U450*$D$3^2/(2*$H$3))</f>
        <v>0.00913825889645913</v>
      </c>
      <c r="AD450" s="20" t="n">
        <f aca="false">IF(OR(U450="",NOT(ISNUMBER(U450))),"",U450*$D$3^2/2*$F$3)</f>
        <v>89.6463197742641</v>
      </c>
      <c r="AE450" s="19" t="str">
        <f aca="false">IF(OR(V450="",NOT(ISNUMBER(V450))),"",V450*$D$3^2/(2*$H$3))</f>
        <v/>
      </c>
      <c r="AF450" s="20" t="str">
        <f aca="false">IF(OR(V450="",NOT(ISNUMBER(V450))),"",V450*$D$3^2/2*$F$3)</f>
        <v/>
      </c>
      <c r="AG450" s="19" t="n">
        <f aca="false">IF(OR(W450="",NOT(ISNUMBER(W450))),"",W450*$D$3^2/(2*$H$3))</f>
        <v>0.0114298503479068</v>
      </c>
      <c r="AH450" s="20" t="n">
        <f aca="false">IF(OR(W450="",NOT(ISNUMBER(W450))),"",W450*$D$3^2/2*$F$3)</f>
        <v>112.126831912966</v>
      </c>
    </row>
    <row r="451" customFormat="false" ht="15" hidden="false" customHeight="false" outlineLevel="0" collapsed="false">
      <c r="A451" s="10" t="s">
        <v>997</v>
      </c>
      <c r="B451" s="22" t="s">
        <v>924</v>
      </c>
      <c r="C451" s="6" t="s">
        <v>925</v>
      </c>
      <c r="D451" s="6" t="s">
        <v>998</v>
      </c>
      <c r="E451" s="6" t="s">
        <v>995</v>
      </c>
      <c r="F451" s="6" t="s">
        <v>68</v>
      </c>
      <c r="G451" s="6" t="n">
        <v>32</v>
      </c>
      <c r="H451" s="6" t="n">
        <v>20</v>
      </c>
      <c r="I451" s="6"/>
      <c r="J451" s="6" t="n">
        <v>16</v>
      </c>
      <c r="K451" s="6" t="s">
        <v>928</v>
      </c>
      <c r="L451" s="6"/>
      <c r="M451" s="6"/>
      <c r="N451" s="12" t="n">
        <v>26.2</v>
      </c>
      <c r="O451" s="12" t="n">
        <v>16</v>
      </c>
      <c r="P451" s="12"/>
      <c r="Q451" s="12"/>
      <c r="R451" s="14" t="n">
        <v>0.023</v>
      </c>
      <c r="S451" s="6" t="n">
        <v>0</v>
      </c>
      <c r="T451" s="6" t="n">
        <v>30</v>
      </c>
      <c r="U451" s="15" t="n">
        <f aca="false">0.8*SIN(RADIANS(T451/2))*(1-(O451/N451)^2)</f>
        <v>0.129836337945258</v>
      </c>
      <c r="V451" s="14"/>
      <c r="W451" s="15" t="n">
        <f aca="false">2.6*SIN(RADIANS(T451/2))*(1-(O451/N451)^2)^2</f>
        <v>0.264599889636036</v>
      </c>
      <c r="X451" s="10" t="s">
        <v>996</v>
      </c>
      <c r="Y451" s="16"/>
      <c r="Z451" s="17" t="s">
        <v>48</v>
      </c>
      <c r="AA451" s="6"/>
      <c r="AB451" s="18" t="n">
        <f aca="false">IF(O451="","",$D$3*PI()*(O451/1000)^2/4*3600)</f>
        <v>1.08573442108063</v>
      </c>
      <c r="AC451" s="19" t="n">
        <f aca="false">IF(OR(U451="",NOT(ISNUMBER(U451))),"",U451*$D$3^2/(2*$H$3))</f>
        <v>0.0148894882964746</v>
      </c>
      <c r="AD451" s="20" t="n">
        <f aca="false">IF(OR(U451="",NOT(ISNUMBER(U451))),"",U451*$D$3^2/2*$F$3)</f>
        <v>146.065880188416</v>
      </c>
      <c r="AE451" s="19" t="str">
        <f aca="false">IF(OR(V451="",NOT(ISNUMBER(V451))),"",V451*$D$3^2/(2*$H$3))</f>
        <v/>
      </c>
      <c r="AF451" s="20" t="str">
        <f aca="false">IF(OR(V451="",NOT(ISNUMBER(V451))),"",V451*$D$3^2/2*$F$3)</f>
        <v/>
      </c>
      <c r="AG451" s="19" t="n">
        <f aca="false">IF(OR(W451="",NOT(ISNUMBER(W451))),"",W451*$D$3^2/(2*$H$3))</f>
        <v>0.0303440240408298</v>
      </c>
      <c r="AH451" s="20" t="n">
        <f aca="false">IF(OR(W451="",NOT(ISNUMBER(W451))),"",W451*$D$3^2/2*$F$3)</f>
        <v>297.67487584054</v>
      </c>
    </row>
    <row r="452" customFormat="false" ht="15" hidden="false" customHeight="false" outlineLevel="0" collapsed="false">
      <c r="A452" s="10" t="s">
        <v>999</v>
      </c>
      <c r="B452" s="22" t="s">
        <v>924</v>
      </c>
      <c r="C452" s="6" t="s">
        <v>925</v>
      </c>
      <c r="D452" s="6" t="s">
        <v>1000</v>
      </c>
      <c r="E452" s="6" t="s">
        <v>995</v>
      </c>
      <c r="F452" s="6" t="s">
        <v>68</v>
      </c>
      <c r="G452" s="6" t="n">
        <v>32</v>
      </c>
      <c r="H452" s="6" t="n">
        <v>25</v>
      </c>
      <c r="I452" s="6"/>
      <c r="J452" s="6" t="n">
        <v>16</v>
      </c>
      <c r="K452" s="6" t="s">
        <v>928</v>
      </c>
      <c r="L452" s="6"/>
      <c r="M452" s="6"/>
      <c r="N452" s="12" t="n">
        <v>26.2</v>
      </c>
      <c r="O452" s="12" t="n">
        <v>20.4</v>
      </c>
      <c r="P452" s="12"/>
      <c r="Q452" s="12"/>
      <c r="R452" s="14" t="n">
        <v>0.023</v>
      </c>
      <c r="S452" s="6" t="n">
        <v>0</v>
      </c>
      <c r="T452" s="6" t="n">
        <v>30</v>
      </c>
      <c r="U452" s="15" t="n">
        <f aca="false">0.8*SIN(RADIANS(T452/2))*(1-(O452/N452)^2)</f>
        <v>0.0815262647984492</v>
      </c>
      <c r="V452" s="14"/>
      <c r="W452" s="15" t="n">
        <f aca="false">2.6*SIN(RADIANS(T452/2))*(1-(O452/N452)^2)^2</f>
        <v>0.104325922530164</v>
      </c>
      <c r="X452" s="10" t="s">
        <v>996</v>
      </c>
      <c r="Y452" s="16"/>
      <c r="Z452" s="17" t="s">
        <v>48</v>
      </c>
      <c r="AA452" s="6"/>
      <c r="AB452" s="18" t="n">
        <f aca="false">IF(O452="","",$D$3*PI()*(O452/1000)^2/4*3600)</f>
        <v>1.7649970182692</v>
      </c>
      <c r="AC452" s="19" t="n">
        <f aca="false">IF(OR(U452="",NOT(ISNUMBER(U452))),"",U452*$D$3^2/(2*$H$3))</f>
        <v>0.00934934229340013</v>
      </c>
      <c r="AD452" s="20" t="n">
        <f aca="false">IF(OR(U452="",NOT(ISNUMBER(U452))),"",U452*$D$3^2/2*$F$3)</f>
        <v>91.7170478982553</v>
      </c>
      <c r="AE452" s="19" t="str">
        <f aca="false">IF(OR(V452="",NOT(ISNUMBER(V452))),"",V452*$D$3^2/(2*$H$3))</f>
        <v/>
      </c>
      <c r="AF452" s="20" t="str">
        <f aca="false">IF(OR(V452="",NOT(ISNUMBER(V452))),"",V452*$D$3^2/2*$F$3)</f>
        <v/>
      </c>
      <c r="AG452" s="19" t="n">
        <f aca="false">IF(OR(W452="",NOT(ISNUMBER(W452))),"",W452*$D$3^2/(2*$H$3))</f>
        <v>0.0119639819415326</v>
      </c>
      <c r="AH452" s="20" t="n">
        <f aca="false">IF(OR(W452="",NOT(ISNUMBER(W452))),"",W452*$D$3^2/2*$F$3)</f>
        <v>117.366662846434</v>
      </c>
    </row>
    <row r="453" customFormat="false" ht="15" hidden="false" customHeight="false" outlineLevel="0" collapsed="false">
      <c r="A453" s="10" t="s">
        <v>1001</v>
      </c>
      <c r="B453" s="22" t="s">
        <v>924</v>
      </c>
      <c r="C453" s="6" t="s">
        <v>925</v>
      </c>
      <c r="D453" s="6" t="s">
        <v>1002</v>
      </c>
      <c r="E453" s="6" t="s">
        <v>995</v>
      </c>
      <c r="F453" s="6" t="s">
        <v>68</v>
      </c>
      <c r="G453" s="6" t="n">
        <v>40</v>
      </c>
      <c r="H453" s="6" t="n">
        <v>25</v>
      </c>
      <c r="I453" s="6"/>
      <c r="J453" s="6" t="n">
        <v>16</v>
      </c>
      <c r="K453" s="6" t="s">
        <v>928</v>
      </c>
      <c r="L453" s="6"/>
      <c r="M453" s="6"/>
      <c r="N453" s="12" t="n">
        <v>32.6</v>
      </c>
      <c r="O453" s="12" t="n">
        <v>20.4</v>
      </c>
      <c r="P453" s="12"/>
      <c r="Q453" s="12"/>
      <c r="R453" s="14" t="n">
        <v>0.022</v>
      </c>
      <c r="S453" s="6" t="n">
        <v>0</v>
      </c>
      <c r="T453" s="6" t="n">
        <v>30</v>
      </c>
      <c r="U453" s="15" t="n">
        <f aca="false">0.8*SIN(RADIANS(T453/2))*(1-(O453/N453)^2)</f>
        <v>0.12597568185727</v>
      </c>
      <c r="V453" s="14"/>
      <c r="W453" s="15" t="n">
        <f aca="false">2.6*SIN(RADIANS(T453/2))*(1-(O453/N453)^2)^2</f>
        <v>0.249098193984493</v>
      </c>
      <c r="X453" s="10" t="s">
        <v>996</v>
      </c>
      <c r="Y453" s="16"/>
      <c r="Z453" s="17" t="s">
        <v>48</v>
      </c>
      <c r="AA453" s="6"/>
      <c r="AB453" s="18" t="n">
        <f aca="false">IF(O453="","",$D$3*PI()*(O453/1000)^2/4*3600)</f>
        <v>1.7649970182692</v>
      </c>
      <c r="AC453" s="19" t="n">
        <f aca="false">IF(OR(U453="",NOT(ISNUMBER(U453))),"",U453*$D$3^2/(2*$H$3))</f>
        <v>0.0144467525065676</v>
      </c>
      <c r="AD453" s="20" t="n">
        <f aca="false">IF(OR(U453="",NOT(ISNUMBER(U453))),"",U453*$D$3^2/2*$F$3)</f>
        <v>141.722642089428</v>
      </c>
      <c r="AE453" s="19" t="str">
        <f aca="false">IF(OR(V453="",NOT(ISNUMBER(V453))),"",V453*$D$3^2/(2*$H$3))</f>
        <v/>
      </c>
      <c r="AF453" s="20" t="str">
        <f aca="false">IF(OR(V453="",NOT(ISNUMBER(V453))),"",V453*$D$3^2/2*$F$3)</f>
        <v/>
      </c>
      <c r="AG453" s="19" t="n">
        <f aca="false">IF(OR(W453="",NOT(ISNUMBER(W453))),"",W453*$D$3^2/(2*$H$3))</f>
        <v>0.0285663066495978</v>
      </c>
      <c r="AH453" s="20" t="n">
        <f aca="false">IF(OR(W453="",NOT(ISNUMBER(W453))),"",W453*$D$3^2/2*$F$3)</f>
        <v>280.235468232554</v>
      </c>
    </row>
    <row r="454" customFormat="false" ht="15" hidden="false" customHeight="false" outlineLevel="0" collapsed="false">
      <c r="A454" s="10" t="s">
        <v>1003</v>
      </c>
      <c r="B454" s="22" t="s">
        <v>924</v>
      </c>
      <c r="C454" s="6" t="s">
        <v>925</v>
      </c>
      <c r="D454" s="6" t="s">
        <v>1004</v>
      </c>
      <c r="E454" s="6" t="s">
        <v>995</v>
      </c>
      <c r="F454" s="6" t="s">
        <v>68</v>
      </c>
      <c r="G454" s="6" t="n">
        <v>40</v>
      </c>
      <c r="H454" s="6" t="n">
        <v>32</v>
      </c>
      <c r="I454" s="6"/>
      <c r="J454" s="6" t="n">
        <v>16</v>
      </c>
      <c r="K454" s="6" t="s">
        <v>928</v>
      </c>
      <c r="L454" s="6"/>
      <c r="M454" s="6"/>
      <c r="N454" s="12" t="n">
        <v>32.6</v>
      </c>
      <c r="O454" s="12" t="n">
        <v>26.2</v>
      </c>
      <c r="P454" s="12"/>
      <c r="Q454" s="12"/>
      <c r="R454" s="14" t="n">
        <v>0.022</v>
      </c>
      <c r="S454" s="6" t="n">
        <v>0</v>
      </c>
      <c r="T454" s="6" t="n">
        <v>30</v>
      </c>
      <c r="U454" s="15" t="n">
        <f aca="false">0.8*SIN(RADIANS(T454/2))*(1-(O454/N454)^2)</f>
        <v>0.073317613047522</v>
      </c>
      <c r="V454" s="14"/>
      <c r="W454" s="15" t="n">
        <f aca="false">2.6*SIN(RADIANS(T454/2))*(1-(O454/N454)^2)^2</f>
        <v>0.0843749985524873</v>
      </c>
      <c r="X454" s="10" t="s">
        <v>996</v>
      </c>
      <c r="Y454" s="16"/>
      <c r="Z454" s="17" t="s">
        <v>48</v>
      </c>
      <c r="AA454" s="6"/>
      <c r="AB454" s="18" t="n">
        <f aca="false">IF(O454="","",$D$3*PI()*(O454/1000)^2/4*3600)</f>
        <v>2.91129506252574</v>
      </c>
      <c r="AC454" s="19" t="n">
        <f aca="false">IF(OR(U454="",NOT(ISNUMBER(U454))),"",U454*$D$3^2/(2*$H$3))</f>
        <v>0.00840798314765161</v>
      </c>
      <c r="AD454" s="20" t="n">
        <f aca="false">IF(OR(U454="",NOT(ISNUMBER(U454))),"",U454*$D$3^2/2*$F$3)</f>
        <v>82.4823146784623</v>
      </c>
      <c r="AE454" s="19" t="str">
        <f aca="false">IF(OR(V454="",NOT(ISNUMBER(V454))),"",V454*$D$3^2/(2*$H$3))</f>
        <v/>
      </c>
      <c r="AF454" s="20" t="str">
        <f aca="false">IF(OR(V454="",NOT(ISNUMBER(V454))),"",V454*$D$3^2/2*$F$3)</f>
        <v/>
      </c>
      <c r="AG454" s="19" t="n">
        <f aca="false">IF(OR(W454="",NOT(ISNUMBER(W454))),"",W454*$D$3^2/(2*$H$3))</f>
        <v>0.00967603194409258</v>
      </c>
      <c r="AH454" s="20" t="n">
        <f aca="false">IF(OR(W454="",NOT(ISNUMBER(W454))),"",W454*$D$3^2/2*$F$3)</f>
        <v>94.9218733715482</v>
      </c>
    </row>
    <row r="455" customFormat="false" ht="15" hidden="false" customHeight="false" outlineLevel="0" collapsed="false">
      <c r="A455" s="10" t="s">
        <v>1005</v>
      </c>
      <c r="B455" s="22" t="s">
        <v>924</v>
      </c>
      <c r="C455" s="6" t="s">
        <v>925</v>
      </c>
      <c r="D455" s="6" t="s">
        <v>1006</v>
      </c>
      <c r="E455" s="6" t="s">
        <v>995</v>
      </c>
      <c r="F455" s="6" t="s">
        <v>68</v>
      </c>
      <c r="G455" s="6" t="n">
        <v>50</v>
      </c>
      <c r="H455" s="6" t="n">
        <v>25</v>
      </c>
      <c r="I455" s="6"/>
      <c r="J455" s="6" t="n">
        <v>16</v>
      </c>
      <c r="K455" s="6" t="s">
        <v>928</v>
      </c>
      <c r="L455" s="6"/>
      <c r="M455" s="6"/>
      <c r="N455" s="12" t="n">
        <v>40.8</v>
      </c>
      <c r="O455" s="12" t="n">
        <v>20.4</v>
      </c>
      <c r="P455" s="12"/>
      <c r="Q455" s="12"/>
      <c r="R455" s="14" t="n">
        <v>0.021</v>
      </c>
      <c r="S455" s="6" t="n">
        <v>0</v>
      </c>
      <c r="T455" s="6" t="n">
        <v>30</v>
      </c>
      <c r="U455" s="15" t="n">
        <f aca="false">0.8*SIN(RADIANS(T455/2))*(1-(O455/N455)^2)</f>
        <v>0.155291427061512</v>
      </c>
      <c r="V455" s="14"/>
      <c r="W455" s="15" t="n">
        <f aca="false">2.6*SIN(RADIANS(T455/2))*(1-(O455/N455)^2)^2</f>
        <v>0.378522853462437</v>
      </c>
      <c r="X455" s="10" t="s">
        <v>996</v>
      </c>
      <c r="Y455" s="16"/>
      <c r="Z455" s="17" t="s">
        <v>48</v>
      </c>
      <c r="AA455" s="6"/>
      <c r="AB455" s="18" t="n">
        <f aca="false">IF(O455="","",$D$3*PI()*(O455/1000)^2/4*3600)</f>
        <v>1.7649970182692</v>
      </c>
      <c r="AC455" s="19" t="n">
        <f aca="false">IF(OR(U455="",NOT(ISNUMBER(U455))),"",U455*$D$3^2/(2*$H$3))</f>
        <v>0.0178086498923753</v>
      </c>
      <c r="AD455" s="20" t="n">
        <f aca="false">IF(OR(U455="",NOT(ISNUMBER(U455))),"",U455*$D$3^2/2*$F$3)</f>
        <v>174.702855444202</v>
      </c>
      <c r="AE455" s="19" t="str">
        <f aca="false">IF(OR(V455="",NOT(ISNUMBER(V455))),"",V455*$D$3^2/(2*$H$3))</f>
        <v/>
      </c>
      <c r="AF455" s="20" t="str">
        <f aca="false">IF(OR(V455="",NOT(ISNUMBER(V455))),"",V455*$D$3^2/2*$F$3)</f>
        <v/>
      </c>
      <c r="AG455" s="19" t="n">
        <f aca="false">IF(OR(W455="",NOT(ISNUMBER(W455))),"",W455*$D$3^2/(2*$H$3))</f>
        <v>0.0434085841126647</v>
      </c>
      <c r="AH455" s="20" t="n">
        <f aca="false">IF(OR(W455="",NOT(ISNUMBER(W455))),"",W455*$D$3^2/2*$F$3)</f>
        <v>425.838210145241</v>
      </c>
    </row>
    <row r="456" customFormat="false" ht="15" hidden="false" customHeight="false" outlineLevel="0" collapsed="false">
      <c r="A456" s="10" t="s">
        <v>1007</v>
      </c>
      <c r="B456" s="22" t="s">
        <v>924</v>
      </c>
      <c r="C456" s="6" t="s">
        <v>925</v>
      </c>
      <c r="D456" s="6" t="s">
        <v>1008</v>
      </c>
      <c r="E456" s="6" t="s">
        <v>995</v>
      </c>
      <c r="F456" s="6" t="s">
        <v>68</v>
      </c>
      <c r="G456" s="6" t="n">
        <v>50</v>
      </c>
      <c r="H456" s="6" t="n">
        <v>32</v>
      </c>
      <c r="I456" s="6"/>
      <c r="J456" s="6" t="n">
        <v>16</v>
      </c>
      <c r="K456" s="6" t="s">
        <v>928</v>
      </c>
      <c r="L456" s="6"/>
      <c r="M456" s="6"/>
      <c r="N456" s="12" t="n">
        <v>40.8</v>
      </c>
      <c r="O456" s="12" t="n">
        <v>26.2</v>
      </c>
      <c r="P456" s="12"/>
      <c r="Q456" s="12"/>
      <c r="R456" s="14" t="n">
        <v>0.021</v>
      </c>
      <c r="S456" s="6" t="n">
        <v>0</v>
      </c>
      <c r="T456" s="6" t="n">
        <v>30</v>
      </c>
      <c r="U456" s="15" t="n">
        <f aca="false">0.8*SIN(RADIANS(T456/2))*(1-(O456/N456)^2)</f>
        <v>0.121672813302233</v>
      </c>
      <c r="V456" s="14"/>
      <c r="W456" s="15" t="n">
        <f aca="false">2.6*SIN(RADIANS(T456/2))*(1-(O456/N456)^2)^2</f>
        <v>0.232372239288851</v>
      </c>
      <c r="X456" s="10" t="s">
        <v>996</v>
      </c>
      <c r="Y456" s="16"/>
      <c r="Z456" s="17" t="s">
        <v>48</v>
      </c>
      <c r="AA456" s="6"/>
      <c r="AB456" s="18" t="n">
        <f aca="false">IF(O456="","",$D$3*PI()*(O456/1000)^2/4*3600)</f>
        <v>2.91129506252574</v>
      </c>
      <c r="AC456" s="19" t="n">
        <f aca="false">IF(OR(U456="",NOT(ISNUMBER(U456))),"",U456*$D$3^2/(2*$H$3))</f>
        <v>0.013953304277779</v>
      </c>
      <c r="AD456" s="20" t="n">
        <f aca="false">IF(OR(U456="",NOT(ISNUMBER(U456))),"",U456*$D$3^2/2*$F$3)</f>
        <v>136.881914965012</v>
      </c>
      <c r="AE456" s="19" t="str">
        <f aca="false">IF(OR(V456="",NOT(ISNUMBER(V456))),"",V456*$D$3^2/(2*$H$3))</f>
        <v/>
      </c>
      <c r="AF456" s="20" t="str">
        <f aca="false">IF(OR(V456="",NOT(ISNUMBER(V456))),"",V456*$D$3^2/2*$F$3)</f>
        <v/>
      </c>
      <c r="AG456" s="19" t="n">
        <f aca="false">IF(OR(W456="",NOT(ISNUMBER(W456))),"",W456*$D$3^2/(2*$H$3))</f>
        <v>0.0266481925789967</v>
      </c>
      <c r="AH456" s="20" t="n">
        <f aca="false">IF(OR(W456="",NOT(ISNUMBER(W456))),"",W456*$D$3^2/2*$F$3)</f>
        <v>261.418769199957</v>
      </c>
    </row>
    <row r="457" customFormat="false" ht="15" hidden="false" customHeight="false" outlineLevel="0" collapsed="false">
      <c r="A457" s="10" t="s">
        <v>1009</v>
      </c>
      <c r="B457" s="22" t="s">
        <v>924</v>
      </c>
      <c r="C457" s="6" t="s">
        <v>925</v>
      </c>
      <c r="D457" s="6" t="s">
        <v>1010</v>
      </c>
      <c r="E457" s="6" t="s">
        <v>995</v>
      </c>
      <c r="F457" s="6" t="s">
        <v>68</v>
      </c>
      <c r="G457" s="6" t="n">
        <v>50</v>
      </c>
      <c r="H457" s="6" t="n">
        <v>40</v>
      </c>
      <c r="I457" s="6"/>
      <c r="J457" s="6" t="n">
        <v>16</v>
      </c>
      <c r="K457" s="6" t="s">
        <v>928</v>
      </c>
      <c r="L457" s="6"/>
      <c r="M457" s="6"/>
      <c r="N457" s="12" t="n">
        <v>40.8</v>
      </c>
      <c r="O457" s="12" t="n">
        <v>32.6</v>
      </c>
      <c r="P457" s="12"/>
      <c r="Q457" s="12"/>
      <c r="R457" s="14" t="n">
        <v>0.021</v>
      </c>
      <c r="S457" s="6" t="n">
        <v>0</v>
      </c>
      <c r="T457" s="6" t="n">
        <v>30</v>
      </c>
      <c r="U457" s="15" t="n">
        <f aca="false">0.8*SIN(RADIANS(T457/2))*(1-(O457/N457)^2)</f>
        <v>0.0748644785016845</v>
      </c>
      <c r="V457" s="14"/>
      <c r="W457" s="15" t="n">
        <f aca="false">2.6*SIN(RADIANS(T457/2))*(1-(O457/N457)^2)^2</f>
        <v>0.0879728680326858</v>
      </c>
      <c r="X457" s="10" t="s">
        <v>996</v>
      </c>
      <c r="Y457" s="16"/>
      <c r="Z457" s="17" t="s">
        <v>48</v>
      </c>
      <c r="AA457" s="6"/>
      <c r="AB457" s="18" t="n">
        <f aca="false">IF(O457="","",$D$3*PI()*(O457/1000)^2/4*3600)</f>
        <v>4.50732466151427</v>
      </c>
      <c r="AC457" s="19" t="n">
        <f aca="false">IF(OR(U457="",NOT(ISNUMBER(U457))),"",U457*$D$3^2/(2*$H$3))</f>
        <v>0.00858537597496382</v>
      </c>
      <c r="AD457" s="20" t="n">
        <f aca="false">IF(OR(U457="",NOT(ISNUMBER(U457))),"",U457*$D$3^2/2*$F$3)</f>
        <v>84.2225383143951</v>
      </c>
      <c r="AE457" s="19" t="str">
        <f aca="false">IF(OR(V457="",NOT(ISNUMBER(V457))),"",V457*$D$3^2/(2*$H$3))</f>
        <v/>
      </c>
      <c r="AF457" s="20" t="str">
        <f aca="false">IF(OR(V457="",NOT(ISNUMBER(V457))),"",V457*$D$3^2/2*$F$3)</f>
        <v/>
      </c>
      <c r="AG457" s="19" t="n">
        <f aca="false">IF(OR(W457="",NOT(ISNUMBER(W457))),"",W457*$D$3^2/(2*$H$3))</f>
        <v>0.0100886316551245</v>
      </c>
      <c r="AH457" s="20" t="n">
        <f aca="false">IF(OR(W457="",NOT(ISNUMBER(W457))),"",W457*$D$3^2/2*$F$3)</f>
        <v>98.9694765367715</v>
      </c>
    </row>
    <row r="458" customFormat="false" ht="15" hidden="false" customHeight="false" outlineLevel="0" collapsed="false">
      <c r="A458" s="10" t="s">
        <v>1011</v>
      </c>
      <c r="B458" s="22" t="s">
        <v>924</v>
      </c>
      <c r="C458" s="6" t="s">
        <v>925</v>
      </c>
      <c r="D458" s="6" t="s">
        <v>1012</v>
      </c>
      <c r="E458" s="6" t="s">
        <v>995</v>
      </c>
      <c r="F458" s="6" t="s">
        <v>68</v>
      </c>
      <c r="G458" s="6" t="n">
        <v>63</v>
      </c>
      <c r="H458" s="6" t="n">
        <v>25</v>
      </c>
      <c r="I458" s="6"/>
      <c r="J458" s="6" t="n">
        <v>16</v>
      </c>
      <c r="K458" s="6" t="s">
        <v>928</v>
      </c>
      <c r="L458" s="6"/>
      <c r="M458" s="6"/>
      <c r="N458" s="12" t="n">
        <v>51.4</v>
      </c>
      <c r="O458" s="12" t="n">
        <v>20.4</v>
      </c>
      <c r="P458" s="12"/>
      <c r="Q458" s="12"/>
      <c r="R458" s="14" t="n">
        <v>0.019</v>
      </c>
      <c r="S458" s="6" t="n">
        <v>0</v>
      </c>
      <c r="T458" s="6" t="n">
        <v>30</v>
      </c>
      <c r="U458" s="15" t="n">
        <f aca="false">0.8*SIN(RADIANS(T458/2))*(1-(O458/N458)^2)</f>
        <v>0.174440015924296</v>
      </c>
      <c r="V458" s="14"/>
      <c r="W458" s="15" t="n">
        <f aca="false">2.6*SIN(RADIANS(T458/2))*(1-(O458/N458)^2)^2</f>
        <v>0.47762756029386</v>
      </c>
      <c r="X458" s="10" t="s">
        <v>996</v>
      </c>
      <c r="Y458" s="16"/>
      <c r="Z458" s="17" t="s">
        <v>48</v>
      </c>
      <c r="AA458" s="6"/>
      <c r="AB458" s="18" t="n">
        <f aca="false">IF(O458="","",$D$3*PI()*(O458/1000)^2/4*3600)</f>
        <v>1.7649970182692</v>
      </c>
      <c r="AC458" s="19" t="n">
        <f aca="false">IF(OR(U458="",NOT(ISNUMBER(U458))),"",U458*$D$3^2/(2*$H$3))</f>
        <v>0.020004588982144</v>
      </c>
      <c r="AD458" s="20" t="n">
        <f aca="false">IF(OR(U458="",NOT(ISNUMBER(U458))),"",U458*$D$3^2/2*$F$3)</f>
        <v>196.245017914833</v>
      </c>
      <c r="AE458" s="19" t="str">
        <f aca="false">IF(OR(V458="",NOT(ISNUMBER(V458))),"",V458*$D$3^2/(2*$H$3))</f>
        <v/>
      </c>
      <c r="AF458" s="20" t="str">
        <f aca="false">IF(OR(V458="",NOT(ISNUMBER(V458))),"",V458*$D$3^2/2*$F$3)</f>
        <v/>
      </c>
      <c r="AG458" s="19" t="n">
        <f aca="false">IF(OR(W458="",NOT(ISNUMBER(W458))),"",W458*$D$3^2/(2*$H$3))</f>
        <v>0.0547738027859932</v>
      </c>
      <c r="AH458" s="20" t="n">
        <f aca="false">IF(OR(W458="",NOT(ISNUMBER(W458))),"",W458*$D$3^2/2*$F$3)</f>
        <v>537.331005330593</v>
      </c>
    </row>
    <row r="459" customFormat="false" ht="15" hidden="false" customHeight="false" outlineLevel="0" collapsed="false">
      <c r="A459" s="10" t="s">
        <v>1013</v>
      </c>
      <c r="B459" s="22" t="s">
        <v>924</v>
      </c>
      <c r="C459" s="6" t="s">
        <v>925</v>
      </c>
      <c r="D459" s="6" t="s">
        <v>1014</v>
      </c>
      <c r="E459" s="6" t="s">
        <v>995</v>
      </c>
      <c r="F459" s="6" t="s">
        <v>68</v>
      </c>
      <c r="G459" s="6" t="n">
        <v>63</v>
      </c>
      <c r="H459" s="6" t="n">
        <v>32</v>
      </c>
      <c r="I459" s="6"/>
      <c r="J459" s="6" t="n">
        <v>16</v>
      </c>
      <c r="K459" s="6" t="s">
        <v>928</v>
      </c>
      <c r="L459" s="6"/>
      <c r="M459" s="6"/>
      <c r="N459" s="12" t="n">
        <v>51.4</v>
      </c>
      <c r="O459" s="12" t="n">
        <v>26.2</v>
      </c>
      <c r="P459" s="12"/>
      <c r="Q459" s="12"/>
      <c r="R459" s="14" t="n">
        <v>0.019</v>
      </c>
      <c r="S459" s="6" t="n">
        <v>0</v>
      </c>
      <c r="T459" s="6" t="n">
        <v>30</v>
      </c>
      <c r="U459" s="15" t="n">
        <f aca="false">0.8*SIN(RADIANS(T459/2))*(1-(O459/N459)^2)</f>
        <v>0.153257678111366</v>
      </c>
      <c r="V459" s="14"/>
      <c r="W459" s="15" t="n">
        <f aca="false">2.6*SIN(RADIANS(T459/2))*(1-(O459/N459)^2)^2</f>
        <v>0.368673249320997</v>
      </c>
      <c r="X459" s="10" t="s">
        <v>996</v>
      </c>
      <c r="Y459" s="16"/>
      <c r="Z459" s="17" t="s">
        <v>48</v>
      </c>
      <c r="AA459" s="6"/>
      <c r="AB459" s="18" t="n">
        <f aca="false">IF(O459="","",$D$3*PI()*(O459/1000)^2/4*3600)</f>
        <v>2.91129506252574</v>
      </c>
      <c r="AC459" s="19" t="n">
        <f aca="false">IF(OR(U459="",NOT(ISNUMBER(U459))),"",U459*$D$3^2/(2*$H$3))</f>
        <v>0.0175754218017622</v>
      </c>
      <c r="AD459" s="20" t="n">
        <f aca="false">IF(OR(U459="",NOT(ISNUMBER(U459))),"",U459*$D$3^2/2*$F$3)</f>
        <v>172.414887875287</v>
      </c>
      <c r="AE459" s="19" t="str">
        <f aca="false">IF(OR(V459="",NOT(ISNUMBER(V459))),"",V459*$D$3^2/(2*$H$3))</f>
        <v/>
      </c>
      <c r="AF459" s="20" t="str">
        <f aca="false">IF(OR(V459="",NOT(ISNUMBER(V459))),"",V459*$D$3^2/2*$F$3)</f>
        <v/>
      </c>
      <c r="AG459" s="19" t="n">
        <f aca="false">IF(OR(W459="",NOT(ISNUMBER(W459))),"",W459*$D$3^2/(2*$H$3))</f>
        <v>0.0422790423533253</v>
      </c>
      <c r="AH459" s="20" t="n">
        <f aca="false">IF(OR(W459="",NOT(ISNUMBER(W459))),"",W459*$D$3^2/2*$F$3)</f>
        <v>414.757405486122</v>
      </c>
    </row>
    <row r="460" customFormat="false" ht="15" hidden="false" customHeight="false" outlineLevel="0" collapsed="false">
      <c r="A460" s="10" t="s">
        <v>1015</v>
      </c>
      <c r="B460" s="22" t="s">
        <v>924</v>
      </c>
      <c r="C460" s="6" t="s">
        <v>925</v>
      </c>
      <c r="D460" s="6" t="s">
        <v>1016</v>
      </c>
      <c r="E460" s="6" t="s">
        <v>995</v>
      </c>
      <c r="F460" s="6" t="s">
        <v>68</v>
      </c>
      <c r="G460" s="6" t="n">
        <v>63</v>
      </c>
      <c r="H460" s="6" t="n">
        <v>40</v>
      </c>
      <c r="I460" s="6"/>
      <c r="J460" s="6" t="n">
        <v>16</v>
      </c>
      <c r="K460" s="6" t="s">
        <v>928</v>
      </c>
      <c r="L460" s="6"/>
      <c r="M460" s="6"/>
      <c r="N460" s="12" t="n">
        <v>51.4</v>
      </c>
      <c r="O460" s="12" t="n">
        <v>32.6</v>
      </c>
      <c r="P460" s="12"/>
      <c r="Q460" s="12"/>
      <c r="R460" s="14" t="n">
        <v>0.019</v>
      </c>
      <c r="S460" s="6" t="n">
        <v>0</v>
      </c>
      <c r="T460" s="6" t="n">
        <v>30</v>
      </c>
      <c r="U460" s="15" t="n">
        <f aca="false">0.8*SIN(RADIANS(T460/2))*(1-(O460/N460)^2)</f>
        <v>0.123764791601962</v>
      </c>
      <c r="V460" s="14"/>
      <c r="W460" s="15" t="n">
        <f aca="false">2.6*SIN(RADIANS(T460/2))*(1-(O460/N460)^2)^2</f>
        <v>0.240431504041663</v>
      </c>
      <c r="X460" s="10" t="s">
        <v>996</v>
      </c>
      <c r="Y460" s="16"/>
      <c r="Z460" s="17" t="s">
        <v>48</v>
      </c>
      <c r="AA460" s="6"/>
      <c r="AB460" s="18" t="n">
        <f aca="false">IF(O460="","",$D$3*PI()*(O460/1000)^2/4*3600)</f>
        <v>4.50732466151427</v>
      </c>
      <c r="AC460" s="19" t="n">
        <f aca="false">IF(OR(U460="",NOT(ISNUMBER(U460))),"",U460*$D$3^2/(2*$H$3))</f>
        <v>0.0141932100460966</v>
      </c>
      <c r="AD460" s="20" t="n">
        <f aca="false">IF(OR(U460="",NOT(ISNUMBER(U460))),"",U460*$D$3^2/2*$F$3)</f>
        <v>139.235390552208</v>
      </c>
      <c r="AE460" s="19" t="str">
        <f aca="false">IF(OR(V460="",NOT(ISNUMBER(V460))),"",V460*$D$3^2/(2*$H$3))</f>
        <v/>
      </c>
      <c r="AF460" s="20" t="str">
        <f aca="false">IF(OR(V460="",NOT(ISNUMBER(V460))),"",V460*$D$3^2/2*$F$3)</f>
        <v/>
      </c>
      <c r="AG460" s="19" t="n">
        <f aca="false">IF(OR(W460="",NOT(ISNUMBER(W460))),"",W460*$D$3^2/(2*$H$3))</f>
        <v>0.0275724201882641</v>
      </c>
      <c r="AH460" s="20" t="n">
        <f aca="false">IF(OR(W460="",NOT(ISNUMBER(W460))),"",W460*$D$3^2/2*$F$3)</f>
        <v>270.485442046871</v>
      </c>
    </row>
    <row r="461" customFormat="false" ht="15" hidden="false" customHeight="false" outlineLevel="0" collapsed="false">
      <c r="A461" s="10" t="s">
        <v>1017</v>
      </c>
      <c r="B461" s="22" t="s">
        <v>924</v>
      </c>
      <c r="C461" s="6" t="s">
        <v>925</v>
      </c>
      <c r="D461" s="6" t="s">
        <v>1018</v>
      </c>
      <c r="E461" s="6" t="s">
        <v>995</v>
      </c>
      <c r="F461" s="6" t="s">
        <v>68</v>
      </c>
      <c r="G461" s="6" t="n">
        <v>63</v>
      </c>
      <c r="H461" s="6" t="n">
        <v>50</v>
      </c>
      <c r="I461" s="6"/>
      <c r="J461" s="6" t="n">
        <v>16</v>
      </c>
      <c r="K461" s="6" t="s">
        <v>928</v>
      </c>
      <c r="L461" s="6"/>
      <c r="M461" s="6"/>
      <c r="N461" s="12" t="n">
        <v>51.4</v>
      </c>
      <c r="O461" s="12" t="n">
        <v>40.8</v>
      </c>
      <c r="P461" s="12"/>
      <c r="Q461" s="12"/>
      <c r="R461" s="14" t="n">
        <v>0.019</v>
      </c>
      <c r="S461" s="6" t="n">
        <v>0</v>
      </c>
      <c r="T461" s="6" t="n">
        <v>30</v>
      </c>
      <c r="U461" s="15" t="n">
        <f aca="false">0.8*SIN(RADIANS(T461/2))*(1-(O461/N461)^2)</f>
        <v>0.0765943554511334</v>
      </c>
      <c r="V461" s="14"/>
      <c r="W461" s="15" t="n">
        <f aca="false">2.6*SIN(RADIANS(T461/2))*(1-(O461/N461)^2)^2</f>
        <v>0.0920853780056779</v>
      </c>
      <c r="X461" s="10" t="s">
        <v>996</v>
      </c>
      <c r="Y461" s="16"/>
      <c r="Z461" s="17" t="s">
        <v>48</v>
      </c>
      <c r="AA461" s="6"/>
      <c r="AB461" s="18" t="n">
        <f aca="false">IF(O461="","",$D$3*PI()*(O461/1000)^2/4*3600)</f>
        <v>7.05998807307681</v>
      </c>
      <c r="AC461" s="19" t="n">
        <f aca="false">IF(OR(U461="",NOT(ISNUMBER(U461))),"",U461*$D$3^2/(2*$H$3))</f>
        <v>0.00878375635907494</v>
      </c>
      <c r="AD461" s="20" t="n">
        <f aca="false">IF(OR(U461="",NOT(ISNUMBER(U461))),"",U461*$D$3^2/2*$F$3)</f>
        <v>86.1686498825251</v>
      </c>
      <c r="AE461" s="19" t="str">
        <f aca="false">IF(OR(V461="",NOT(ISNUMBER(V461))),"",V461*$D$3^2/(2*$H$3))</f>
        <v/>
      </c>
      <c r="AF461" s="20" t="str">
        <f aca="false">IF(OR(V461="",NOT(ISNUMBER(V461))),"",V461*$D$3^2/2*$F$3)</f>
        <v/>
      </c>
      <c r="AG461" s="19" t="n">
        <f aca="false">IF(OR(W461="",NOT(ISNUMBER(W461))),"",W461*$D$3^2/(2*$H$3))</f>
        <v>0.0105602497712933</v>
      </c>
      <c r="AH461" s="20" t="n">
        <f aca="false">IF(OR(W461="",NOT(ISNUMBER(W461))),"",W461*$D$3^2/2*$F$3)</f>
        <v>103.596050256388</v>
      </c>
    </row>
    <row r="462" customFormat="false" ht="15" hidden="false" customHeight="false" outlineLevel="0" collapsed="false">
      <c r="A462" s="10" t="s">
        <v>1019</v>
      </c>
      <c r="B462" s="22" t="s">
        <v>924</v>
      </c>
      <c r="C462" s="6" t="s">
        <v>925</v>
      </c>
      <c r="D462" s="6" t="s">
        <v>1020</v>
      </c>
      <c r="E462" s="6" t="s">
        <v>995</v>
      </c>
      <c r="F462" s="6" t="s">
        <v>68</v>
      </c>
      <c r="G462" s="6" t="n">
        <v>75</v>
      </c>
      <c r="H462" s="6" t="n">
        <v>63</v>
      </c>
      <c r="I462" s="6"/>
      <c r="J462" s="6" t="n">
        <v>16</v>
      </c>
      <c r="K462" s="6" t="s">
        <v>928</v>
      </c>
      <c r="L462" s="6"/>
      <c r="M462" s="6"/>
      <c r="N462" s="12" t="n">
        <v>61.4</v>
      </c>
      <c r="O462" s="12" t="n">
        <v>51.4</v>
      </c>
      <c r="P462" s="12"/>
      <c r="Q462" s="12"/>
      <c r="R462" s="14" t="n">
        <v>0.018</v>
      </c>
      <c r="S462" s="6" t="n">
        <v>0</v>
      </c>
      <c r="T462" s="6" t="n">
        <v>30</v>
      </c>
      <c r="U462" s="15" t="n">
        <f aca="false">0.8*SIN(RADIANS(T462/2))*(1-(O462/N462)^2)</f>
        <v>0.0619524627053111</v>
      </c>
      <c r="V462" s="14"/>
      <c r="W462" s="15" t="n">
        <f aca="false">2.6*SIN(RADIANS(T462/2))*(1-(O462/N462)^2)^2</f>
        <v>0.0602440684457316</v>
      </c>
      <c r="X462" s="10" t="s">
        <v>996</v>
      </c>
      <c r="Y462" s="16"/>
      <c r="Z462" s="17" t="s">
        <v>48</v>
      </c>
      <c r="AA462" s="6"/>
      <c r="AB462" s="18" t="n">
        <f aca="false">IF(O462="","",$D$3*PI()*(O462/1000)^2/4*3600)</f>
        <v>11.2049488715554</v>
      </c>
      <c r="AC462" s="19" t="n">
        <f aca="false">IF(OR(U462="",NOT(ISNUMBER(U462))),"",U462*$D$3^2/(2*$H$3))</f>
        <v>0.00710464021849898</v>
      </c>
      <c r="AD462" s="20" t="n">
        <f aca="false">IF(OR(U462="",NOT(ISNUMBER(U462))),"",U462*$D$3^2/2*$F$3)</f>
        <v>69.696520543475</v>
      </c>
      <c r="AE462" s="19" t="str">
        <f aca="false">IF(OR(V462="",NOT(ISNUMBER(V462))),"",V462*$D$3^2/(2*$H$3))</f>
        <v/>
      </c>
      <c r="AF462" s="20" t="str">
        <f aca="false">IF(OR(V462="",NOT(ISNUMBER(V462))),"",V462*$D$3^2/2*$F$3)</f>
        <v/>
      </c>
      <c r="AG462" s="19" t="n">
        <f aca="false">IF(OR(W462="",NOT(ISNUMBER(W462))),"",W462*$D$3^2/(2*$H$3))</f>
        <v>0.00690872344561143</v>
      </c>
      <c r="AH462" s="20" t="n">
        <f aca="false">IF(OR(W462="",NOT(ISNUMBER(W462))),"",W462*$D$3^2/2*$F$3)</f>
        <v>67.7745770014481</v>
      </c>
    </row>
    <row r="463" customFormat="false" ht="15" hidden="false" customHeight="false" outlineLevel="0" collapsed="false">
      <c r="A463" s="10" t="s">
        <v>1021</v>
      </c>
      <c r="B463" s="22" t="s">
        <v>924</v>
      </c>
      <c r="C463" s="6" t="s">
        <v>925</v>
      </c>
      <c r="D463" s="6" t="s">
        <v>1022</v>
      </c>
      <c r="E463" s="6" t="s">
        <v>995</v>
      </c>
      <c r="F463" s="6" t="s">
        <v>68</v>
      </c>
      <c r="G463" s="6" t="n">
        <v>90</v>
      </c>
      <c r="H463" s="6" t="n">
        <v>50</v>
      </c>
      <c r="I463" s="6"/>
      <c r="J463" s="6" t="n">
        <v>16</v>
      </c>
      <c r="K463" s="6" t="s">
        <v>928</v>
      </c>
      <c r="L463" s="6"/>
      <c r="M463" s="6"/>
      <c r="N463" s="12" t="n">
        <v>73.6</v>
      </c>
      <c r="O463" s="12" t="n">
        <v>40.8</v>
      </c>
      <c r="P463" s="12"/>
      <c r="Q463" s="12"/>
      <c r="R463" s="14" t="n">
        <v>0.018</v>
      </c>
      <c r="S463" s="6" t="n">
        <v>0</v>
      </c>
      <c r="T463" s="6" t="n">
        <v>30</v>
      </c>
      <c r="U463" s="15" t="n">
        <f aca="false">0.8*SIN(RADIANS(T463/2))*(1-(O463/N463)^2)</f>
        <v>0.143426848907002</v>
      </c>
      <c r="V463" s="14"/>
      <c r="W463" s="15" t="n">
        <f aca="false">2.6*SIN(RADIANS(T463/2))*(1-(O463/N463)^2)^2</f>
        <v>0.322892574339638</v>
      </c>
      <c r="X463" s="10" t="s">
        <v>996</v>
      </c>
      <c r="Y463" s="16"/>
      <c r="Z463" s="17" t="s">
        <v>48</v>
      </c>
      <c r="AA463" s="6"/>
      <c r="AB463" s="18" t="n">
        <f aca="false">IF(O463="","",$D$3*PI()*(O463/1000)^2/4*3600)</f>
        <v>7.05998807307681</v>
      </c>
      <c r="AC463" s="19" t="n">
        <f aca="false">IF(OR(U463="",NOT(ISNUMBER(U463))),"",U463*$D$3^2/(2*$H$3))</f>
        <v>0.0164480331315369</v>
      </c>
      <c r="AD463" s="20" t="n">
        <f aca="false">IF(OR(U463="",NOT(ISNUMBER(U463))),"",U463*$D$3^2/2*$F$3)</f>
        <v>161.355205020377</v>
      </c>
      <c r="AE463" s="19" t="str">
        <f aca="false">IF(OR(V463="",NOT(ISNUMBER(V463))),"",V463*$D$3^2/(2*$H$3))</f>
        <v/>
      </c>
      <c r="AF463" s="20" t="str">
        <f aca="false">IF(OR(V463="",NOT(ISNUMBER(V463))),"",V463*$D$3^2/2*$F$3)</f>
        <v/>
      </c>
      <c r="AG463" s="19" t="n">
        <f aca="false">IF(OR(W463="",NOT(ISNUMBER(W463))),"",W463*$D$3^2/(2*$H$3))</f>
        <v>0.0370289649472061</v>
      </c>
      <c r="AH463" s="20" t="n">
        <f aca="false">IF(OR(W463="",NOT(ISNUMBER(W463))),"",W463*$D$3^2/2*$F$3)</f>
        <v>363.254146132092</v>
      </c>
    </row>
    <row r="464" customFormat="false" ht="15" hidden="false" customHeight="false" outlineLevel="0" collapsed="false">
      <c r="A464" s="10" t="s">
        <v>1023</v>
      </c>
      <c r="B464" s="22" t="s">
        <v>924</v>
      </c>
      <c r="C464" s="6" t="s">
        <v>925</v>
      </c>
      <c r="D464" s="6" t="s">
        <v>1024</v>
      </c>
      <c r="E464" s="6" t="s">
        <v>995</v>
      </c>
      <c r="F464" s="6" t="s">
        <v>68</v>
      </c>
      <c r="G464" s="6" t="n">
        <v>90</v>
      </c>
      <c r="H464" s="6" t="n">
        <v>63</v>
      </c>
      <c r="I464" s="6"/>
      <c r="J464" s="6" t="n">
        <v>16</v>
      </c>
      <c r="K464" s="6" t="s">
        <v>928</v>
      </c>
      <c r="L464" s="6"/>
      <c r="M464" s="6"/>
      <c r="N464" s="12" t="n">
        <v>73.6</v>
      </c>
      <c r="O464" s="12" t="n">
        <v>51.4</v>
      </c>
      <c r="P464" s="12"/>
      <c r="Q464" s="12"/>
      <c r="R464" s="14" t="n">
        <v>0.018</v>
      </c>
      <c r="S464" s="6" t="n">
        <v>0</v>
      </c>
      <c r="T464" s="6" t="n">
        <v>30</v>
      </c>
      <c r="U464" s="15" t="n">
        <f aca="false">0.8*SIN(RADIANS(T464/2))*(1-(O464/N464)^2)</f>
        <v>0.106070246065615</v>
      </c>
      <c r="V464" s="14"/>
      <c r="W464" s="15" t="n">
        <f aca="false">2.6*SIN(RADIANS(T464/2))*(1-(O464/N464)^2)^2</f>
        <v>0.176597396271021</v>
      </c>
      <c r="X464" s="10" t="s">
        <v>996</v>
      </c>
      <c r="Y464" s="16"/>
      <c r="Z464" s="17" t="s">
        <v>48</v>
      </c>
      <c r="AA464" s="6"/>
      <c r="AB464" s="18" t="n">
        <f aca="false">IF(O464="","",$D$3*PI()*(O464/1000)^2/4*3600)</f>
        <v>11.2049488715554</v>
      </c>
      <c r="AC464" s="19" t="n">
        <f aca="false">IF(OR(U464="",NOT(ISNUMBER(U464))),"",U464*$D$3^2/(2*$H$3))</f>
        <v>0.0121640190442219</v>
      </c>
      <c r="AD464" s="20" t="n">
        <f aca="false">IF(OR(U464="",NOT(ISNUMBER(U464))),"",U464*$D$3^2/2*$F$3)</f>
        <v>119.329026823817</v>
      </c>
      <c r="AE464" s="19" t="str">
        <f aca="false">IF(OR(V464="",NOT(ISNUMBER(V464))),"",V464*$D$3^2/(2*$H$3))</f>
        <v/>
      </c>
      <c r="AF464" s="20" t="str">
        <f aca="false">IF(OR(V464="",NOT(ISNUMBER(V464))),"",V464*$D$3^2/2*$F$3)</f>
        <v/>
      </c>
      <c r="AG464" s="19" t="n">
        <f aca="false">IF(OR(W464="",NOT(ISNUMBER(W464))),"",W464*$D$3^2/(2*$H$3))</f>
        <v>0.0202519949852088</v>
      </c>
      <c r="AH464" s="20" t="n">
        <f aca="false">IF(OR(W464="",NOT(ISNUMBER(W464))),"",W464*$D$3^2/2*$F$3)</f>
        <v>198.672070804898</v>
      </c>
    </row>
    <row r="465" customFormat="false" ht="15" hidden="false" customHeight="false" outlineLevel="0" collapsed="false">
      <c r="A465" s="10" t="s">
        <v>1025</v>
      </c>
      <c r="B465" s="22" t="s">
        <v>924</v>
      </c>
      <c r="C465" s="6" t="s">
        <v>925</v>
      </c>
      <c r="D465" s="6" t="s">
        <v>1026</v>
      </c>
      <c r="E465" s="6" t="s">
        <v>995</v>
      </c>
      <c r="F465" s="6" t="s">
        <v>68</v>
      </c>
      <c r="G465" s="6" t="n">
        <v>90</v>
      </c>
      <c r="H465" s="6" t="n">
        <v>75</v>
      </c>
      <c r="I465" s="6"/>
      <c r="J465" s="6" t="n">
        <v>16</v>
      </c>
      <c r="K465" s="6" t="s">
        <v>928</v>
      </c>
      <c r="L465" s="6"/>
      <c r="M465" s="6"/>
      <c r="N465" s="12" t="n">
        <v>73.6</v>
      </c>
      <c r="O465" s="12" t="n">
        <v>61.4</v>
      </c>
      <c r="P465" s="12"/>
      <c r="Q465" s="12"/>
      <c r="R465" s="14" t="n">
        <v>0.018</v>
      </c>
      <c r="S465" s="6" t="n">
        <v>0</v>
      </c>
      <c r="T465" s="6" t="n">
        <v>30</v>
      </c>
      <c r="U465" s="15" t="n">
        <f aca="false">0.8*SIN(RADIANS(T465/2))*(1-(O465/N465)^2)</f>
        <v>0.0629541244216463</v>
      </c>
      <c r="V465" s="14"/>
      <c r="W465" s="15" t="n">
        <f aca="false">2.6*SIN(RADIANS(T465/2))*(1-(O465/N465)^2)^2</f>
        <v>0.0622078969565895</v>
      </c>
      <c r="X465" s="10" t="s">
        <v>996</v>
      </c>
      <c r="Y465" s="16"/>
      <c r="Z465" s="17" t="s">
        <v>48</v>
      </c>
      <c r="AA465" s="6"/>
      <c r="AB465" s="18" t="n">
        <f aca="false">IF(O465="","",$D$3*PI()*(O465/1000)^2/4*3600)</f>
        <v>15.988966164442</v>
      </c>
      <c r="AC465" s="19" t="n">
        <f aca="false">IF(OR(U465="",NOT(ISNUMBER(U465))),"",U465*$D$3^2/(2*$H$3))</f>
        <v>0.00721950968138146</v>
      </c>
      <c r="AD465" s="20" t="n">
        <f aca="false">IF(OR(U465="",NOT(ISNUMBER(U465))),"",U465*$D$3^2/2*$F$3)</f>
        <v>70.8233899743521</v>
      </c>
      <c r="AE465" s="19" t="str">
        <f aca="false">IF(OR(V465="",NOT(ISNUMBER(V465))),"",V465*$D$3^2/(2*$H$3))</f>
        <v/>
      </c>
      <c r="AF465" s="20" t="str">
        <f aca="false">IF(OR(V465="",NOT(ISNUMBER(V465))),"",V465*$D$3^2/2*$F$3)</f>
        <v/>
      </c>
      <c r="AG465" s="19" t="n">
        <f aca="false">IF(OR(W465="",NOT(ISNUMBER(W465))),"",W465*$D$3^2/(2*$H$3))</f>
        <v>0.00713393313722357</v>
      </c>
      <c r="AH465" s="20" t="n">
        <f aca="false">IF(OR(W465="",NOT(ISNUMBER(W465))),"",W465*$D$3^2/2*$F$3)</f>
        <v>69.9838840761632</v>
      </c>
    </row>
    <row r="466" customFormat="false" ht="15" hidden="false" customHeight="false" outlineLevel="0" collapsed="false">
      <c r="A466" s="10" t="s">
        <v>1027</v>
      </c>
      <c r="B466" s="22" t="s">
        <v>924</v>
      </c>
      <c r="C466" s="6" t="s">
        <v>925</v>
      </c>
      <c r="D466" s="6" t="s">
        <v>1028</v>
      </c>
      <c r="E466" s="6" t="s">
        <v>995</v>
      </c>
      <c r="F466" s="6" t="s">
        <v>68</v>
      </c>
      <c r="G466" s="6" t="n">
        <v>110</v>
      </c>
      <c r="H466" s="6" t="n">
        <v>63</v>
      </c>
      <c r="I466" s="6"/>
      <c r="J466" s="6" t="n">
        <v>16</v>
      </c>
      <c r="K466" s="6" t="s">
        <v>928</v>
      </c>
      <c r="L466" s="6"/>
      <c r="M466" s="6"/>
      <c r="N466" s="12" t="n">
        <v>90</v>
      </c>
      <c r="O466" s="12" t="n">
        <v>51.4</v>
      </c>
      <c r="P466" s="12"/>
      <c r="Q466" s="12"/>
      <c r="R466" s="14" t="n">
        <v>0.017</v>
      </c>
      <c r="S466" s="6" t="n">
        <v>0</v>
      </c>
      <c r="T466" s="6" t="n">
        <v>30</v>
      </c>
      <c r="U466" s="15" t="n">
        <f aca="false">0.8*SIN(RADIANS(T466/2))*(1-(O466/N466)^2)</f>
        <v>0.139520464289517</v>
      </c>
      <c r="V466" s="14"/>
      <c r="W466" s="15" t="n">
        <f aca="false">2.6*SIN(RADIANS(T466/2))*(1-(O466/N466)^2)^2</f>
        <v>0.305543443637032</v>
      </c>
      <c r="X466" s="10" t="s">
        <v>996</v>
      </c>
      <c r="Y466" s="16"/>
      <c r="Z466" s="17" t="s">
        <v>48</v>
      </c>
      <c r="AA466" s="6"/>
      <c r="AB466" s="18" t="n">
        <f aca="false">IF(O466="","",$D$3*PI()*(O466/1000)^2/4*3600)</f>
        <v>11.2049488715554</v>
      </c>
      <c r="AC466" s="19" t="n">
        <f aca="false">IF(OR(U466="",NOT(ISNUMBER(U466))),"",U466*$D$3^2/(2*$H$3))</f>
        <v>0.0160000532442107</v>
      </c>
      <c r="AD466" s="20" t="n">
        <f aca="false">IF(OR(U466="",NOT(ISNUMBER(U466))),"",U466*$D$3^2/2*$F$3)</f>
        <v>156.960522325707</v>
      </c>
      <c r="AE466" s="19" t="str">
        <f aca="false">IF(OR(V466="",NOT(ISNUMBER(V466))),"",V466*$D$3^2/(2*$H$3))</f>
        <v/>
      </c>
      <c r="AF466" s="20" t="str">
        <f aca="false">IF(OR(V466="",NOT(ISNUMBER(V466))),"",V466*$D$3^2/2*$F$3)</f>
        <v/>
      </c>
      <c r="AG466" s="19" t="n">
        <f aca="false">IF(OR(W466="",NOT(ISNUMBER(W466))),"",W466*$D$3^2/(2*$H$3))</f>
        <v>0.0350393857381917</v>
      </c>
      <c r="AH466" s="20" t="n">
        <f aca="false">IF(OR(W466="",NOT(ISNUMBER(W466))),"",W466*$D$3^2/2*$F$3)</f>
        <v>343.736374091661</v>
      </c>
    </row>
    <row r="467" customFormat="false" ht="15" hidden="false" customHeight="false" outlineLevel="0" collapsed="false">
      <c r="A467" s="10" t="s">
        <v>1029</v>
      </c>
      <c r="B467" s="22" t="s">
        <v>924</v>
      </c>
      <c r="C467" s="6" t="s">
        <v>925</v>
      </c>
      <c r="D467" s="6" t="s">
        <v>1030</v>
      </c>
      <c r="E467" s="6" t="s">
        <v>995</v>
      </c>
      <c r="F467" s="6" t="s">
        <v>68</v>
      </c>
      <c r="G467" s="6" t="n">
        <v>110</v>
      </c>
      <c r="H467" s="6" t="n">
        <v>75</v>
      </c>
      <c r="I467" s="6"/>
      <c r="J467" s="6" t="n">
        <v>16</v>
      </c>
      <c r="K467" s="6" t="s">
        <v>928</v>
      </c>
      <c r="L467" s="6"/>
      <c r="M467" s="6"/>
      <c r="N467" s="12" t="n">
        <v>90</v>
      </c>
      <c r="O467" s="12" t="n">
        <v>61.4</v>
      </c>
      <c r="P467" s="12"/>
      <c r="Q467" s="12"/>
      <c r="R467" s="14" t="n">
        <v>0.017</v>
      </c>
      <c r="S467" s="6" t="n">
        <v>0</v>
      </c>
      <c r="T467" s="6" t="n">
        <v>30</v>
      </c>
      <c r="U467" s="15" t="n">
        <f aca="false">0.8*SIN(RADIANS(T467/2))*(1-(O467/N467)^2)</f>
        <v>0.110686105486985</v>
      </c>
      <c r="V467" s="14"/>
      <c r="W467" s="15" t="n">
        <f aca="false">2.6*SIN(RADIANS(T467/2))*(1-(O467/N467)^2)^2</f>
        <v>0.192301803538186</v>
      </c>
      <c r="X467" s="10" t="s">
        <v>996</v>
      </c>
      <c r="Y467" s="16"/>
      <c r="Z467" s="17" t="s">
        <v>48</v>
      </c>
      <c r="AA467" s="6"/>
      <c r="AB467" s="18" t="n">
        <f aca="false">IF(O467="","",$D$3*PI()*(O467/1000)^2/4*3600)</f>
        <v>15.988966164442</v>
      </c>
      <c r="AC467" s="19" t="n">
        <f aca="false">IF(OR(U467="",NOT(ISNUMBER(U467))),"",U467*$D$3^2/(2*$H$3))</f>
        <v>0.0126933607209845</v>
      </c>
      <c r="AD467" s="20" t="n">
        <f aca="false">IF(OR(U467="",NOT(ISNUMBER(U467))),"",U467*$D$3^2/2*$F$3)</f>
        <v>124.521868672858</v>
      </c>
      <c r="AE467" s="19" t="str">
        <f aca="false">IF(OR(V467="",NOT(ISNUMBER(V467))),"",V467*$D$3^2/(2*$H$3))</f>
        <v/>
      </c>
      <c r="AF467" s="20" t="str">
        <f aca="false">IF(OR(V467="",NOT(ISNUMBER(V467))),"",V467*$D$3^2/2*$F$3)</f>
        <v/>
      </c>
      <c r="AG467" s="19" t="n">
        <f aca="false">IF(OR(W467="",NOT(ISNUMBER(W467))),"",W467*$D$3^2/(2*$H$3))</f>
        <v>0.0220529591213516</v>
      </c>
      <c r="AH467" s="20" t="n">
        <f aca="false">IF(OR(W467="",NOT(ISNUMBER(W467))),"",W467*$D$3^2/2*$F$3)</f>
        <v>216.339528980459</v>
      </c>
    </row>
    <row r="468" customFormat="false" ht="15" hidden="false" customHeight="false" outlineLevel="0" collapsed="false">
      <c r="A468" s="10" t="s">
        <v>1031</v>
      </c>
      <c r="B468" s="22" t="s">
        <v>924</v>
      </c>
      <c r="C468" s="6" t="s">
        <v>925</v>
      </c>
      <c r="D468" s="6" t="s">
        <v>1032</v>
      </c>
      <c r="E468" s="6" t="s">
        <v>995</v>
      </c>
      <c r="F468" s="6" t="s">
        <v>68</v>
      </c>
      <c r="G468" s="6" t="n">
        <v>110</v>
      </c>
      <c r="H468" s="6" t="n">
        <v>90</v>
      </c>
      <c r="I468" s="6"/>
      <c r="J468" s="6" t="n">
        <v>16</v>
      </c>
      <c r="K468" s="6" t="s">
        <v>928</v>
      </c>
      <c r="L468" s="6"/>
      <c r="M468" s="6"/>
      <c r="N468" s="12" t="n">
        <v>90</v>
      </c>
      <c r="O468" s="12" t="n">
        <v>73.6</v>
      </c>
      <c r="P468" s="12"/>
      <c r="Q468" s="12"/>
      <c r="R468" s="14" t="n">
        <v>0.017</v>
      </c>
      <c r="S468" s="6" t="n">
        <v>0</v>
      </c>
      <c r="T468" s="6" t="n">
        <v>30</v>
      </c>
      <c r="U468" s="15" t="n">
        <f aca="false">0.8*SIN(RADIANS(T468/2))*(1-(O468/N468)^2)</f>
        <v>0.0685848741503079</v>
      </c>
      <c r="V468" s="14"/>
      <c r="W468" s="15" t="n">
        <f aca="false">2.6*SIN(RADIANS(T468/2))*(1-(O468/N468)^2)^2</f>
        <v>0.0738335644945416</v>
      </c>
      <c r="X468" s="10" t="s">
        <v>996</v>
      </c>
      <c r="Y468" s="16"/>
      <c r="Z468" s="17" t="s">
        <v>48</v>
      </c>
      <c r="AA468" s="6"/>
      <c r="AB468" s="18" t="n">
        <f aca="false">IF(O468="","",$D$3*PI()*(O468/1000)^2/4*3600)</f>
        <v>22.9741403500662</v>
      </c>
      <c r="AC468" s="19" t="n">
        <f aca="false">IF(OR(U468="",NOT(ISNUMBER(U468))),"",U468*$D$3^2/(2*$H$3))</f>
        <v>0.00786523786127384</v>
      </c>
      <c r="AD468" s="20" t="n">
        <f aca="false">IF(OR(U468="",NOT(ISNUMBER(U468))),"",U468*$D$3^2/2*$F$3)</f>
        <v>77.1579834190964</v>
      </c>
      <c r="AE468" s="19" t="str">
        <f aca="false">IF(OR(V468="",NOT(ISNUMBER(V468))),"",V468*$D$3^2/(2*$H$3))</f>
        <v/>
      </c>
      <c r="AF468" s="20" t="str">
        <f aca="false">IF(OR(V468="",NOT(ISNUMBER(V468))),"",V468*$D$3^2/2*$F$3)</f>
        <v/>
      </c>
      <c r="AG468" s="19" t="n">
        <f aca="false">IF(OR(W468="",NOT(ISNUMBER(W468))),"",W468*$D$3^2/(2*$H$3))</f>
        <v>0.00846715189157587</v>
      </c>
      <c r="AH468" s="20" t="n">
        <f aca="false">IF(OR(W468="",NOT(ISNUMBER(W468))),"",W468*$D$3^2/2*$F$3)</f>
        <v>83.0627600563593</v>
      </c>
    </row>
    <row r="469" customFormat="false" ht="15" hidden="false" customHeight="false" outlineLevel="0" collapsed="false">
      <c r="A469" s="10" t="s">
        <v>1033</v>
      </c>
      <c r="B469" s="22" t="s">
        <v>924</v>
      </c>
      <c r="C469" s="6" t="s">
        <v>925</v>
      </c>
      <c r="D469" s="6" t="s">
        <v>1034</v>
      </c>
      <c r="E469" s="6" t="s">
        <v>995</v>
      </c>
      <c r="F469" s="6" t="s">
        <v>68</v>
      </c>
      <c r="G469" s="6" t="n">
        <v>125</v>
      </c>
      <c r="H469" s="6" t="n">
        <v>63</v>
      </c>
      <c r="I469" s="6"/>
      <c r="J469" s="6" t="n">
        <v>16</v>
      </c>
      <c r="K469" s="6" t="s">
        <v>928</v>
      </c>
      <c r="L469" s="6"/>
      <c r="M469" s="6"/>
      <c r="N469" s="12" t="n">
        <v>102.2</v>
      </c>
      <c r="O469" s="12" t="n">
        <v>51.4</v>
      </c>
      <c r="P469" s="12"/>
      <c r="Q469" s="12"/>
      <c r="R469" s="14" t="n">
        <v>0.016</v>
      </c>
      <c r="S469" s="6" t="n">
        <v>0</v>
      </c>
      <c r="T469" s="6" t="n">
        <v>30</v>
      </c>
      <c r="U469" s="15" t="n">
        <f aca="false">0.8*SIN(RADIANS(T469/2))*(1-(O469/N469)^2)</f>
        <v>0.154681848694633</v>
      </c>
      <c r="V469" s="14"/>
      <c r="W469" s="15" t="n">
        <f aca="false">2.6*SIN(RADIANS(T469/2))*(1-(O469/N469)^2)^2</f>
        <v>0.375556991443882</v>
      </c>
      <c r="X469" s="10" t="s">
        <v>996</v>
      </c>
      <c r="Y469" s="16"/>
      <c r="Z469" s="17" t="s">
        <v>48</v>
      </c>
      <c r="AA469" s="6"/>
      <c r="AB469" s="18" t="n">
        <f aca="false">IF(O469="","",$D$3*PI()*(O469/1000)^2/4*3600)</f>
        <v>11.2049488715554</v>
      </c>
      <c r="AC469" s="19" t="n">
        <f aca="false">IF(OR(U469="",NOT(ISNUMBER(U469))),"",U469*$D$3^2/(2*$H$3))</f>
        <v>0.0177387441163569</v>
      </c>
      <c r="AD469" s="20" t="n">
        <f aca="false">IF(OR(U469="",NOT(ISNUMBER(U469))),"",U469*$D$3^2/2*$F$3)</f>
        <v>174.017079781462</v>
      </c>
      <c r="AE469" s="19" t="str">
        <f aca="false">IF(OR(V469="",NOT(ISNUMBER(V469))),"",V469*$D$3^2/(2*$H$3))</f>
        <v/>
      </c>
      <c r="AF469" s="20" t="str">
        <f aca="false">IF(OR(V469="",NOT(ISNUMBER(V469))),"",V469*$D$3^2/2*$F$3)</f>
        <v/>
      </c>
      <c r="AG469" s="19" t="n">
        <f aca="false">IF(OR(W469="",NOT(ISNUMBER(W469))),"",W469*$D$3^2/(2*$H$3))</f>
        <v>0.0430684623215461</v>
      </c>
      <c r="AH469" s="20" t="n">
        <f aca="false">IF(OR(W469="",NOT(ISNUMBER(W469))),"",W469*$D$3^2/2*$F$3)</f>
        <v>422.501615374367</v>
      </c>
    </row>
    <row r="470" customFormat="false" ht="15" hidden="false" customHeight="false" outlineLevel="0" collapsed="false">
      <c r="A470" s="10" t="s">
        <v>1035</v>
      </c>
      <c r="B470" s="22" t="s">
        <v>924</v>
      </c>
      <c r="C470" s="6" t="s">
        <v>925</v>
      </c>
      <c r="D470" s="6" t="s">
        <v>1036</v>
      </c>
      <c r="E470" s="6" t="s">
        <v>995</v>
      </c>
      <c r="F470" s="6" t="s">
        <v>68</v>
      </c>
      <c r="G470" s="6" t="n">
        <v>125</v>
      </c>
      <c r="H470" s="6" t="n">
        <v>90</v>
      </c>
      <c r="I470" s="6"/>
      <c r="J470" s="6" t="n">
        <v>16</v>
      </c>
      <c r="K470" s="6" t="s">
        <v>928</v>
      </c>
      <c r="L470" s="6"/>
      <c r="M470" s="6"/>
      <c r="N470" s="12" t="n">
        <v>102.2</v>
      </c>
      <c r="O470" s="12" t="n">
        <v>73.6</v>
      </c>
      <c r="P470" s="12"/>
      <c r="Q470" s="12"/>
      <c r="R470" s="14" t="n">
        <v>0.016</v>
      </c>
      <c r="S470" s="6" t="n">
        <v>0</v>
      </c>
      <c r="T470" s="6" t="n">
        <v>30</v>
      </c>
      <c r="U470" s="15" t="n">
        <f aca="false">0.8*SIN(RADIANS(T470/2))*(1-(O470/N470)^2)</f>
        <v>0.0996711180249817</v>
      </c>
      <c r="V470" s="14"/>
      <c r="W470" s="15" t="n">
        <f aca="false">2.6*SIN(RADIANS(T470/2))*(1-(O470/N470)^2)^2</f>
        <v>0.155932198857062</v>
      </c>
      <c r="X470" s="10" t="s">
        <v>996</v>
      </c>
      <c r="Y470" s="16"/>
      <c r="Z470" s="17" t="s">
        <v>48</v>
      </c>
      <c r="AA470" s="6"/>
      <c r="AB470" s="18" t="n">
        <f aca="false">IF(O470="","",$D$3*PI()*(O470/1000)^2/4*3600)</f>
        <v>22.9741403500662</v>
      </c>
      <c r="AC470" s="19" t="n">
        <f aca="false">IF(OR(U470="",NOT(ISNUMBER(U470))),"",U470*$D$3^2/(2*$H$3))</f>
        <v>0.0114301740854337</v>
      </c>
      <c r="AD470" s="20" t="n">
        <f aca="false">IF(OR(U470="",NOT(ISNUMBER(U470))),"",U470*$D$3^2/2*$F$3)</f>
        <v>112.130007778104</v>
      </c>
      <c r="AE470" s="19" t="str">
        <f aca="false">IF(OR(V470="",NOT(ISNUMBER(V470))),"",V470*$D$3^2/(2*$H$3))</f>
        <v/>
      </c>
      <c r="AF470" s="20" t="str">
        <f aca="false">IF(OR(V470="",NOT(ISNUMBER(V470))),"",V470*$D$3^2/2*$F$3)</f>
        <v/>
      </c>
      <c r="AG470" s="19" t="n">
        <f aca="false">IF(OR(W470="",NOT(ISNUMBER(W470))),"",W470*$D$3^2/(2*$H$3))</f>
        <v>0.0178821328964521</v>
      </c>
      <c r="AH470" s="20" t="n">
        <f aca="false">IF(OR(W470="",NOT(ISNUMBER(W470))),"",W470*$D$3^2/2*$F$3)</f>
        <v>175.423723714195</v>
      </c>
    </row>
    <row r="471" customFormat="false" ht="15" hidden="false" customHeight="false" outlineLevel="0" collapsed="false">
      <c r="A471" s="10" t="s">
        <v>1037</v>
      </c>
      <c r="B471" s="22" t="s">
        <v>924</v>
      </c>
      <c r="C471" s="6" t="s">
        <v>925</v>
      </c>
      <c r="D471" s="6" t="s">
        <v>1038</v>
      </c>
      <c r="E471" s="6" t="s">
        <v>995</v>
      </c>
      <c r="F471" s="6" t="s">
        <v>68</v>
      </c>
      <c r="G471" s="6" t="n">
        <v>125</v>
      </c>
      <c r="H471" s="6" t="n">
        <v>110</v>
      </c>
      <c r="I471" s="6"/>
      <c r="J471" s="6" t="n">
        <v>16</v>
      </c>
      <c r="K471" s="6" t="s">
        <v>928</v>
      </c>
      <c r="L471" s="6"/>
      <c r="M471" s="6"/>
      <c r="N471" s="12" t="n">
        <v>102.2</v>
      </c>
      <c r="O471" s="12" t="n">
        <v>90</v>
      </c>
      <c r="P471" s="12"/>
      <c r="Q471" s="12"/>
      <c r="R471" s="14" t="n">
        <v>0.016</v>
      </c>
      <c r="S471" s="6" t="n">
        <v>0</v>
      </c>
      <c r="T471" s="6" t="n">
        <v>30</v>
      </c>
      <c r="U471" s="15" t="n">
        <f aca="false">0.8*SIN(RADIANS(T471/2))*(1-(O471/N471)^2)</f>
        <v>0.0464833735868195</v>
      </c>
      <c r="V471" s="14"/>
      <c r="W471" s="15" t="n">
        <f aca="false">2.6*SIN(RADIANS(T471/2))*(1-(O471/N471)^2)^2</f>
        <v>0.0339150470083107</v>
      </c>
      <c r="X471" s="10" t="s">
        <v>996</v>
      </c>
      <c r="Y471" s="16"/>
      <c r="Z471" s="17" t="s">
        <v>48</v>
      </c>
      <c r="AA471" s="6"/>
      <c r="AB471" s="18" t="n">
        <f aca="false">IF(O471="","",$D$3*PI()*(O471/1000)^2/4*3600)</f>
        <v>34.3533156670044</v>
      </c>
      <c r="AC471" s="19" t="n">
        <f aca="false">IF(OR(U471="",NOT(ISNUMBER(U471))),"",U471*$D$3^2/(2*$H$3))</f>
        <v>0.00533066210858022</v>
      </c>
      <c r="AD471" s="20" t="n">
        <f aca="false">IF(OR(U471="",NOT(ISNUMBER(U471))),"",U471*$D$3^2/2*$F$3)</f>
        <v>52.293795285172</v>
      </c>
      <c r="AE471" s="19" t="str">
        <f aca="false">IF(OR(V471="",NOT(ISNUMBER(V471))),"",V471*$D$3^2/(2*$H$3))</f>
        <v/>
      </c>
      <c r="AF471" s="20" t="str">
        <f aca="false">IF(OR(V471="",NOT(ISNUMBER(V471))),"",V471*$D$3^2/2*$F$3)</f>
        <v/>
      </c>
      <c r="AG471" s="19" t="n">
        <f aca="false">IF(OR(W471="",NOT(ISNUMBER(W471))),"",W471*$D$3^2/(2*$H$3))</f>
        <v>0.00388934025324663</v>
      </c>
      <c r="AH471" s="20" t="n">
        <f aca="false">IF(OR(W471="",NOT(ISNUMBER(W471))),"",W471*$D$3^2/2*$F$3)</f>
        <v>38.1544278843495</v>
      </c>
    </row>
    <row r="472" customFormat="false" ht="15" hidden="false" customHeight="false" outlineLevel="0" collapsed="false">
      <c r="A472" s="10" t="s">
        <v>1039</v>
      </c>
      <c r="B472" s="22" t="s">
        <v>924</v>
      </c>
      <c r="C472" s="6" t="s">
        <v>925</v>
      </c>
      <c r="D472" s="6" t="s">
        <v>1040</v>
      </c>
      <c r="E472" s="6" t="s">
        <v>995</v>
      </c>
      <c r="F472" s="6" t="s">
        <v>68</v>
      </c>
      <c r="G472" s="6" t="n">
        <v>160</v>
      </c>
      <c r="H472" s="6" t="n">
        <v>90</v>
      </c>
      <c r="I472" s="6"/>
      <c r="J472" s="6" t="n">
        <v>16</v>
      </c>
      <c r="K472" s="6" t="s">
        <v>928</v>
      </c>
      <c r="L472" s="6"/>
      <c r="M472" s="6"/>
      <c r="N472" s="12" t="n">
        <v>130.8</v>
      </c>
      <c r="O472" s="12" t="n">
        <v>73.6</v>
      </c>
      <c r="P472" s="12"/>
      <c r="Q472" s="12"/>
      <c r="R472" s="14" t="n">
        <v>0.015</v>
      </c>
      <c r="S472" s="6" t="n">
        <v>0</v>
      </c>
      <c r="T472" s="6" t="n">
        <v>30</v>
      </c>
      <c r="U472" s="15" t="n">
        <f aca="false">0.8*SIN(RADIANS(T472/2))*(1-(O472/N472)^2)</f>
        <v>0.141497136101724</v>
      </c>
      <c r="V472" s="14"/>
      <c r="W472" s="15" t="n">
        <f aca="false">2.6*SIN(RADIANS(T472/2))*(1-(O472/N472)^2)^2</f>
        <v>0.314262414645925</v>
      </c>
      <c r="X472" s="10" t="s">
        <v>996</v>
      </c>
      <c r="Y472" s="16"/>
      <c r="Z472" s="17" t="s">
        <v>48</v>
      </c>
      <c r="AA472" s="6"/>
      <c r="AB472" s="18" t="n">
        <f aca="false">IF(O472="","",$D$3*PI()*(O472/1000)^2/4*3600)</f>
        <v>22.9741403500662</v>
      </c>
      <c r="AC472" s="19" t="n">
        <f aca="false">IF(OR(U472="",NOT(ISNUMBER(U472))),"",U472*$D$3^2/(2*$H$3))</f>
        <v>0.0162267357914821</v>
      </c>
      <c r="AD472" s="20" t="n">
        <f aca="false">IF(OR(U472="",NOT(ISNUMBER(U472))),"",U472*$D$3^2/2*$F$3)</f>
        <v>159.184278114439</v>
      </c>
      <c r="AE472" s="19" t="str">
        <f aca="false">IF(OR(V472="",NOT(ISNUMBER(V472))),"",V472*$D$3^2/(2*$H$3))</f>
        <v/>
      </c>
      <c r="AF472" s="20" t="str">
        <f aca="false">IF(OR(V472="",NOT(ISNUMBER(V472))),"",V472*$D$3^2/2*$F$3)</f>
        <v/>
      </c>
      <c r="AG472" s="19" t="n">
        <f aca="false">IF(OR(W472="",NOT(ISNUMBER(W472))),"",W472*$D$3^2/(2*$H$3))</f>
        <v>0.0360392677346244</v>
      </c>
      <c r="AH472" s="20" t="n">
        <f aca="false">IF(OR(W472="",NOT(ISNUMBER(W472))),"",W472*$D$3^2/2*$F$3)</f>
        <v>353.545216476665</v>
      </c>
    </row>
    <row r="473" customFormat="false" ht="15" hidden="false" customHeight="false" outlineLevel="0" collapsed="false">
      <c r="A473" s="10" t="s">
        <v>1041</v>
      </c>
      <c r="B473" s="22" t="s">
        <v>924</v>
      </c>
      <c r="C473" s="6" t="s">
        <v>925</v>
      </c>
      <c r="D473" s="6" t="s">
        <v>1042</v>
      </c>
      <c r="E473" s="6" t="s">
        <v>995</v>
      </c>
      <c r="F473" s="6" t="s">
        <v>68</v>
      </c>
      <c r="G473" s="6" t="n">
        <v>160</v>
      </c>
      <c r="H473" s="6" t="n">
        <v>110</v>
      </c>
      <c r="I473" s="6"/>
      <c r="J473" s="6" t="n">
        <v>16</v>
      </c>
      <c r="K473" s="6" t="s">
        <v>928</v>
      </c>
      <c r="L473" s="6"/>
      <c r="M473" s="6"/>
      <c r="N473" s="12" t="n">
        <v>130.8</v>
      </c>
      <c r="O473" s="12" t="n">
        <v>90</v>
      </c>
      <c r="P473" s="12"/>
      <c r="Q473" s="12"/>
      <c r="R473" s="14" t="n">
        <v>0.015</v>
      </c>
      <c r="S473" s="6" t="n">
        <v>0</v>
      </c>
      <c r="T473" s="6" t="n">
        <v>30</v>
      </c>
      <c r="U473" s="15" t="n">
        <f aca="false">0.8*SIN(RADIANS(T473/2))*(1-(O473/N473)^2)</f>
        <v>0.1090259706194</v>
      </c>
      <c r="V473" s="14"/>
      <c r="W473" s="15" t="n">
        <f aca="false">2.6*SIN(RADIANS(T473/2))*(1-(O473/N473)^2)^2</f>
        <v>0.186576553710432</v>
      </c>
      <c r="X473" s="10" t="s">
        <v>996</v>
      </c>
      <c r="Y473" s="16"/>
      <c r="Z473" s="17" t="s">
        <v>48</v>
      </c>
      <c r="AA473" s="6"/>
      <c r="AB473" s="18" t="n">
        <f aca="false">IF(O473="","",$D$3*PI()*(O473/1000)^2/4*3600)</f>
        <v>34.3533156670044</v>
      </c>
      <c r="AC473" s="19" t="n">
        <f aca="false">IF(OR(U473="",NOT(ISNUMBER(U473))),"",U473*$D$3^2/(2*$H$3))</f>
        <v>0.0125029782820413</v>
      </c>
      <c r="AD473" s="20" t="n">
        <f aca="false">IF(OR(U473="",NOT(ISNUMBER(U473))),"",U473*$D$3^2/2*$F$3)</f>
        <v>122.654216946825</v>
      </c>
      <c r="AE473" s="19" t="str">
        <f aca="false">IF(OR(V473="",NOT(ISNUMBER(V473))),"",V473*$D$3^2/(2*$H$3))</f>
        <v/>
      </c>
      <c r="AF473" s="20" t="str">
        <f aca="false">IF(OR(V473="",NOT(ISNUMBER(V473))),"",V473*$D$3^2/2*$F$3)</f>
        <v/>
      </c>
      <c r="AG473" s="19" t="n">
        <f aca="false">IF(OR(W473="",NOT(ISNUMBER(W473))),"",W473*$D$3^2/(2*$H$3))</f>
        <v>0.0213963937741322</v>
      </c>
      <c r="AH473" s="20" t="n">
        <f aca="false">IF(OR(W473="",NOT(ISNUMBER(W473))),"",W473*$D$3^2/2*$F$3)</f>
        <v>209.898622924237</v>
      </c>
    </row>
    <row r="474" customFormat="false" ht="15" hidden="false" customHeight="false" outlineLevel="0" collapsed="false">
      <c r="A474" s="10" t="s">
        <v>1043</v>
      </c>
      <c r="B474" s="22" t="s">
        <v>924</v>
      </c>
      <c r="C474" s="6" t="s">
        <v>925</v>
      </c>
      <c r="D474" s="6" t="s">
        <v>1044</v>
      </c>
      <c r="E474" s="6" t="s">
        <v>995</v>
      </c>
      <c r="F474" s="6" t="s">
        <v>68</v>
      </c>
      <c r="G474" s="6" t="n">
        <v>160</v>
      </c>
      <c r="H474" s="6" t="n">
        <v>125</v>
      </c>
      <c r="I474" s="6"/>
      <c r="J474" s="6" t="n">
        <v>16</v>
      </c>
      <c r="K474" s="6" t="s">
        <v>928</v>
      </c>
      <c r="L474" s="6"/>
      <c r="M474" s="6"/>
      <c r="N474" s="12" t="n">
        <v>130.8</v>
      </c>
      <c r="O474" s="12" t="n">
        <v>102.2</v>
      </c>
      <c r="P474" s="12"/>
      <c r="Q474" s="12"/>
      <c r="R474" s="14" t="n">
        <v>0.015</v>
      </c>
      <c r="S474" s="6" t="n">
        <v>0</v>
      </c>
      <c r="T474" s="6" t="n">
        <v>30</v>
      </c>
      <c r="U474" s="15" t="n">
        <f aca="false">0.8*SIN(RADIANS(T474/2))*(1-(O474/N474)^2)</f>
        <v>0.0806478295296027</v>
      </c>
      <c r="V474" s="14"/>
      <c r="W474" s="15" t="n">
        <f aca="false">2.6*SIN(RADIANS(T474/2))*(1-(O474/N474)^2)^2</f>
        <v>0.10208983711522</v>
      </c>
      <c r="X474" s="10" t="s">
        <v>996</v>
      </c>
      <c r="Y474" s="16"/>
      <c r="Z474" s="17" t="s">
        <v>48</v>
      </c>
      <c r="AA474" s="6"/>
      <c r="AB474" s="18" t="n">
        <f aca="false">IF(O474="","",$D$3*PI()*(O474/1000)^2/4*3600)</f>
        <v>44.2981340260931</v>
      </c>
      <c r="AC474" s="19" t="n">
        <f aca="false">IF(OR(U474="",NOT(ISNUMBER(U474))),"",U474*$D$3^2/(2*$H$3))</f>
        <v>0.00924860430385352</v>
      </c>
      <c r="AD474" s="20" t="n">
        <f aca="false">IF(OR(U474="",NOT(ISNUMBER(U474))),"",U474*$D$3^2/2*$F$3)</f>
        <v>90.7288082208031</v>
      </c>
      <c r="AE474" s="19" t="str">
        <f aca="false">IF(OR(V474="",NOT(ISNUMBER(V474))),"",V474*$D$3^2/(2*$H$3))</f>
        <v/>
      </c>
      <c r="AF474" s="20" t="str">
        <f aca="false">IF(OR(V474="",NOT(ISNUMBER(V474))),"",V474*$D$3^2/2*$F$3)</f>
        <v/>
      </c>
      <c r="AG474" s="19" t="n">
        <f aca="false">IF(OR(W474="",NOT(ISNUMBER(W474))),"",W474*$D$3^2/(2*$H$3))</f>
        <v>0.0117075501278922</v>
      </c>
      <c r="AH474" s="20" t="n">
        <f aca="false">IF(OR(W474="",NOT(ISNUMBER(W474))),"",W474*$D$3^2/2*$F$3)</f>
        <v>114.851066754623</v>
      </c>
    </row>
    <row r="475" customFormat="false" ht="15" hidden="false" customHeight="false" outlineLevel="0" collapsed="false">
      <c r="A475" s="10" t="s">
        <v>1045</v>
      </c>
      <c r="B475" s="22" t="s">
        <v>924</v>
      </c>
      <c r="C475" s="6" t="s">
        <v>925</v>
      </c>
      <c r="D475" s="6" t="s">
        <v>1046</v>
      </c>
      <c r="E475" s="6" t="s">
        <v>995</v>
      </c>
      <c r="F475" s="6" t="s">
        <v>68</v>
      </c>
      <c r="G475" s="6" t="n">
        <v>200</v>
      </c>
      <c r="H475" s="6" t="n">
        <v>90</v>
      </c>
      <c r="I475" s="6"/>
      <c r="J475" s="6" t="n">
        <v>16</v>
      </c>
      <c r="K475" s="6" t="s">
        <v>928</v>
      </c>
      <c r="L475" s="6"/>
      <c r="M475" s="6"/>
      <c r="N475" s="12" t="n">
        <v>163.6</v>
      </c>
      <c r="O475" s="12" t="n">
        <v>73.6</v>
      </c>
      <c r="P475" s="12"/>
      <c r="Q475" s="12"/>
      <c r="R475" s="14" t="n">
        <v>0.014</v>
      </c>
      <c r="S475" s="6" t="n">
        <v>0</v>
      </c>
      <c r="T475" s="6" t="n">
        <v>30</v>
      </c>
      <c r="U475" s="15" t="n">
        <f aca="false">0.8*SIN(RADIANS(T475/2))*(1-(O475/N475)^2)</f>
        <v>0.16514932881943</v>
      </c>
      <c r="V475" s="14"/>
      <c r="W475" s="15" t="n">
        <f aca="false">2.6*SIN(RADIANS(T475/2))*(1-(O475/N475)^2)^2</f>
        <v>0.428105462620563</v>
      </c>
      <c r="X475" s="10" t="s">
        <v>996</v>
      </c>
      <c r="Y475" s="16"/>
      <c r="Z475" s="17" t="s">
        <v>48</v>
      </c>
      <c r="AA475" s="6"/>
      <c r="AB475" s="18" t="n">
        <f aca="false">IF(O475="","",$D$3*PI()*(O475/1000)^2/4*3600)</f>
        <v>22.9741403500662</v>
      </c>
      <c r="AC475" s="19" t="n">
        <f aca="false">IF(OR(U475="",NOT(ISNUMBER(U475))),"",U475*$D$3^2/(2*$H$3))</f>
        <v>0.0189391432132374</v>
      </c>
      <c r="AD475" s="20" t="n">
        <f aca="false">IF(OR(U475="",NOT(ISNUMBER(U475))),"",U475*$D$3^2/2*$F$3)</f>
        <v>185.792994921859</v>
      </c>
      <c r="AE475" s="19" t="str">
        <f aca="false">IF(OR(V475="",NOT(ISNUMBER(V475))),"",V475*$D$3^2/(2*$H$3))</f>
        <v/>
      </c>
      <c r="AF475" s="20" t="str">
        <f aca="false">IF(OR(V475="",NOT(ISNUMBER(V475))),"",V475*$D$3^2/2*$F$3)</f>
        <v/>
      </c>
      <c r="AG475" s="19" t="n">
        <f aca="false">IF(OR(W475="",NOT(ISNUMBER(W475))),"",W475*$D$3^2/(2*$H$3))</f>
        <v>0.04909466314456</v>
      </c>
      <c r="AH475" s="20" t="n">
        <f aca="false">IF(OR(W475="",NOT(ISNUMBER(W475))),"",W475*$D$3^2/2*$F$3)</f>
        <v>481.618645448134</v>
      </c>
    </row>
    <row r="476" customFormat="false" ht="15" hidden="false" customHeight="false" outlineLevel="0" collapsed="false">
      <c r="A476" s="10" t="s">
        <v>1047</v>
      </c>
      <c r="B476" s="22" t="s">
        <v>924</v>
      </c>
      <c r="C476" s="6" t="s">
        <v>925</v>
      </c>
      <c r="D476" s="6" t="s">
        <v>1048</v>
      </c>
      <c r="E476" s="6" t="s">
        <v>995</v>
      </c>
      <c r="F476" s="6" t="s">
        <v>68</v>
      </c>
      <c r="G476" s="6" t="n">
        <v>200</v>
      </c>
      <c r="H476" s="6" t="n">
        <v>110</v>
      </c>
      <c r="I476" s="6"/>
      <c r="J476" s="6" t="n">
        <v>16</v>
      </c>
      <c r="K476" s="6" t="s">
        <v>928</v>
      </c>
      <c r="L476" s="6"/>
      <c r="M476" s="6"/>
      <c r="N476" s="12" t="n">
        <v>163.6</v>
      </c>
      <c r="O476" s="12" t="n">
        <v>90</v>
      </c>
      <c r="P476" s="12"/>
      <c r="Q476" s="12"/>
      <c r="R476" s="14" t="n">
        <v>0.014</v>
      </c>
      <c r="S476" s="6" t="n">
        <v>0</v>
      </c>
      <c r="T476" s="6" t="n">
        <v>30</v>
      </c>
      <c r="U476" s="15" t="n">
        <f aca="false">0.8*SIN(RADIANS(T476/2))*(1-(O476/N476)^2)</f>
        <v>0.14439318045913</v>
      </c>
      <c r="V476" s="14"/>
      <c r="W476" s="15" t="n">
        <f aca="false">2.6*SIN(RADIANS(T476/2))*(1-(O476/N476)^2)^2</f>
        <v>0.327258178118441</v>
      </c>
      <c r="X476" s="10" t="s">
        <v>996</v>
      </c>
      <c r="Y476" s="16"/>
      <c r="Z476" s="17" t="s">
        <v>48</v>
      </c>
      <c r="AA476" s="6"/>
      <c r="AB476" s="18" t="n">
        <f aca="false">IF(O476="","",$D$3*PI()*(O476/1000)^2/4*3600)</f>
        <v>34.3533156670044</v>
      </c>
      <c r="AC476" s="19" t="n">
        <f aca="false">IF(OR(U476="",NOT(ISNUMBER(U476))),"",U476*$D$3^2/(2*$H$3))</f>
        <v>0.0165588509700837</v>
      </c>
      <c r="AD476" s="20" t="n">
        <f aca="false">IF(OR(U476="",NOT(ISNUMBER(U476))),"",U476*$D$3^2/2*$F$3)</f>
        <v>162.442328016521</v>
      </c>
      <c r="AE476" s="19" t="str">
        <f aca="false">IF(OR(V476="",NOT(ISNUMBER(V476))),"",V476*$D$3^2/(2*$H$3))</f>
        <v/>
      </c>
      <c r="AF476" s="20" t="str">
        <f aca="false">IF(OR(V476="",NOT(ISNUMBER(V476))),"",V476*$D$3^2/2*$F$3)</f>
        <v/>
      </c>
      <c r="AG476" s="19" t="n">
        <f aca="false">IF(OR(W476="",NOT(ISNUMBER(W476))),"",W476*$D$3^2/(2*$H$3))</f>
        <v>0.03752960758239</v>
      </c>
      <c r="AH476" s="20" t="n">
        <f aca="false">IF(OR(W476="",NOT(ISNUMBER(W476))),"",W476*$D$3^2/2*$F$3)</f>
        <v>368.165450383246</v>
      </c>
    </row>
    <row r="477" customFormat="false" ht="15" hidden="false" customHeight="false" outlineLevel="0" collapsed="false">
      <c r="A477" s="10" t="s">
        <v>1049</v>
      </c>
      <c r="B477" s="22" t="s">
        <v>924</v>
      </c>
      <c r="C477" s="6" t="s">
        <v>925</v>
      </c>
      <c r="D477" s="6" t="s">
        <v>1050</v>
      </c>
      <c r="E477" s="6" t="s">
        <v>995</v>
      </c>
      <c r="F477" s="6" t="s">
        <v>68</v>
      </c>
      <c r="G477" s="6" t="n">
        <v>200</v>
      </c>
      <c r="H477" s="6" t="n">
        <v>160</v>
      </c>
      <c r="I477" s="6"/>
      <c r="J477" s="6" t="n">
        <v>16</v>
      </c>
      <c r="K477" s="6" t="s">
        <v>928</v>
      </c>
      <c r="L477" s="6"/>
      <c r="M477" s="6"/>
      <c r="N477" s="12" t="n">
        <v>163.6</v>
      </c>
      <c r="O477" s="12" t="n">
        <v>130.8</v>
      </c>
      <c r="P477" s="12"/>
      <c r="Q477" s="12"/>
      <c r="R477" s="14" t="n">
        <v>0.014</v>
      </c>
      <c r="S477" s="6" t="n">
        <v>0</v>
      </c>
      <c r="T477" s="6" t="n">
        <v>30</v>
      </c>
      <c r="U477" s="15" t="n">
        <f aca="false">0.8*SIN(RADIANS(T477/2))*(1-(O477/N477)^2)</f>
        <v>0.0747018346854805</v>
      </c>
      <c r="V477" s="14"/>
      <c r="W477" s="15" t="n">
        <f aca="false">2.6*SIN(RADIANS(T477/2))*(1-(O477/N477)^2)^2</f>
        <v>0.0875910394040499</v>
      </c>
      <c r="X477" s="10" t="s">
        <v>996</v>
      </c>
      <c r="Y477" s="16"/>
      <c r="Z477" s="17" t="s">
        <v>48</v>
      </c>
      <c r="AA477" s="6"/>
      <c r="AB477" s="18" t="n">
        <f aca="false">IF(O477="","",$D$3*PI()*(O477/1000)^2/4*3600)</f>
        <v>72.5603099448318</v>
      </c>
      <c r="AC477" s="19" t="n">
        <f aca="false">IF(OR(U477="",NOT(ISNUMBER(U477))),"",U477*$D$3^2/(2*$H$3))</f>
        <v>0.00856672416117896</v>
      </c>
      <c r="AD477" s="20" t="n">
        <f aca="false">IF(OR(U477="",NOT(ISNUMBER(U477))),"",U477*$D$3^2/2*$F$3)</f>
        <v>84.0395640211656</v>
      </c>
      <c r="AE477" s="19" t="str">
        <f aca="false">IF(OR(V477="",NOT(ISNUMBER(V477))),"",V477*$D$3^2/(2*$H$3))</f>
        <v/>
      </c>
      <c r="AF477" s="20" t="str">
        <f aca="false">IF(OR(V477="",NOT(ISNUMBER(V477))),"",V477*$D$3^2/2*$F$3)</f>
        <v/>
      </c>
      <c r="AG477" s="19" t="n">
        <f aca="false">IF(OR(W477="",NOT(ISNUMBER(W477))),"",W477*$D$3^2/(2*$H$3))</f>
        <v>0.0100448439683544</v>
      </c>
      <c r="AH477" s="20" t="n">
        <f aca="false">IF(OR(W477="",NOT(ISNUMBER(W477))),"",W477*$D$3^2/2*$F$3)</f>
        <v>98.5399193295562</v>
      </c>
    </row>
    <row r="478" customFormat="false" ht="15" hidden="false" customHeight="false" outlineLevel="0" collapsed="false">
      <c r="A478" s="10" t="s">
        <v>1051</v>
      </c>
      <c r="B478" s="22" t="s">
        <v>924</v>
      </c>
      <c r="C478" s="6" t="s">
        <v>925</v>
      </c>
      <c r="D478" s="6" t="s">
        <v>1052</v>
      </c>
      <c r="E478" s="6" t="s">
        <v>995</v>
      </c>
      <c r="F478" s="6" t="s">
        <v>68</v>
      </c>
      <c r="G478" s="6" t="n">
        <v>250</v>
      </c>
      <c r="H478" s="6" t="n">
        <v>160</v>
      </c>
      <c r="I478" s="6"/>
      <c r="J478" s="6" t="n">
        <v>16</v>
      </c>
      <c r="K478" s="6" t="s">
        <v>928</v>
      </c>
      <c r="L478" s="6"/>
      <c r="M478" s="6"/>
      <c r="N478" s="12" t="n">
        <v>204.6</v>
      </c>
      <c r="O478" s="12" t="n">
        <v>130.8</v>
      </c>
      <c r="P478" s="12"/>
      <c r="Q478" s="12"/>
      <c r="R478" s="14" t="n">
        <v>0.014</v>
      </c>
      <c r="S478" s="6" t="n">
        <v>0</v>
      </c>
      <c r="T478" s="6" t="n">
        <v>30</v>
      </c>
      <c r="U478" s="15" t="n">
        <f aca="false">0.8*SIN(RADIANS(T478/2))*(1-(O478/N478)^2)</f>
        <v>0.122431840690149</v>
      </c>
      <c r="V478" s="14"/>
      <c r="W478" s="15" t="n">
        <f aca="false">2.6*SIN(RADIANS(T478/2))*(1-(O478/N478)^2)^2</f>
        <v>0.235280482009794</v>
      </c>
      <c r="X478" s="10" t="s">
        <v>996</v>
      </c>
      <c r="Y478" s="16"/>
      <c r="Z478" s="17" t="s">
        <v>48</v>
      </c>
      <c r="AA478" s="6"/>
      <c r="AB478" s="18" t="n">
        <f aca="false">IF(O478="","",$D$3*PI()*(O478/1000)^2/4*3600)</f>
        <v>72.5603099448318</v>
      </c>
      <c r="AC478" s="19" t="n">
        <f aca="false">IF(OR(U478="",NOT(ISNUMBER(U478))),"",U478*$D$3^2/(2*$H$3))</f>
        <v>0.0140403487029987</v>
      </c>
      <c r="AD478" s="20" t="n">
        <f aca="false">IF(OR(U478="",NOT(ISNUMBER(U478))),"",U478*$D$3^2/2*$F$3)</f>
        <v>137.735820776418</v>
      </c>
      <c r="AE478" s="19" t="str">
        <f aca="false">IF(OR(V478="",NOT(ISNUMBER(V478))),"",V478*$D$3^2/(2*$H$3))</f>
        <v/>
      </c>
      <c r="AF478" s="20" t="str">
        <f aca="false">IF(OR(V478="",NOT(ISNUMBER(V478))),"",V478*$D$3^2/2*$F$3)</f>
        <v/>
      </c>
      <c r="AG478" s="19" t="n">
        <f aca="false">IF(OR(W478="",NOT(ISNUMBER(W478))),"",W478*$D$3^2/(2*$H$3))</f>
        <v>0.0269817066524993</v>
      </c>
      <c r="AH478" s="20" t="n">
        <f aca="false">IF(OR(W478="",NOT(ISNUMBER(W478))),"",W478*$D$3^2/2*$F$3)</f>
        <v>264.690542261018</v>
      </c>
    </row>
    <row r="479" customFormat="false" ht="15" hidden="false" customHeight="false" outlineLevel="0" collapsed="false">
      <c r="A479" s="10" t="s">
        <v>1053</v>
      </c>
      <c r="B479" s="22" t="s">
        <v>924</v>
      </c>
      <c r="C479" s="6" t="s">
        <v>925</v>
      </c>
      <c r="D479" s="6" t="s">
        <v>1054</v>
      </c>
      <c r="E479" s="6" t="s">
        <v>995</v>
      </c>
      <c r="F479" s="6" t="s">
        <v>68</v>
      </c>
      <c r="G479" s="6" t="n">
        <v>250</v>
      </c>
      <c r="H479" s="6" t="n">
        <v>200</v>
      </c>
      <c r="I479" s="6"/>
      <c r="J479" s="6" t="n">
        <v>16</v>
      </c>
      <c r="K479" s="6" t="s">
        <v>928</v>
      </c>
      <c r="L479" s="6"/>
      <c r="M479" s="6"/>
      <c r="N479" s="12" t="n">
        <v>204.6</v>
      </c>
      <c r="O479" s="12" t="n">
        <v>163.6</v>
      </c>
      <c r="P479" s="12"/>
      <c r="Q479" s="12"/>
      <c r="R479" s="14" t="n">
        <v>0.014</v>
      </c>
      <c r="S479" s="6" t="n">
        <v>0</v>
      </c>
      <c r="T479" s="6" t="n">
        <v>30</v>
      </c>
      <c r="U479" s="15" t="n">
        <f aca="false">0.8*SIN(RADIANS(T479/2))*(1-(O479/N479)^2)</f>
        <v>0.0746693893561798</v>
      </c>
      <c r="V479" s="14"/>
      <c r="W479" s="15" t="n">
        <f aca="false">2.6*SIN(RADIANS(T479/2))*(1-(O479/N479)^2)^2</f>
        <v>0.0875149689042534</v>
      </c>
      <c r="X479" s="10" t="s">
        <v>996</v>
      </c>
      <c r="Y479" s="16"/>
      <c r="Z479" s="17" t="s">
        <v>48</v>
      </c>
      <c r="AA479" s="6"/>
      <c r="AB479" s="18" t="n">
        <f aca="false">IF(O479="","",$D$3*PI()*(O479/1000)^2/4*3600)</f>
        <v>113.514212307993</v>
      </c>
      <c r="AC479" s="19" t="n">
        <f aca="false">IF(OR(U479="",NOT(ISNUMBER(U479))),"",U479*$D$3^2/(2*$H$3))</f>
        <v>0.00856300336653438</v>
      </c>
      <c r="AD479" s="20" t="n">
        <f aca="false">IF(OR(U479="",NOT(ISNUMBER(U479))),"",U479*$D$3^2/2*$F$3)</f>
        <v>84.0030630257023</v>
      </c>
      <c r="AE479" s="19" t="str">
        <f aca="false">IF(OR(V479="",NOT(ISNUMBER(V479))),"",V479*$D$3^2/(2*$H$3))</f>
        <v/>
      </c>
      <c r="AF479" s="20" t="str">
        <f aca="false">IF(OR(V479="",NOT(ISNUMBER(V479))),"",V479*$D$3^2/2*$F$3)</f>
        <v/>
      </c>
      <c r="AG479" s="19" t="n">
        <f aca="false">IF(OR(W479="",NOT(ISNUMBER(W479))),"",W479*$D$3^2/(2*$H$3))</f>
        <v>0.010036120287185</v>
      </c>
      <c r="AH479" s="20" t="n">
        <f aca="false">IF(OR(W479="",NOT(ISNUMBER(W479))),"",W479*$D$3^2/2*$F$3)</f>
        <v>98.454340017285</v>
      </c>
    </row>
    <row r="480" customFormat="false" ht="15" hidden="false" customHeight="false" outlineLevel="0" collapsed="false">
      <c r="A480" s="10" t="s">
        <v>1055</v>
      </c>
      <c r="B480" s="22" t="s">
        <v>924</v>
      </c>
      <c r="C480" s="6" t="s">
        <v>925</v>
      </c>
      <c r="D480" s="6" t="s">
        <v>1056</v>
      </c>
      <c r="E480" s="6" t="s">
        <v>995</v>
      </c>
      <c r="F480" s="6" t="s">
        <v>68</v>
      </c>
      <c r="G480" s="6" t="n">
        <v>315</v>
      </c>
      <c r="H480" s="6" t="n">
        <v>200</v>
      </c>
      <c r="I480" s="6"/>
      <c r="J480" s="6" t="n">
        <v>16</v>
      </c>
      <c r="K480" s="6" t="s">
        <v>928</v>
      </c>
      <c r="L480" s="6"/>
      <c r="M480" s="6"/>
      <c r="N480" s="12" t="n">
        <v>257.8</v>
      </c>
      <c r="O480" s="12" t="n">
        <v>163.6</v>
      </c>
      <c r="P480" s="12"/>
      <c r="Q480" s="12"/>
      <c r="R480" s="14" t="n">
        <v>0.013</v>
      </c>
      <c r="S480" s="6" t="n">
        <v>0</v>
      </c>
      <c r="T480" s="6" t="n">
        <v>30</v>
      </c>
      <c r="U480" s="15" t="n">
        <f aca="false">0.8*SIN(RADIANS(T480/2))*(1-(O480/N480)^2)</f>
        <v>0.123670417119064</v>
      </c>
      <c r="V480" s="14"/>
      <c r="W480" s="15" t="n">
        <f aca="false">2.6*SIN(RADIANS(T480/2))*(1-(O480/N480)^2)^2</f>
        <v>0.240064970919749</v>
      </c>
      <c r="X480" s="10" t="s">
        <v>996</v>
      </c>
      <c r="Y480" s="16"/>
      <c r="Z480" s="17" t="s">
        <v>48</v>
      </c>
      <c r="AA480" s="6"/>
      <c r="AB480" s="18" t="n">
        <f aca="false">IF(O480="","",$D$3*PI()*(O480/1000)^2/4*3600)</f>
        <v>113.514212307993</v>
      </c>
      <c r="AC480" s="19" t="n">
        <f aca="false">IF(OR(U480="",NOT(ISNUMBER(U480))),"",U480*$D$3^2/(2*$H$3))</f>
        <v>0.0141823872842964</v>
      </c>
      <c r="AD480" s="20" t="n">
        <f aca="false">IF(OR(U480="",NOT(ISNUMBER(U480))),"",U480*$D$3^2/2*$F$3)</f>
        <v>139.129219258947</v>
      </c>
      <c r="AE480" s="19" t="str">
        <f aca="false">IF(OR(V480="",NOT(ISNUMBER(V480))),"",V480*$D$3^2/(2*$H$3))</f>
        <v/>
      </c>
      <c r="AF480" s="20" t="str">
        <f aca="false">IF(OR(V480="",NOT(ISNUMBER(V480))),"",V480*$D$3^2/2*$F$3)</f>
        <v/>
      </c>
      <c r="AG480" s="19" t="n">
        <f aca="false">IF(OR(W480="",NOT(ISNUMBER(W480))),"",W480*$D$3^2/(2*$H$3))</f>
        <v>0.0275303865733657</v>
      </c>
      <c r="AH480" s="20" t="n">
        <f aca="false">IF(OR(W480="",NOT(ISNUMBER(W480))),"",W480*$D$3^2/2*$F$3)</f>
        <v>270.073092284717</v>
      </c>
    </row>
    <row r="481" customFormat="false" ht="15" hidden="false" customHeight="false" outlineLevel="0" collapsed="false">
      <c r="A481" s="10" t="s">
        <v>1057</v>
      </c>
      <c r="B481" s="22" t="s">
        <v>924</v>
      </c>
      <c r="C481" s="6" t="s">
        <v>925</v>
      </c>
      <c r="D481" s="6" t="s">
        <v>1058</v>
      </c>
      <c r="E481" s="6" t="s">
        <v>995</v>
      </c>
      <c r="F481" s="6" t="s">
        <v>68</v>
      </c>
      <c r="G481" s="6" t="n">
        <v>315</v>
      </c>
      <c r="H481" s="6" t="n">
        <v>250</v>
      </c>
      <c r="I481" s="6"/>
      <c r="J481" s="6" t="n">
        <v>16</v>
      </c>
      <c r="K481" s="6" t="s">
        <v>928</v>
      </c>
      <c r="L481" s="6"/>
      <c r="M481" s="6"/>
      <c r="N481" s="12" t="n">
        <v>257.8</v>
      </c>
      <c r="O481" s="12" t="n">
        <v>204.6</v>
      </c>
      <c r="P481" s="12"/>
      <c r="Q481" s="12"/>
      <c r="R481" s="14" t="n">
        <v>0.013</v>
      </c>
      <c r="S481" s="6" t="n">
        <v>0</v>
      </c>
      <c r="T481" s="6" t="n">
        <v>30</v>
      </c>
      <c r="U481" s="15" t="n">
        <f aca="false">0.8*SIN(RADIANS(T481/2))*(1-(O481/N481)^2)</f>
        <v>0.0766390035085633</v>
      </c>
      <c r="V481" s="14"/>
      <c r="W481" s="15" t="n">
        <f aca="false">2.6*SIN(RADIANS(T481/2))*(1-(O481/N481)^2)^2</f>
        <v>0.0921927653328786</v>
      </c>
      <c r="X481" s="10" t="s">
        <v>996</v>
      </c>
      <c r="Y481" s="16"/>
      <c r="Z481" s="17" t="s">
        <v>48</v>
      </c>
      <c r="AA481" s="6"/>
      <c r="AB481" s="18" t="n">
        <f aca="false">IF(O481="","",$D$3*PI()*(O481/1000)^2/4*3600)</f>
        <v>177.539462181108</v>
      </c>
      <c r="AC481" s="19" t="n">
        <f aca="false">IF(OR(U481="",NOT(ISNUMBER(U481))),"",U481*$D$3^2/(2*$H$3))</f>
        <v>0.00878887654914717</v>
      </c>
      <c r="AD481" s="20" t="n">
        <f aca="false">IF(OR(U481="",NOT(ISNUMBER(U481))),"",U481*$D$3^2/2*$F$3)</f>
        <v>86.2188789471337</v>
      </c>
      <c r="AE481" s="19" t="str">
        <f aca="false">IF(OR(V481="",NOT(ISNUMBER(V481))),"",V481*$D$3^2/(2*$H$3))</f>
        <v/>
      </c>
      <c r="AF481" s="20" t="str">
        <f aca="false">IF(OR(V481="",NOT(ISNUMBER(V481))),"",V481*$D$3^2/2*$F$3)</f>
        <v/>
      </c>
      <c r="AG481" s="19" t="n">
        <f aca="false">IF(OR(W481="",NOT(ISNUMBER(W481))),"",W481*$D$3^2/(2*$H$3))</f>
        <v>0.0105725648317521</v>
      </c>
      <c r="AH481" s="20" t="n">
        <f aca="false">IF(OR(W481="",NOT(ISNUMBER(W481))),"",W481*$D$3^2/2*$F$3)</f>
        <v>103.716860999488</v>
      </c>
    </row>
    <row r="482" customFormat="false" ht="15" hidden="false" customHeight="false" outlineLevel="0" collapsed="false">
      <c r="A482" s="10" t="s">
        <v>1059</v>
      </c>
      <c r="B482" s="22" t="s">
        <v>924</v>
      </c>
      <c r="C482" s="6" t="s">
        <v>925</v>
      </c>
      <c r="D482" s="6" t="s">
        <v>1060</v>
      </c>
      <c r="E482" s="6" t="s">
        <v>1061</v>
      </c>
      <c r="F482" s="6" t="s">
        <v>181</v>
      </c>
      <c r="G482" s="6" t="n">
        <v>25</v>
      </c>
      <c r="H482" s="6"/>
      <c r="I482" s="6"/>
      <c r="J482" s="6" t="n">
        <v>16</v>
      </c>
      <c r="K482" s="6" t="s">
        <v>928</v>
      </c>
      <c r="L482" s="6"/>
      <c r="M482" s="6"/>
      <c r="N482" s="12" t="n">
        <v>20.4</v>
      </c>
      <c r="O482" s="12" t="n">
        <v>20.4</v>
      </c>
      <c r="P482" s="12"/>
      <c r="Q482" s="12"/>
      <c r="R482" s="14" t="n">
        <v>0.025</v>
      </c>
      <c r="S482" s="6" t="n">
        <v>30</v>
      </c>
      <c r="T482" s="6"/>
      <c r="U482" s="15" t="n">
        <f aca="false">S482*R482</f>
        <v>0.75</v>
      </c>
      <c r="V482" s="14"/>
      <c r="W482" s="14"/>
      <c r="X482" s="10" t="s">
        <v>1062</v>
      </c>
      <c r="Y482" s="16"/>
      <c r="Z482" s="17" t="s">
        <v>48</v>
      </c>
      <c r="AA482" s="6"/>
      <c r="AB482" s="18" t="n">
        <f aca="false">IF(O482="","",$D$3*PI()*(O482/1000)^2/4*3600)</f>
        <v>1.7649970182692</v>
      </c>
      <c r="AC482" s="19" t="n">
        <f aca="false">IF(OR(U482="",NOT(ISNUMBER(U482))),"",U482*$D$3^2/(2*$H$3))</f>
        <v>0.0860091743119266</v>
      </c>
      <c r="AD482" s="20" t="n">
        <f aca="false">IF(OR(U482="",NOT(ISNUMBER(U482))),"",U482*$D$3^2/2*$F$3)</f>
        <v>843.75</v>
      </c>
      <c r="AE482" s="19" t="str">
        <f aca="false">IF(OR(V482="",NOT(ISNUMBER(V482))),"",V482*$D$3^2/(2*$H$3))</f>
        <v/>
      </c>
      <c r="AF482" s="20" t="str">
        <f aca="false">IF(OR(V482="",NOT(ISNUMBER(V482))),"",V482*$D$3^2/2*$F$3)</f>
        <v/>
      </c>
      <c r="AG482" s="19" t="str">
        <f aca="false">IF(OR(W482="",NOT(ISNUMBER(W482))),"",W482*$D$3^2/(2*$H$3))</f>
        <v/>
      </c>
      <c r="AH482" s="20" t="str">
        <f aca="false">IF(OR(W482="",NOT(ISNUMBER(W482))),"",W482*$D$3^2/2*$F$3)</f>
        <v/>
      </c>
    </row>
    <row r="483" customFormat="false" ht="15" hidden="false" customHeight="false" outlineLevel="0" collapsed="false">
      <c r="A483" s="10" t="s">
        <v>1063</v>
      </c>
      <c r="B483" s="22" t="s">
        <v>924</v>
      </c>
      <c r="C483" s="6" t="s">
        <v>925</v>
      </c>
      <c r="D483" s="6" t="s">
        <v>1064</v>
      </c>
      <c r="E483" s="6" t="s">
        <v>1061</v>
      </c>
      <c r="F483" s="6" t="s">
        <v>181</v>
      </c>
      <c r="G483" s="6" t="n">
        <v>32</v>
      </c>
      <c r="H483" s="6"/>
      <c r="I483" s="6"/>
      <c r="J483" s="6" t="n">
        <v>16</v>
      </c>
      <c r="K483" s="6" t="s">
        <v>928</v>
      </c>
      <c r="L483" s="6"/>
      <c r="M483" s="6"/>
      <c r="N483" s="12" t="n">
        <v>26.2</v>
      </c>
      <c r="O483" s="12" t="n">
        <v>26.2</v>
      </c>
      <c r="P483" s="12"/>
      <c r="Q483" s="12"/>
      <c r="R483" s="14" t="n">
        <v>0.023</v>
      </c>
      <c r="S483" s="6" t="n">
        <v>30</v>
      </c>
      <c r="T483" s="6"/>
      <c r="U483" s="15" t="n">
        <f aca="false">S483*R483</f>
        <v>0.69</v>
      </c>
      <c r="V483" s="14"/>
      <c r="W483" s="14"/>
      <c r="X483" s="10" t="s">
        <v>1062</v>
      </c>
      <c r="Y483" s="16"/>
      <c r="Z483" s="17" t="s">
        <v>48</v>
      </c>
      <c r="AA483" s="6"/>
      <c r="AB483" s="18" t="n">
        <f aca="false">IF(O483="","",$D$3*PI()*(O483/1000)^2/4*3600)</f>
        <v>2.91129506252574</v>
      </c>
      <c r="AC483" s="19" t="n">
        <f aca="false">IF(OR(U483="",NOT(ISNUMBER(U483))),"",U483*$D$3^2/(2*$H$3))</f>
        <v>0.0791284403669725</v>
      </c>
      <c r="AD483" s="20" t="n">
        <f aca="false">IF(OR(U483="",NOT(ISNUMBER(U483))),"",U483*$D$3^2/2*$F$3)</f>
        <v>776.25</v>
      </c>
      <c r="AE483" s="19" t="str">
        <f aca="false">IF(OR(V483="",NOT(ISNUMBER(V483))),"",V483*$D$3^2/(2*$H$3))</f>
        <v/>
      </c>
      <c r="AF483" s="20" t="str">
        <f aca="false">IF(OR(V483="",NOT(ISNUMBER(V483))),"",V483*$D$3^2/2*$F$3)</f>
        <v/>
      </c>
      <c r="AG483" s="19" t="str">
        <f aca="false">IF(OR(W483="",NOT(ISNUMBER(W483))),"",W483*$D$3^2/(2*$H$3))</f>
        <v/>
      </c>
      <c r="AH483" s="20" t="str">
        <f aca="false">IF(OR(W483="",NOT(ISNUMBER(W483))),"",W483*$D$3^2/2*$F$3)</f>
        <v/>
      </c>
    </row>
    <row r="484" customFormat="false" ht="15" hidden="false" customHeight="false" outlineLevel="0" collapsed="false">
      <c r="A484" s="10" t="s">
        <v>1065</v>
      </c>
      <c r="B484" s="22" t="s">
        <v>924</v>
      </c>
      <c r="C484" s="6" t="s">
        <v>925</v>
      </c>
      <c r="D484" s="6" t="s">
        <v>1066</v>
      </c>
      <c r="E484" s="6" t="s">
        <v>1061</v>
      </c>
      <c r="F484" s="6" t="s">
        <v>181</v>
      </c>
      <c r="G484" s="6" t="n">
        <v>40</v>
      </c>
      <c r="H484" s="6"/>
      <c r="I484" s="6"/>
      <c r="J484" s="6" t="n">
        <v>16</v>
      </c>
      <c r="K484" s="6" t="s">
        <v>928</v>
      </c>
      <c r="L484" s="6"/>
      <c r="M484" s="6"/>
      <c r="N484" s="12" t="n">
        <v>32.6</v>
      </c>
      <c r="O484" s="12" t="n">
        <v>32.6</v>
      </c>
      <c r="P484" s="12"/>
      <c r="Q484" s="12"/>
      <c r="R484" s="14" t="n">
        <v>0.022</v>
      </c>
      <c r="S484" s="6" t="n">
        <v>30</v>
      </c>
      <c r="T484" s="6"/>
      <c r="U484" s="15" t="n">
        <f aca="false">S484*R484</f>
        <v>0.66</v>
      </c>
      <c r="V484" s="14"/>
      <c r="W484" s="14"/>
      <c r="X484" s="10" t="s">
        <v>1062</v>
      </c>
      <c r="Y484" s="16"/>
      <c r="Z484" s="17" t="s">
        <v>48</v>
      </c>
      <c r="AA484" s="6"/>
      <c r="AB484" s="18" t="n">
        <f aca="false">IF(O484="","",$D$3*PI()*(O484/1000)^2/4*3600)</f>
        <v>4.50732466151427</v>
      </c>
      <c r="AC484" s="19" t="n">
        <f aca="false">IF(OR(U484="",NOT(ISNUMBER(U484))),"",U484*$D$3^2/(2*$H$3))</f>
        <v>0.0756880733944954</v>
      </c>
      <c r="AD484" s="20" t="n">
        <f aca="false">IF(OR(U484="",NOT(ISNUMBER(U484))),"",U484*$D$3^2/2*$F$3)</f>
        <v>742.5</v>
      </c>
      <c r="AE484" s="19" t="str">
        <f aca="false">IF(OR(V484="",NOT(ISNUMBER(V484))),"",V484*$D$3^2/(2*$H$3))</f>
        <v/>
      </c>
      <c r="AF484" s="20" t="str">
        <f aca="false">IF(OR(V484="",NOT(ISNUMBER(V484))),"",V484*$D$3^2/2*$F$3)</f>
        <v/>
      </c>
      <c r="AG484" s="19" t="str">
        <f aca="false">IF(OR(W484="",NOT(ISNUMBER(W484))),"",W484*$D$3^2/(2*$H$3))</f>
        <v/>
      </c>
      <c r="AH484" s="20" t="str">
        <f aca="false">IF(OR(W484="",NOT(ISNUMBER(W484))),"",W484*$D$3^2/2*$F$3)</f>
        <v/>
      </c>
    </row>
    <row r="485" customFormat="false" ht="15" hidden="false" customHeight="false" outlineLevel="0" collapsed="false">
      <c r="A485" s="10" t="s">
        <v>1067</v>
      </c>
      <c r="B485" s="22" t="s">
        <v>924</v>
      </c>
      <c r="C485" s="6" t="s">
        <v>925</v>
      </c>
      <c r="D485" s="6" t="s">
        <v>1068</v>
      </c>
      <c r="E485" s="6" t="s">
        <v>1061</v>
      </c>
      <c r="F485" s="6" t="s">
        <v>181</v>
      </c>
      <c r="G485" s="6" t="n">
        <v>50</v>
      </c>
      <c r="H485" s="6"/>
      <c r="I485" s="6"/>
      <c r="J485" s="6" t="n">
        <v>16</v>
      </c>
      <c r="K485" s="6" t="s">
        <v>928</v>
      </c>
      <c r="L485" s="6"/>
      <c r="M485" s="6"/>
      <c r="N485" s="12" t="n">
        <v>40.8</v>
      </c>
      <c r="O485" s="12" t="n">
        <v>40.8</v>
      </c>
      <c r="P485" s="12"/>
      <c r="Q485" s="12"/>
      <c r="R485" s="14" t="n">
        <v>0.021</v>
      </c>
      <c r="S485" s="6" t="n">
        <v>30</v>
      </c>
      <c r="T485" s="6"/>
      <c r="U485" s="15" t="n">
        <f aca="false">S485*R485</f>
        <v>0.63</v>
      </c>
      <c r="V485" s="14"/>
      <c r="W485" s="14"/>
      <c r="X485" s="10" t="s">
        <v>1062</v>
      </c>
      <c r="Y485" s="16"/>
      <c r="Z485" s="17" t="s">
        <v>48</v>
      </c>
      <c r="AA485" s="6"/>
      <c r="AB485" s="18" t="n">
        <f aca="false">IF(O485="","",$D$3*PI()*(O485/1000)^2/4*3600)</f>
        <v>7.05998807307681</v>
      </c>
      <c r="AC485" s="19" t="n">
        <f aca="false">IF(OR(U485="",NOT(ISNUMBER(U485))),"",U485*$D$3^2/(2*$H$3))</f>
        <v>0.0722477064220184</v>
      </c>
      <c r="AD485" s="20" t="n">
        <f aca="false">IF(OR(U485="",NOT(ISNUMBER(U485))),"",U485*$D$3^2/2*$F$3)</f>
        <v>708.75</v>
      </c>
      <c r="AE485" s="19" t="str">
        <f aca="false">IF(OR(V485="",NOT(ISNUMBER(V485))),"",V485*$D$3^2/(2*$H$3))</f>
        <v/>
      </c>
      <c r="AF485" s="20" t="str">
        <f aca="false">IF(OR(V485="",NOT(ISNUMBER(V485))),"",V485*$D$3^2/2*$F$3)</f>
        <v/>
      </c>
      <c r="AG485" s="19" t="str">
        <f aca="false">IF(OR(W485="",NOT(ISNUMBER(W485))),"",W485*$D$3^2/(2*$H$3))</f>
        <v/>
      </c>
      <c r="AH485" s="20" t="str">
        <f aca="false">IF(OR(W485="",NOT(ISNUMBER(W485))),"",W485*$D$3^2/2*$F$3)</f>
        <v/>
      </c>
    </row>
    <row r="486" customFormat="false" ht="15" hidden="false" customHeight="false" outlineLevel="0" collapsed="false">
      <c r="A486" s="10" t="s">
        <v>1069</v>
      </c>
      <c r="B486" s="22" t="s">
        <v>924</v>
      </c>
      <c r="C486" s="6" t="s">
        <v>925</v>
      </c>
      <c r="D486" s="6" t="s">
        <v>1070</v>
      </c>
      <c r="E486" s="6" t="s">
        <v>1061</v>
      </c>
      <c r="F486" s="6" t="s">
        <v>181</v>
      </c>
      <c r="G486" s="6" t="n">
        <v>63</v>
      </c>
      <c r="H486" s="6"/>
      <c r="I486" s="6"/>
      <c r="J486" s="6" t="n">
        <v>16</v>
      </c>
      <c r="K486" s="6" t="s">
        <v>928</v>
      </c>
      <c r="L486" s="6"/>
      <c r="M486" s="6"/>
      <c r="N486" s="12" t="n">
        <v>51.4</v>
      </c>
      <c r="O486" s="12" t="n">
        <v>51.4</v>
      </c>
      <c r="P486" s="12"/>
      <c r="Q486" s="12"/>
      <c r="R486" s="14" t="n">
        <v>0.019</v>
      </c>
      <c r="S486" s="6" t="n">
        <v>30</v>
      </c>
      <c r="T486" s="6"/>
      <c r="U486" s="15" t="n">
        <f aca="false">S486*R486</f>
        <v>0.57</v>
      </c>
      <c r="V486" s="14"/>
      <c r="W486" s="14"/>
      <c r="X486" s="10" t="s">
        <v>1062</v>
      </c>
      <c r="Y486" s="16"/>
      <c r="Z486" s="17" t="s">
        <v>48</v>
      </c>
      <c r="AA486" s="6"/>
      <c r="AB486" s="18" t="n">
        <f aca="false">IF(O486="","",$D$3*PI()*(O486/1000)^2/4*3600)</f>
        <v>11.2049488715554</v>
      </c>
      <c r="AC486" s="19" t="n">
        <f aca="false">IF(OR(U486="",NOT(ISNUMBER(U486))),"",U486*$D$3^2/(2*$H$3))</f>
        <v>0.0653669724770642</v>
      </c>
      <c r="AD486" s="20" t="n">
        <f aca="false">IF(OR(U486="",NOT(ISNUMBER(U486))),"",U486*$D$3^2/2*$F$3)</f>
        <v>641.25</v>
      </c>
      <c r="AE486" s="19" t="str">
        <f aca="false">IF(OR(V486="",NOT(ISNUMBER(V486))),"",V486*$D$3^2/(2*$H$3))</f>
        <v/>
      </c>
      <c r="AF486" s="20" t="str">
        <f aca="false">IF(OR(V486="",NOT(ISNUMBER(V486))),"",V486*$D$3^2/2*$F$3)</f>
        <v/>
      </c>
      <c r="AG486" s="19" t="str">
        <f aca="false">IF(OR(W486="",NOT(ISNUMBER(W486))),"",W486*$D$3^2/(2*$H$3))</f>
        <v/>
      </c>
      <c r="AH486" s="20" t="str">
        <f aca="false">IF(OR(W486="",NOT(ISNUMBER(W486))),"",W486*$D$3^2/2*$F$3)</f>
        <v/>
      </c>
    </row>
    <row r="487" customFormat="false" ht="15" hidden="false" customHeight="false" outlineLevel="0" collapsed="false">
      <c r="A487" s="10" t="s">
        <v>1071</v>
      </c>
      <c r="B487" s="22" t="s">
        <v>924</v>
      </c>
      <c r="C487" s="6" t="s">
        <v>925</v>
      </c>
      <c r="D487" s="6" t="s">
        <v>1072</v>
      </c>
      <c r="E487" s="6" t="s">
        <v>1061</v>
      </c>
      <c r="F487" s="6" t="s">
        <v>181</v>
      </c>
      <c r="G487" s="6" t="n">
        <v>75</v>
      </c>
      <c r="H487" s="6"/>
      <c r="I487" s="6"/>
      <c r="J487" s="6" t="n">
        <v>16</v>
      </c>
      <c r="K487" s="6" t="s">
        <v>928</v>
      </c>
      <c r="L487" s="6"/>
      <c r="M487" s="6"/>
      <c r="N487" s="12" t="n">
        <v>61.4</v>
      </c>
      <c r="O487" s="12" t="n">
        <v>61.4</v>
      </c>
      <c r="P487" s="12"/>
      <c r="Q487" s="12"/>
      <c r="R487" s="14" t="n">
        <v>0.018</v>
      </c>
      <c r="S487" s="6" t="n">
        <v>30</v>
      </c>
      <c r="T487" s="6"/>
      <c r="U487" s="15" t="n">
        <f aca="false">S487*R487</f>
        <v>0.54</v>
      </c>
      <c r="V487" s="14"/>
      <c r="W487" s="14"/>
      <c r="X487" s="10" t="s">
        <v>1062</v>
      </c>
      <c r="Y487" s="16"/>
      <c r="Z487" s="17" t="s">
        <v>48</v>
      </c>
      <c r="AA487" s="6"/>
      <c r="AB487" s="18" t="n">
        <f aca="false">IF(O487="","",$D$3*PI()*(O487/1000)^2/4*3600)</f>
        <v>15.988966164442</v>
      </c>
      <c r="AC487" s="19" t="n">
        <f aca="false">IF(OR(U487="",NOT(ISNUMBER(U487))),"",U487*$D$3^2/(2*$H$3))</f>
        <v>0.0619266055045871</v>
      </c>
      <c r="AD487" s="20" t="n">
        <f aca="false">IF(OR(U487="",NOT(ISNUMBER(U487))),"",U487*$D$3^2/2*$F$3)</f>
        <v>607.5</v>
      </c>
      <c r="AE487" s="19" t="str">
        <f aca="false">IF(OR(V487="",NOT(ISNUMBER(V487))),"",V487*$D$3^2/(2*$H$3))</f>
        <v/>
      </c>
      <c r="AF487" s="20" t="str">
        <f aca="false">IF(OR(V487="",NOT(ISNUMBER(V487))),"",V487*$D$3^2/2*$F$3)</f>
        <v/>
      </c>
      <c r="AG487" s="19" t="str">
        <f aca="false">IF(OR(W487="",NOT(ISNUMBER(W487))),"",W487*$D$3^2/(2*$H$3))</f>
        <v/>
      </c>
      <c r="AH487" s="20" t="str">
        <f aca="false">IF(OR(W487="",NOT(ISNUMBER(W487))),"",W487*$D$3^2/2*$F$3)</f>
        <v/>
      </c>
    </row>
    <row r="488" customFormat="false" ht="15" hidden="false" customHeight="false" outlineLevel="0" collapsed="false">
      <c r="A488" s="10" t="s">
        <v>1073</v>
      </c>
      <c r="B488" s="22" t="s">
        <v>924</v>
      </c>
      <c r="C488" s="6" t="s">
        <v>925</v>
      </c>
      <c r="D488" s="6" t="s">
        <v>1074</v>
      </c>
      <c r="E488" s="6" t="s">
        <v>1061</v>
      </c>
      <c r="F488" s="6" t="s">
        <v>181</v>
      </c>
      <c r="G488" s="6" t="n">
        <v>90</v>
      </c>
      <c r="H488" s="6"/>
      <c r="I488" s="6"/>
      <c r="J488" s="6" t="n">
        <v>16</v>
      </c>
      <c r="K488" s="6" t="s">
        <v>928</v>
      </c>
      <c r="L488" s="6"/>
      <c r="M488" s="6"/>
      <c r="N488" s="12" t="n">
        <v>73.6</v>
      </c>
      <c r="O488" s="12" t="n">
        <v>73.6</v>
      </c>
      <c r="P488" s="12"/>
      <c r="Q488" s="12"/>
      <c r="R488" s="14" t="n">
        <v>0.018</v>
      </c>
      <c r="S488" s="6" t="n">
        <v>30</v>
      </c>
      <c r="T488" s="6"/>
      <c r="U488" s="15" t="n">
        <f aca="false">S488*R488</f>
        <v>0.54</v>
      </c>
      <c r="V488" s="14"/>
      <c r="W488" s="14"/>
      <c r="X488" s="10" t="s">
        <v>1062</v>
      </c>
      <c r="Y488" s="16"/>
      <c r="Z488" s="17" t="s">
        <v>48</v>
      </c>
      <c r="AA488" s="6"/>
      <c r="AB488" s="18" t="n">
        <f aca="false">IF(O488="","",$D$3*PI()*(O488/1000)^2/4*3600)</f>
        <v>22.9741403500662</v>
      </c>
      <c r="AC488" s="19" t="n">
        <f aca="false">IF(OR(U488="",NOT(ISNUMBER(U488))),"",U488*$D$3^2/(2*$H$3))</f>
        <v>0.0619266055045871</v>
      </c>
      <c r="AD488" s="20" t="n">
        <f aca="false">IF(OR(U488="",NOT(ISNUMBER(U488))),"",U488*$D$3^2/2*$F$3)</f>
        <v>607.5</v>
      </c>
      <c r="AE488" s="19" t="str">
        <f aca="false">IF(OR(V488="",NOT(ISNUMBER(V488))),"",V488*$D$3^2/(2*$H$3))</f>
        <v/>
      </c>
      <c r="AF488" s="20" t="str">
        <f aca="false">IF(OR(V488="",NOT(ISNUMBER(V488))),"",V488*$D$3^2/2*$F$3)</f>
        <v/>
      </c>
      <c r="AG488" s="19" t="str">
        <f aca="false">IF(OR(W488="",NOT(ISNUMBER(W488))),"",W488*$D$3^2/(2*$H$3))</f>
        <v/>
      </c>
      <c r="AH488" s="20" t="str">
        <f aca="false">IF(OR(W488="",NOT(ISNUMBER(W488))),"",W488*$D$3^2/2*$F$3)</f>
        <v/>
      </c>
    </row>
    <row r="489" customFormat="false" ht="15" hidden="false" customHeight="false" outlineLevel="0" collapsed="false">
      <c r="A489" s="10" t="s">
        <v>1075</v>
      </c>
      <c r="B489" s="22" t="s">
        <v>924</v>
      </c>
      <c r="C489" s="6" t="s">
        <v>925</v>
      </c>
      <c r="D489" s="6" t="s">
        <v>1076</v>
      </c>
      <c r="E489" s="6" t="s">
        <v>1061</v>
      </c>
      <c r="F489" s="6" t="s">
        <v>181</v>
      </c>
      <c r="G489" s="6" t="n">
        <v>110</v>
      </c>
      <c r="H489" s="6"/>
      <c r="I489" s="6"/>
      <c r="J489" s="6" t="n">
        <v>16</v>
      </c>
      <c r="K489" s="6" t="s">
        <v>928</v>
      </c>
      <c r="L489" s="6"/>
      <c r="M489" s="6"/>
      <c r="N489" s="12" t="n">
        <v>90</v>
      </c>
      <c r="O489" s="12" t="n">
        <v>90</v>
      </c>
      <c r="P489" s="12"/>
      <c r="Q489" s="12"/>
      <c r="R489" s="14" t="n">
        <v>0.017</v>
      </c>
      <c r="S489" s="6" t="n">
        <v>30</v>
      </c>
      <c r="T489" s="6"/>
      <c r="U489" s="15" t="n">
        <f aca="false">S489*R489</f>
        <v>0.51</v>
      </c>
      <c r="V489" s="14"/>
      <c r="W489" s="14"/>
      <c r="X489" s="10" t="s">
        <v>1062</v>
      </c>
      <c r="Y489" s="16"/>
      <c r="Z489" s="17" t="s">
        <v>48</v>
      </c>
      <c r="AA489" s="6"/>
      <c r="AB489" s="18" t="n">
        <f aca="false">IF(O489="","",$D$3*PI()*(O489/1000)^2/4*3600)</f>
        <v>34.3533156670044</v>
      </c>
      <c r="AC489" s="19" t="n">
        <f aca="false">IF(OR(U489="",NOT(ISNUMBER(U489))),"",U489*$D$3^2/(2*$H$3))</f>
        <v>0.0584862385321101</v>
      </c>
      <c r="AD489" s="20" t="n">
        <f aca="false">IF(OR(U489="",NOT(ISNUMBER(U489))),"",U489*$D$3^2/2*$F$3)</f>
        <v>573.75</v>
      </c>
      <c r="AE489" s="19" t="str">
        <f aca="false">IF(OR(V489="",NOT(ISNUMBER(V489))),"",V489*$D$3^2/(2*$H$3))</f>
        <v/>
      </c>
      <c r="AF489" s="20" t="str">
        <f aca="false">IF(OR(V489="",NOT(ISNUMBER(V489))),"",V489*$D$3^2/2*$F$3)</f>
        <v/>
      </c>
      <c r="AG489" s="19" t="str">
        <f aca="false">IF(OR(W489="",NOT(ISNUMBER(W489))),"",W489*$D$3^2/(2*$H$3))</f>
        <v/>
      </c>
      <c r="AH489" s="20" t="str">
        <f aca="false">IF(OR(W489="",NOT(ISNUMBER(W489))),"",W489*$D$3^2/2*$F$3)</f>
        <v/>
      </c>
    </row>
    <row r="490" customFormat="false" ht="15" hidden="false" customHeight="false" outlineLevel="0" collapsed="false">
      <c r="A490" s="10" t="s">
        <v>1077</v>
      </c>
      <c r="B490" s="22" t="s">
        <v>924</v>
      </c>
      <c r="C490" s="6" t="s">
        <v>925</v>
      </c>
      <c r="D490" s="6" t="s">
        <v>1078</v>
      </c>
      <c r="E490" s="6" t="s">
        <v>1061</v>
      </c>
      <c r="F490" s="6" t="s">
        <v>181</v>
      </c>
      <c r="G490" s="6" t="n">
        <v>125</v>
      </c>
      <c r="H490" s="6"/>
      <c r="I490" s="6"/>
      <c r="J490" s="6" t="n">
        <v>16</v>
      </c>
      <c r="K490" s="6" t="s">
        <v>928</v>
      </c>
      <c r="L490" s="6"/>
      <c r="M490" s="6"/>
      <c r="N490" s="12" t="n">
        <v>102.2</v>
      </c>
      <c r="O490" s="12" t="n">
        <v>102.2</v>
      </c>
      <c r="P490" s="12"/>
      <c r="Q490" s="12"/>
      <c r="R490" s="14" t="n">
        <v>0.016</v>
      </c>
      <c r="S490" s="6" t="n">
        <v>30</v>
      </c>
      <c r="T490" s="6"/>
      <c r="U490" s="15" t="n">
        <f aca="false">S490*R490</f>
        <v>0.48</v>
      </c>
      <c r="V490" s="14"/>
      <c r="W490" s="14"/>
      <c r="X490" s="10" t="s">
        <v>1062</v>
      </c>
      <c r="Y490" s="16"/>
      <c r="Z490" s="17" t="s">
        <v>48</v>
      </c>
      <c r="AA490" s="6"/>
      <c r="AB490" s="18" t="n">
        <f aca="false">IF(O490="","",$D$3*PI()*(O490/1000)^2/4*3600)</f>
        <v>44.2981340260931</v>
      </c>
      <c r="AC490" s="19" t="n">
        <f aca="false">IF(OR(U490="",NOT(ISNUMBER(U490))),"",U490*$D$3^2/(2*$H$3))</f>
        <v>0.055045871559633</v>
      </c>
      <c r="AD490" s="20" t="n">
        <f aca="false">IF(OR(U490="",NOT(ISNUMBER(U490))),"",U490*$D$3^2/2*$F$3)</f>
        <v>540</v>
      </c>
      <c r="AE490" s="19" t="str">
        <f aca="false">IF(OR(V490="",NOT(ISNUMBER(V490))),"",V490*$D$3^2/(2*$H$3))</f>
        <v/>
      </c>
      <c r="AF490" s="20" t="str">
        <f aca="false">IF(OR(V490="",NOT(ISNUMBER(V490))),"",V490*$D$3^2/2*$F$3)</f>
        <v/>
      </c>
      <c r="AG490" s="19" t="str">
        <f aca="false">IF(OR(W490="",NOT(ISNUMBER(W490))),"",W490*$D$3^2/(2*$H$3))</f>
        <v/>
      </c>
      <c r="AH490" s="20" t="str">
        <f aca="false">IF(OR(W490="",NOT(ISNUMBER(W490))),"",W490*$D$3^2/2*$F$3)</f>
        <v/>
      </c>
    </row>
    <row r="491" customFormat="false" ht="15" hidden="false" customHeight="false" outlineLevel="0" collapsed="false">
      <c r="A491" s="10" t="s">
        <v>1079</v>
      </c>
      <c r="B491" s="22" t="s">
        <v>924</v>
      </c>
      <c r="C491" s="6" t="s">
        <v>925</v>
      </c>
      <c r="D491" s="6" t="s">
        <v>1080</v>
      </c>
      <c r="E491" s="6" t="s">
        <v>1061</v>
      </c>
      <c r="F491" s="6" t="s">
        <v>181</v>
      </c>
      <c r="G491" s="6" t="n">
        <v>160</v>
      </c>
      <c r="H491" s="6"/>
      <c r="I491" s="6"/>
      <c r="J491" s="6" t="n">
        <v>16</v>
      </c>
      <c r="K491" s="6" t="s">
        <v>928</v>
      </c>
      <c r="L491" s="6"/>
      <c r="M491" s="6"/>
      <c r="N491" s="12" t="n">
        <v>130.8</v>
      </c>
      <c r="O491" s="12" t="n">
        <v>130.8</v>
      </c>
      <c r="P491" s="12"/>
      <c r="Q491" s="12"/>
      <c r="R491" s="14" t="n">
        <v>0.015</v>
      </c>
      <c r="S491" s="6" t="n">
        <v>30</v>
      </c>
      <c r="T491" s="6"/>
      <c r="U491" s="15" t="n">
        <f aca="false">S491*R491</f>
        <v>0.45</v>
      </c>
      <c r="V491" s="14"/>
      <c r="W491" s="14"/>
      <c r="X491" s="10" t="s">
        <v>1062</v>
      </c>
      <c r="Y491" s="16"/>
      <c r="Z491" s="17" t="s">
        <v>48</v>
      </c>
      <c r="AA491" s="6"/>
      <c r="AB491" s="18" t="n">
        <f aca="false">IF(O491="","",$D$3*PI()*(O491/1000)^2/4*3600)</f>
        <v>72.5603099448318</v>
      </c>
      <c r="AC491" s="19" t="n">
        <f aca="false">IF(OR(U491="",NOT(ISNUMBER(U491))),"",U491*$D$3^2/(2*$H$3))</f>
        <v>0.051605504587156</v>
      </c>
      <c r="AD491" s="20" t="n">
        <f aca="false">IF(OR(U491="",NOT(ISNUMBER(U491))),"",U491*$D$3^2/2*$F$3)</f>
        <v>506.25</v>
      </c>
      <c r="AE491" s="19" t="str">
        <f aca="false">IF(OR(V491="",NOT(ISNUMBER(V491))),"",V491*$D$3^2/(2*$H$3))</f>
        <v/>
      </c>
      <c r="AF491" s="20" t="str">
        <f aca="false">IF(OR(V491="",NOT(ISNUMBER(V491))),"",V491*$D$3^2/2*$F$3)</f>
        <v/>
      </c>
      <c r="AG491" s="19" t="str">
        <f aca="false">IF(OR(W491="",NOT(ISNUMBER(W491))),"",W491*$D$3^2/(2*$H$3))</f>
        <v/>
      </c>
      <c r="AH491" s="20" t="str">
        <f aca="false">IF(OR(W491="",NOT(ISNUMBER(W491))),"",W491*$D$3^2/2*$F$3)</f>
        <v/>
      </c>
    </row>
    <row r="492" customFormat="false" ht="15" hidden="false" customHeight="false" outlineLevel="0" collapsed="false">
      <c r="A492" s="10" t="s">
        <v>1081</v>
      </c>
      <c r="B492" s="22" t="s">
        <v>924</v>
      </c>
      <c r="C492" s="6" t="s">
        <v>925</v>
      </c>
      <c r="D492" s="6" t="s">
        <v>1082</v>
      </c>
      <c r="E492" s="6" t="s">
        <v>1061</v>
      </c>
      <c r="F492" s="6" t="s">
        <v>181</v>
      </c>
      <c r="G492" s="6" t="n">
        <v>180</v>
      </c>
      <c r="H492" s="6"/>
      <c r="I492" s="6"/>
      <c r="J492" s="6" t="n">
        <v>16</v>
      </c>
      <c r="K492" s="6" t="s">
        <v>928</v>
      </c>
      <c r="L492" s="6"/>
      <c r="M492" s="6"/>
      <c r="N492" s="12" t="n">
        <v>147.2</v>
      </c>
      <c r="O492" s="12" t="n">
        <v>147.2</v>
      </c>
      <c r="P492" s="12"/>
      <c r="Q492" s="12"/>
      <c r="R492" s="14" t="n">
        <v>0.015</v>
      </c>
      <c r="S492" s="6" t="n">
        <v>30</v>
      </c>
      <c r="T492" s="6"/>
      <c r="U492" s="15" t="n">
        <f aca="false">S492*R492</f>
        <v>0.45</v>
      </c>
      <c r="V492" s="14"/>
      <c r="W492" s="14"/>
      <c r="X492" s="10" t="s">
        <v>1062</v>
      </c>
      <c r="Y492" s="16"/>
      <c r="Z492" s="17" t="s">
        <v>48</v>
      </c>
      <c r="AA492" s="6"/>
      <c r="AB492" s="18" t="n">
        <f aca="false">IF(O492="","",$D$3*PI()*(O492/1000)^2/4*3600)</f>
        <v>91.8965614002647</v>
      </c>
      <c r="AC492" s="19" t="n">
        <f aca="false">IF(OR(U492="",NOT(ISNUMBER(U492))),"",U492*$D$3^2/(2*$H$3))</f>
        <v>0.051605504587156</v>
      </c>
      <c r="AD492" s="20" t="n">
        <f aca="false">IF(OR(U492="",NOT(ISNUMBER(U492))),"",U492*$D$3^2/2*$F$3)</f>
        <v>506.25</v>
      </c>
      <c r="AE492" s="19" t="str">
        <f aca="false">IF(OR(V492="",NOT(ISNUMBER(V492))),"",V492*$D$3^2/(2*$H$3))</f>
        <v/>
      </c>
      <c r="AF492" s="20" t="str">
        <f aca="false">IF(OR(V492="",NOT(ISNUMBER(V492))),"",V492*$D$3^2/2*$F$3)</f>
        <v/>
      </c>
      <c r="AG492" s="19" t="str">
        <f aca="false">IF(OR(W492="",NOT(ISNUMBER(W492))),"",W492*$D$3^2/(2*$H$3))</f>
        <v/>
      </c>
      <c r="AH492" s="20" t="str">
        <f aca="false">IF(OR(W492="",NOT(ISNUMBER(W492))),"",W492*$D$3^2/2*$F$3)</f>
        <v/>
      </c>
    </row>
    <row r="493" customFormat="false" ht="15" hidden="false" customHeight="false" outlineLevel="0" collapsed="false">
      <c r="A493" s="10" t="s">
        <v>1083</v>
      </c>
      <c r="B493" s="22" t="s">
        <v>924</v>
      </c>
      <c r="C493" s="6" t="s">
        <v>925</v>
      </c>
      <c r="D493" s="6" t="s">
        <v>1084</v>
      </c>
      <c r="E493" s="6" t="s">
        <v>1061</v>
      </c>
      <c r="F493" s="6" t="s">
        <v>181</v>
      </c>
      <c r="G493" s="6" t="n">
        <v>200</v>
      </c>
      <c r="H493" s="6"/>
      <c r="I493" s="6"/>
      <c r="J493" s="6" t="n">
        <v>16</v>
      </c>
      <c r="K493" s="6" t="s">
        <v>928</v>
      </c>
      <c r="L493" s="6"/>
      <c r="M493" s="6"/>
      <c r="N493" s="12" t="n">
        <v>163.6</v>
      </c>
      <c r="O493" s="12" t="n">
        <v>163.6</v>
      </c>
      <c r="P493" s="12"/>
      <c r="Q493" s="12"/>
      <c r="R493" s="14" t="n">
        <v>0.014</v>
      </c>
      <c r="S493" s="6" t="n">
        <v>30</v>
      </c>
      <c r="T493" s="6"/>
      <c r="U493" s="15" t="n">
        <f aca="false">S493*R493</f>
        <v>0.42</v>
      </c>
      <c r="V493" s="14"/>
      <c r="W493" s="14"/>
      <c r="X493" s="10" t="s">
        <v>1062</v>
      </c>
      <c r="Y493" s="16"/>
      <c r="Z493" s="17" t="s">
        <v>48</v>
      </c>
      <c r="AA493" s="6"/>
      <c r="AB493" s="18" t="n">
        <f aca="false">IF(O493="","",$D$3*PI()*(O493/1000)^2/4*3600)</f>
        <v>113.514212307993</v>
      </c>
      <c r="AC493" s="19" t="n">
        <f aca="false">IF(OR(U493="",NOT(ISNUMBER(U493))),"",U493*$D$3^2/(2*$H$3))</f>
        <v>0.0481651376146789</v>
      </c>
      <c r="AD493" s="20" t="n">
        <f aca="false">IF(OR(U493="",NOT(ISNUMBER(U493))),"",U493*$D$3^2/2*$F$3)</f>
        <v>472.5</v>
      </c>
      <c r="AE493" s="19" t="str">
        <f aca="false">IF(OR(V493="",NOT(ISNUMBER(V493))),"",V493*$D$3^2/(2*$H$3))</f>
        <v/>
      </c>
      <c r="AF493" s="20" t="str">
        <f aca="false">IF(OR(V493="",NOT(ISNUMBER(V493))),"",V493*$D$3^2/2*$F$3)</f>
        <v/>
      </c>
      <c r="AG493" s="19" t="str">
        <f aca="false">IF(OR(W493="",NOT(ISNUMBER(W493))),"",W493*$D$3^2/(2*$H$3))</f>
        <v/>
      </c>
      <c r="AH493" s="20" t="str">
        <f aca="false">IF(OR(W493="",NOT(ISNUMBER(W493))),"",W493*$D$3^2/2*$F$3)</f>
        <v/>
      </c>
    </row>
    <row r="494" customFormat="false" ht="15" hidden="false" customHeight="false" outlineLevel="0" collapsed="false">
      <c r="A494" s="10" t="s">
        <v>1085</v>
      </c>
      <c r="B494" s="22" t="s">
        <v>924</v>
      </c>
      <c r="C494" s="6" t="s">
        <v>925</v>
      </c>
      <c r="D494" s="6" t="s">
        <v>1086</v>
      </c>
      <c r="E494" s="6" t="s">
        <v>1061</v>
      </c>
      <c r="F494" s="6" t="s">
        <v>181</v>
      </c>
      <c r="G494" s="6" t="n">
        <v>250</v>
      </c>
      <c r="H494" s="6"/>
      <c r="I494" s="6"/>
      <c r="J494" s="6" t="n">
        <v>16</v>
      </c>
      <c r="K494" s="6" t="s">
        <v>928</v>
      </c>
      <c r="L494" s="6"/>
      <c r="M494" s="6"/>
      <c r="N494" s="12" t="n">
        <v>204.6</v>
      </c>
      <c r="O494" s="12" t="n">
        <v>204.6</v>
      </c>
      <c r="P494" s="12"/>
      <c r="Q494" s="12"/>
      <c r="R494" s="14" t="n">
        <v>0.014</v>
      </c>
      <c r="S494" s="6" t="n">
        <v>30</v>
      </c>
      <c r="T494" s="6"/>
      <c r="U494" s="15" t="n">
        <f aca="false">S494*R494</f>
        <v>0.42</v>
      </c>
      <c r="V494" s="14"/>
      <c r="W494" s="14"/>
      <c r="X494" s="10" t="s">
        <v>1062</v>
      </c>
      <c r="Y494" s="16"/>
      <c r="Z494" s="17" t="s">
        <v>48</v>
      </c>
      <c r="AA494" s="6"/>
      <c r="AB494" s="18" t="n">
        <f aca="false">IF(O494="","",$D$3*PI()*(O494/1000)^2/4*3600)</f>
        <v>177.539462181108</v>
      </c>
      <c r="AC494" s="19" t="n">
        <f aca="false">IF(OR(U494="",NOT(ISNUMBER(U494))),"",U494*$D$3^2/(2*$H$3))</f>
        <v>0.0481651376146789</v>
      </c>
      <c r="AD494" s="20" t="n">
        <f aca="false">IF(OR(U494="",NOT(ISNUMBER(U494))),"",U494*$D$3^2/2*$F$3)</f>
        <v>472.5</v>
      </c>
      <c r="AE494" s="19" t="str">
        <f aca="false">IF(OR(V494="",NOT(ISNUMBER(V494))),"",V494*$D$3^2/(2*$H$3))</f>
        <v/>
      </c>
      <c r="AF494" s="20" t="str">
        <f aca="false">IF(OR(V494="",NOT(ISNUMBER(V494))),"",V494*$D$3^2/2*$F$3)</f>
        <v/>
      </c>
      <c r="AG494" s="19" t="str">
        <f aca="false">IF(OR(W494="",NOT(ISNUMBER(W494))),"",W494*$D$3^2/(2*$H$3))</f>
        <v/>
      </c>
      <c r="AH494" s="20" t="str">
        <f aca="false">IF(OR(W494="",NOT(ISNUMBER(W494))),"",W494*$D$3^2/2*$F$3)</f>
        <v/>
      </c>
    </row>
    <row r="495" customFormat="false" ht="15" hidden="false" customHeight="false" outlineLevel="0" collapsed="false">
      <c r="A495" s="10" t="s">
        <v>1087</v>
      </c>
      <c r="B495" s="22" t="s">
        <v>924</v>
      </c>
      <c r="C495" s="6" t="s">
        <v>925</v>
      </c>
      <c r="D495" s="6" t="s">
        <v>1088</v>
      </c>
      <c r="E495" s="6" t="s">
        <v>1089</v>
      </c>
      <c r="F495" s="6" t="s">
        <v>1090</v>
      </c>
      <c r="G495" s="6" t="n">
        <v>32</v>
      </c>
      <c r="H495" s="6"/>
      <c r="I495" s="6"/>
      <c r="J495" s="6" t="n">
        <v>16</v>
      </c>
      <c r="K495" s="6" t="s">
        <v>928</v>
      </c>
      <c r="L495" s="6"/>
      <c r="M495" s="6"/>
      <c r="N495" s="12" t="n">
        <v>26.2</v>
      </c>
      <c r="O495" s="12" t="n">
        <v>26.2</v>
      </c>
      <c r="P495" s="12"/>
      <c r="Q495" s="12"/>
      <c r="R495" s="14" t="n">
        <v>0.023</v>
      </c>
      <c r="S495" s="6" t="n">
        <v>16</v>
      </c>
      <c r="T495" s="6"/>
      <c r="U495" s="15" t="n">
        <f aca="false">S495*R495</f>
        <v>0.368</v>
      </c>
      <c r="V495" s="14"/>
      <c r="W495" s="14"/>
      <c r="X495" s="10" t="s">
        <v>1062</v>
      </c>
      <c r="Y495" s="16"/>
      <c r="Z495" s="17" t="s">
        <v>48</v>
      </c>
      <c r="AA495" s="6"/>
      <c r="AB495" s="18" t="n">
        <f aca="false">IF(O495="","",$D$3*PI()*(O495/1000)^2/4*3600)</f>
        <v>2.91129506252574</v>
      </c>
      <c r="AC495" s="19" t="n">
        <f aca="false">IF(OR(U495="",NOT(ISNUMBER(U495))),"",U495*$D$3^2/(2*$H$3))</f>
        <v>0.0422018348623853</v>
      </c>
      <c r="AD495" s="20" t="n">
        <f aca="false">IF(OR(U495="",NOT(ISNUMBER(U495))),"",U495*$D$3^2/2*$F$3)</f>
        <v>414</v>
      </c>
      <c r="AE495" s="19" t="str">
        <f aca="false">IF(OR(V495="",NOT(ISNUMBER(V495))),"",V495*$D$3^2/(2*$H$3))</f>
        <v/>
      </c>
      <c r="AF495" s="20" t="str">
        <f aca="false">IF(OR(V495="",NOT(ISNUMBER(V495))),"",V495*$D$3^2/2*$F$3)</f>
        <v/>
      </c>
      <c r="AG495" s="19" t="str">
        <f aca="false">IF(OR(W495="",NOT(ISNUMBER(W495))),"",W495*$D$3^2/(2*$H$3))</f>
        <v/>
      </c>
      <c r="AH495" s="20" t="str">
        <f aca="false">IF(OR(W495="",NOT(ISNUMBER(W495))),"",W495*$D$3^2/2*$F$3)</f>
        <v/>
      </c>
    </row>
    <row r="496" customFormat="false" ht="15" hidden="false" customHeight="false" outlineLevel="0" collapsed="false">
      <c r="A496" s="10" t="s">
        <v>1091</v>
      </c>
      <c r="B496" s="22" t="s">
        <v>924</v>
      </c>
      <c r="C496" s="6" t="s">
        <v>925</v>
      </c>
      <c r="D496" s="6" t="s">
        <v>1092</v>
      </c>
      <c r="E496" s="6" t="s">
        <v>1089</v>
      </c>
      <c r="F496" s="6" t="s">
        <v>1090</v>
      </c>
      <c r="G496" s="6" t="n">
        <v>40</v>
      </c>
      <c r="H496" s="6"/>
      <c r="I496" s="6"/>
      <c r="J496" s="6" t="n">
        <v>16</v>
      </c>
      <c r="K496" s="6" t="s">
        <v>928</v>
      </c>
      <c r="L496" s="6"/>
      <c r="M496" s="6"/>
      <c r="N496" s="12" t="n">
        <v>32.6</v>
      </c>
      <c r="O496" s="12" t="n">
        <v>32.6</v>
      </c>
      <c r="P496" s="12"/>
      <c r="Q496" s="12"/>
      <c r="R496" s="14" t="n">
        <v>0.022</v>
      </c>
      <c r="S496" s="6" t="n">
        <v>16</v>
      </c>
      <c r="T496" s="6"/>
      <c r="U496" s="15" t="n">
        <f aca="false">S496*R496</f>
        <v>0.352</v>
      </c>
      <c r="V496" s="14"/>
      <c r="W496" s="14"/>
      <c r="X496" s="10" t="s">
        <v>1062</v>
      </c>
      <c r="Y496" s="16"/>
      <c r="Z496" s="17" t="s">
        <v>48</v>
      </c>
      <c r="AA496" s="6"/>
      <c r="AB496" s="18" t="n">
        <f aca="false">IF(O496="","",$D$3*PI()*(O496/1000)^2/4*3600)</f>
        <v>4.50732466151427</v>
      </c>
      <c r="AC496" s="19" t="n">
        <f aca="false">IF(OR(U496="",NOT(ISNUMBER(U496))),"",U496*$D$3^2/(2*$H$3))</f>
        <v>0.0403669724770642</v>
      </c>
      <c r="AD496" s="20" t="n">
        <f aca="false">IF(OR(U496="",NOT(ISNUMBER(U496))),"",U496*$D$3^2/2*$F$3)</f>
        <v>396</v>
      </c>
      <c r="AE496" s="19" t="str">
        <f aca="false">IF(OR(V496="",NOT(ISNUMBER(V496))),"",V496*$D$3^2/(2*$H$3))</f>
        <v/>
      </c>
      <c r="AF496" s="20" t="str">
        <f aca="false">IF(OR(V496="",NOT(ISNUMBER(V496))),"",V496*$D$3^2/2*$F$3)</f>
        <v/>
      </c>
      <c r="AG496" s="19" t="str">
        <f aca="false">IF(OR(W496="",NOT(ISNUMBER(W496))),"",W496*$D$3^2/(2*$H$3))</f>
        <v/>
      </c>
      <c r="AH496" s="20" t="str">
        <f aca="false">IF(OR(W496="",NOT(ISNUMBER(W496))),"",W496*$D$3^2/2*$F$3)</f>
        <v/>
      </c>
    </row>
    <row r="497" customFormat="false" ht="15" hidden="false" customHeight="false" outlineLevel="0" collapsed="false">
      <c r="A497" s="10" t="s">
        <v>1093</v>
      </c>
      <c r="B497" s="22" t="s">
        <v>924</v>
      </c>
      <c r="C497" s="6" t="s">
        <v>925</v>
      </c>
      <c r="D497" s="6" t="s">
        <v>1094</v>
      </c>
      <c r="E497" s="6" t="s">
        <v>1089</v>
      </c>
      <c r="F497" s="6" t="s">
        <v>1090</v>
      </c>
      <c r="G497" s="6" t="n">
        <v>50</v>
      </c>
      <c r="H497" s="6"/>
      <c r="I497" s="6"/>
      <c r="J497" s="6" t="n">
        <v>16</v>
      </c>
      <c r="K497" s="6" t="s">
        <v>928</v>
      </c>
      <c r="L497" s="6"/>
      <c r="M497" s="6"/>
      <c r="N497" s="12" t="n">
        <v>40.8</v>
      </c>
      <c r="O497" s="12" t="n">
        <v>40.8</v>
      </c>
      <c r="P497" s="12"/>
      <c r="Q497" s="12"/>
      <c r="R497" s="14" t="n">
        <v>0.021</v>
      </c>
      <c r="S497" s="6" t="n">
        <v>16</v>
      </c>
      <c r="T497" s="6"/>
      <c r="U497" s="15" t="n">
        <f aca="false">S497*R497</f>
        <v>0.336</v>
      </c>
      <c r="V497" s="14"/>
      <c r="W497" s="14"/>
      <c r="X497" s="10" t="s">
        <v>1062</v>
      </c>
      <c r="Y497" s="16"/>
      <c r="Z497" s="17" t="s">
        <v>48</v>
      </c>
      <c r="AA497" s="6"/>
      <c r="AB497" s="18" t="n">
        <f aca="false">IF(O497="","",$D$3*PI()*(O497/1000)^2/4*3600)</f>
        <v>7.05998807307681</v>
      </c>
      <c r="AC497" s="19" t="n">
        <f aca="false">IF(OR(U497="",NOT(ISNUMBER(U497))),"",U497*$D$3^2/(2*$H$3))</f>
        <v>0.0385321100917431</v>
      </c>
      <c r="AD497" s="20" t="n">
        <f aca="false">IF(OR(U497="",NOT(ISNUMBER(U497))),"",U497*$D$3^2/2*$F$3)</f>
        <v>378</v>
      </c>
      <c r="AE497" s="19" t="str">
        <f aca="false">IF(OR(V497="",NOT(ISNUMBER(V497))),"",V497*$D$3^2/(2*$H$3))</f>
        <v/>
      </c>
      <c r="AF497" s="20" t="str">
        <f aca="false">IF(OR(V497="",NOT(ISNUMBER(V497))),"",V497*$D$3^2/2*$F$3)</f>
        <v/>
      </c>
      <c r="AG497" s="19" t="str">
        <f aca="false">IF(OR(W497="",NOT(ISNUMBER(W497))),"",W497*$D$3^2/(2*$H$3))</f>
        <v/>
      </c>
      <c r="AH497" s="20" t="str">
        <f aca="false">IF(OR(W497="",NOT(ISNUMBER(W497))),"",W497*$D$3^2/2*$F$3)</f>
        <v/>
      </c>
    </row>
    <row r="498" customFormat="false" ht="15" hidden="false" customHeight="false" outlineLevel="0" collapsed="false">
      <c r="A498" s="10" t="s">
        <v>1095</v>
      </c>
      <c r="B498" s="22" t="s">
        <v>924</v>
      </c>
      <c r="C498" s="6" t="s">
        <v>925</v>
      </c>
      <c r="D498" s="6" t="s">
        <v>1096</v>
      </c>
      <c r="E498" s="6" t="s">
        <v>1089</v>
      </c>
      <c r="F498" s="6" t="s">
        <v>1090</v>
      </c>
      <c r="G498" s="6" t="n">
        <v>63</v>
      </c>
      <c r="H498" s="6"/>
      <c r="I498" s="6"/>
      <c r="J498" s="6" t="n">
        <v>16</v>
      </c>
      <c r="K498" s="6" t="s">
        <v>928</v>
      </c>
      <c r="L498" s="6"/>
      <c r="M498" s="6"/>
      <c r="N498" s="12" t="n">
        <v>51.4</v>
      </c>
      <c r="O498" s="12" t="n">
        <v>51.4</v>
      </c>
      <c r="P498" s="12"/>
      <c r="Q498" s="12"/>
      <c r="R498" s="14" t="n">
        <v>0.019</v>
      </c>
      <c r="S498" s="6" t="n">
        <v>16</v>
      </c>
      <c r="T498" s="6"/>
      <c r="U498" s="15" t="n">
        <f aca="false">S498*R498</f>
        <v>0.304</v>
      </c>
      <c r="V498" s="14"/>
      <c r="W498" s="14"/>
      <c r="X498" s="10" t="s">
        <v>1062</v>
      </c>
      <c r="Y498" s="16"/>
      <c r="Z498" s="17" t="s">
        <v>48</v>
      </c>
      <c r="AA498" s="6"/>
      <c r="AB498" s="18" t="n">
        <f aca="false">IF(O498="","",$D$3*PI()*(O498/1000)^2/4*3600)</f>
        <v>11.2049488715554</v>
      </c>
      <c r="AC498" s="19" t="n">
        <f aca="false">IF(OR(U498="",NOT(ISNUMBER(U498))),"",U498*$D$3^2/(2*$H$3))</f>
        <v>0.0348623853211009</v>
      </c>
      <c r="AD498" s="20" t="n">
        <f aca="false">IF(OR(U498="",NOT(ISNUMBER(U498))),"",U498*$D$3^2/2*$F$3)</f>
        <v>342</v>
      </c>
      <c r="AE498" s="19" t="str">
        <f aca="false">IF(OR(V498="",NOT(ISNUMBER(V498))),"",V498*$D$3^2/(2*$H$3))</f>
        <v/>
      </c>
      <c r="AF498" s="20" t="str">
        <f aca="false">IF(OR(V498="",NOT(ISNUMBER(V498))),"",V498*$D$3^2/2*$F$3)</f>
        <v/>
      </c>
      <c r="AG498" s="19" t="str">
        <f aca="false">IF(OR(W498="",NOT(ISNUMBER(W498))),"",W498*$D$3^2/(2*$H$3))</f>
        <v/>
      </c>
      <c r="AH498" s="20" t="str">
        <f aca="false">IF(OR(W498="",NOT(ISNUMBER(W498))),"",W498*$D$3^2/2*$F$3)</f>
        <v/>
      </c>
    </row>
    <row r="499" customFormat="false" ht="15" hidden="false" customHeight="false" outlineLevel="0" collapsed="false">
      <c r="A499" s="10" t="s">
        <v>1097</v>
      </c>
      <c r="B499" s="22" t="s">
        <v>924</v>
      </c>
      <c r="C499" s="6" t="s">
        <v>925</v>
      </c>
      <c r="D499" s="6" t="s">
        <v>1098</v>
      </c>
      <c r="E499" s="6" t="s">
        <v>1089</v>
      </c>
      <c r="F499" s="6" t="s">
        <v>1090</v>
      </c>
      <c r="G499" s="6" t="n">
        <v>75</v>
      </c>
      <c r="H499" s="6"/>
      <c r="I499" s="6"/>
      <c r="J499" s="6" t="n">
        <v>16</v>
      </c>
      <c r="K499" s="6" t="s">
        <v>928</v>
      </c>
      <c r="L499" s="6"/>
      <c r="M499" s="6"/>
      <c r="N499" s="12" t="n">
        <v>61.4</v>
      </c>
      <c r="O499" s="12" t="n">
        <v>61.4</v>
      </c>
      <c r="P499" s="12"/>
      <c r="Q499" s="12"/>
      <c r="R499" s="14" t="n">
        <v>0.018</v>
      </c>
      <c r="S499" s="6" t="n">
        <v>16</v>
      </c>
      <c r="T499" s="6"/>
      <c r="U499" s="15" t="n">
        <f aca="false">S499*R499</f>
        <v>0.288</v>
      </c>
      <c r="V499" s="14"/>
      <c r="W499" s="14"/>
      <c r="X499" s="10" t="s">
        <v>1062</v>
      </c>
      <c r="Y499" s="16"/>
      <c r="Z499" s="17" t="s">
        <v>48</v>
      </c>
      <c r="AA499" s="6"/>
      <c r="AB499" s="18" t="n">
        <f aca="false">IF(O499="","",$D$3*PI()*(O499/1000)^2/4*3600)</f>
        <v>15.988966164442</v>
      </c>
      <c r="AC499" s="19" t="n">
        <f aca="false">IF(OR(U499="",NOT(ISNUMBER(U499))),"",U499*$D$3^2/(2*$H$3))</f>
        <v>0.0330275229357798</v>
      </c>
      <c r="AD499" s="20" t="n">
        <f aca="false">IF(OR(U499="",NOT(ISNUMBER(U499))),"",U499*$D$3^2/2*$F$3)</f>
        <v>324</v>
      </c>
      <c r="AE499" s="19" t="str">
        <f aca="false">IF(OR(V499="",NOT(ISNUMBER(V499))),"",V499*$D$3^2/(2*$H$3))</f>
        <v/>
      </c>
      <c r="AF499" s="20" t="str">
        <f aca="false">IF(OR(V499="",NOT(ISNUMBER(V499))),"",V499*$D$3^2/2*$F$3)</f>
        <v/>
      </c>
      <c r="AG499" s="19" t="str">
        <f aca="false">IF(OR(W499="",NOT(ISNUMBER(W499))),"",W499*$D$3^2/(2*$H$3))</f>
        <v/>
      </c>
      <c r="AH499" s="20" t="str">
        <f aca="false">IF(OR(W499="",NOT(ISNUMBER(W499))),"",W499*$D$3^2/2*$F$3)</f>
        <v/>
      </c>
    </row>
    <row r="500" customFormat="false" ht="15" hidden="false" customHeight="false" outlineLevel="0" collapsed="false">
      <c r="A500" s="10" t="s">
        <v>1099</v>
      </c>
      <c r="B500" s="22" t="s">
        <v>924</v>
      </c>
      <c r="C500" s="6" t="s">
        <v>925</v>
      </c>
      <c r="D500" s="6" t="s">
        <v>1100</v>
      </c>
      <c r="E500" s="6" t="s">
        <v>1089</v>
      </c>
      <c r="F500" s="6" t="s">
        <v>1090</v>
      </c>
      <c r="G500" s="6" t="n">
        <v>90</v>
      </c>
      <c r="H500" s="6"/>
      <c r="I500" s="6"/>
      <c r="J500" s="6" t="n">
        <v>16</v>
      </c>
      <c r="K500" s="6" t="s">
        <v>928</v>
      </c>
      <c r="L500" s="6"/>
      <c r="M500" s="6"/>
      <c r="N500" s="12" t="n">
        <v>73.6</v>
      </c>
      <c r="O500" s="12" t="n">
        <v>73.6</v>
      </c>
      <c r="P500" s="12"/>
      <c r="Q500" s="12"/>
      <c r="R500" s="14" t="n">
        <v>0.018</v>
      </c>
      <c r="S500" s="6" t="n">
        <v>16</v>
      </c>
      <c r="T500" s="6"/>
      <c r="U500" s="15" t="n">
        <f aca="false">S500*R500</f>
        <v>0.288</v>
      </c>
      <c r="V500" s="14"/>
      <c r="W500" s="14"/>
      <c r="X500" s="10" t="s">
        <v>1062</v>
      </c>
      <c r="Y500" s="16"/>
      <c r="Z500" s="17" t="s">
        <v>48</v>
      </c>
      <c r="AA500" s="6"/>
      <c r="AB500" s="18" t="n">
        <f aca="false">IF(O500="","",$D$3*PI()*(O500/1000)^2/4*3600)</f>
        <v>22.9741403500662</v>
      </c>
      <c r="AC500" s="19" t="n">
        <f aca="false">IF(OR(U500="",NOT(ISNUMBER(U500))),"",U500*$D$3^2/(2*$H$3))</f>
        <v>0.0330275229357798</v>
      </c>
      <c r="AD500" s="20" t="n">
        <f aca="false">IF(OR(U500="",NOT(ISNUMBER(U500))),"",U500*$D$3^2/2*$F$3)</f>
        <v>324</v>
      </c>
      <c r="AE500" s="19" t="str">
        <f aca="false">IF(OR(V500="",NOT(ISNUMBER(V500))),"",V500*$D$3^2/(2*$H$3))</f>
        <v/>
      </c>
      <c r="AF500" s="20" t="str">
        <f aca="false">IF(OR(V500="",NOT(ISNUMBER(V500))),"",V500*$D$3^2/2*$F$3)</f>
        <v/>
      </c>
      <c r="AG500" s="19" t="str">
        <f aca="false">IF(OR(W500="",NOT(ISNUMBER(W500))),"",W500*$D$3^2/(2*$H$3))</f>
        <v/>
      </c>
      <c r="AH500" s="20" t="str">
        <f aca="false">IF(OR(W500="",NOT(ISNUMBER(W500))),"",W500*$D$3^2/2*$F$3)</f>
        <v/>
      </c>
    </row>
    <row r="501" customFormat="false" ht="15" hidden="false" customHeight="false" outlineLevel="0" collapsed="false">
      <c r="A501" s="10" t="s">
        <v>1101</v>
      </c>
      <c r="B501" s="22" t="s">
        <v>924</v>
      </c>
      <c r="C501" s="6" t="s">
        <v>925</v>
      </c>
      <c r="D501" s="6" t="s">
        <v>1102</v>
      </c>
      <c r="E501" s="6" t="s">
        <v>1089</v>
      </c>
      <c r="F501" s="6" t="s">
        <v>1090</v>
      </c>
      <c r="G501" s="6" t="n">
        <v>110</v>
      </c>
      <c r="H501" s="6"/>
      <c r="I501" s="6"/>
      <c r="J501" s="6" t="n">
        <v>16</v>
      </c>
      <c r="K501" s="6" t="s">
        <v>928</v>
      </c>
      <c r="L501" s="6"/>
      <c r="M501" s="6"/>
      <c r="N501" s="12" t="n">
        <v>90</v>
      </c>
      <c r="O501" s="12" t="n">
        <v>90</v>
      </c>
      <c r="P501" s="12"/>
      <c r="Q501" s="12"/>
      <c r="R501" s="14" t="n">
        <v>0.017</v>
      </c>
      <c r="S501" s="6" t="n">
        <v>16</v>
      </c>
      <c r="T501" s="6"/>
      <c r="U501" s="15" t="n">
        <f aca="false">S501*R501</f>
        <v>0.272</v>
      </c>
      <c r="V501" s="14"/>
      <c r="W501" s="14"/>
      <c r="X501" s="10" t="s">
        <v>1062</v>
      </c>
      <c r="Y501" s="16"/>
      <c r="Z501" s="17" t="s">
        <v>48</v>
      </c>
      <c r="AA501" s="6"/>
      <c r="AB501" s="18" t="n">
        <f aca="false">IF(O501="","",$D$3*PI()*(O501/1000)^2/4*3600)</f>
        <v>34.3533156670044</v>
      </c>
      <c r="AC501" s="19" t="n">
        <f aca="false">IF(OR(U501="",NOT(ISNUMBER(U501))),"",U501*$D$3^2/(2*$H$3))</f>
        <v>0.0311926605504587</v>
      </c>
      <c r="AD501" s="20" t="n">
        <f aca="false">IF(OR(U501="",NOT(ISNUMBER(U501))),"",U501*$D$3^2/2*$F$3)</f>
        <v>306</v>
      </c>
      <c r="AE501" s="19" t="str">
        <f aca="false">IF(OR(V501="",NOT(ISNUMBER(V501))),"",V501*$D$3^2/(2*$H$3))</f>
        <v/>
      </c>
      <c r="AF501" s="20" t="str">
        <f aca="false">IF(OR(V501="",NOT(ISNUMBER(V501))),"",V501*$D$3^2/2*$F$3)</f>
        <v/>
      </c>
      <c r="AG501" s="19" t="str">
        <f aca="false">IF(OR(W501="",NOT(ISNUMBER(W501))),"",W501*$D$3^2/(2*$H$3))</f>
        <v/>
      </c>
      <c r="AH501" s="20" t="str">
        <f aca="false">IF(OR(W501="",NOT(ISNUMBER(W501))),"",W501*$D$3^2/2*$F$3)</f>
        <v/>
      </c>
    </row>
    <row r="502" customFormat="false" ht="15" hidden="false" customHeight="false" outlineLevel="0" collapsed="false">
      <c r="A502" s="10" t="s">
        <v>1103</v>
      </c>
      <c r="B502" s="22" t="s">
        <v>924</v>
      </c>
      <c r="C502" s="6" t="s">
        <v>925</v>
      </c>
      <c r="D502" s="6" t="s">
        <v>1104</v>
      </c>
      <c r="E502" s="6" t="s">
        <v>1089</v>
      </c>
      <c r="F502" s="6" t="s">
        <v>1090</v>
      </c>
      <c r="G502" s="6" t="n">
        <v>125</v>
      </c>
      <c r="H502" s="6"/>
      <c r="I502" s="6"/>
      <c r="J502" s="6" t="n">
        <v>16</v>
      </c>
      <c r="K502" s="6" t="s">
        <v>928</v>
      </c>
      <c r="L502" s="6"/>
      <c r="M502" s="6"/>
      <c r="N502" s="12" t="n">
        <v>102.2</v>
      </c>
      <c r="O502" s="12" t="n">
        <v>102.2</v>
      </c>
      <c r="P502" s="12"/>
      <c r="Q502" s="12"/>
      <c r="R502" s="14" t="n">
        <v>0.016</v>
      </c>
      <c r="S502" s="6" t="n">
        <v>16</v>
      </c>
      <c r="T502" s="6"/>
      <c r="U502" s="15" t="n">
        <f aca="false">S502*R502</f>
        <v>0.256</v>
      </c>
      <c r="V502" s="14"/>
      <c r="W502" s="14"/>
      <c r="X502" s="10" t="s">
        <v>1062</v>
      </c>
      <c r="Y502" s="16"/>
      <c r="Z502" s="17" t="s">
        <v>48</v>
      </c>
      <c r="AA502" s="6"/>
      <c r="AB502" s="18" t="n">
        <f aca="false">IF(O502="","",$D$3*PI()*(O502/1000)^2/4*3600)</f>
        <v>44.2981340260931</v>
      </c>
      <c r="AC502" s="19" t="n">
        <f aca="false">IF(OR(U502="",NOT(ISNUMBER(U502))),"",U502*$D$3^2/(2*$H$3))</f>
        <v>0.0293577981651376</v>
      </c>
      <c r="AD502" s="20" t="n">
        <f aca="false">IF(OR(U502="",NOT(ISNUMBER(U502))),"",U502*$D$3^2/2*$F$3)</f>
        <v>288</v>
      </c>
      <c r="AE502" s="19" t="str">
        <f aca="false">IF(OR(V502="",NOT(ISNUMBER(V502))),"",V502*$D$3^2/(2*$H$3))</f>
        <v/>
      </c>
      <c r="AF502" s="20" t="str">
        <f aca="false">IF(OR(V502="",NOT(ISNUMBER(V502))),"",V502*$D$3^2/2*$F$3)</f>
        <v/>
      </c>
      <c r="AG502" s="19" t="str">
        <f aca="false">IF(OR(W502="",NOT(ISNUMBER(W502))),"",W502*$D$3^2/(2*$H$3))</f>
        <v/>
      </c>
      <c r="AH502" s="20" t="str">
        <f aca="false">IF(OR(W502="",NOT(ISNUMBER(W502))),"",W502*$D$3^2/2*$F$3)</f>
        <v/>
      </c>
    </row>
    <row r="503" customFormat="false" ht="15" hidden="false" customHeight="false" outlineLevel="0" collapsed="false">
      <c r="A503" s="10" t="s">
        <v>1105</v>
      </c>
      <c r="B503" s="22" t="s">
        <v>924</v>
      </c>
      <c r="C503" s="6" t="s">
        <v>925</v>
      </c>
      <c r="D503" s="6" t="s">
        <v>1106</v>
      </c>
      <c r="E503" s="6" t="s">
        <v>1089</v>
      </c>
      <c r="F503" s="6" t="s">
        <v>1090</v>
      </c>
      <c r="G503" s="6" t="n">
        <v>160</v>
      </c>
      <c r="H503" s="6"/>
      <c r="I503" s="6"/>
      <c r="J503" s="6" t="n">
        <v>16</v>
      </c>
      <c r="K503" s="6" t="s">
        <v>928</v>
      </c>
      <c r="L503" s="6"/>
      <c r="M503" s="6"/>
      <c r="N503" s="12" t="n">
        <v>130.8</v>
      </c>
      <c r="O503" s="12" t="n">
        <v>130.8</v>
      </c>
      <c r="P503" s="12"/>
      <c r="Q503" s="12"/>
      <c r="R503" s="14" t="n">
        <v>0.015</v>
      </c>
      <c r="S503" s="6" t="n">
        <v>16</v>
      </c>
      <c r="T503" s="6"/>
      <c r="U503" s="15" t="n">
        <f aca="false">S503*R503</f>
        <v>0.24</v>
      </c>
      <c r="V503" s="14"/>
      <c r="W503" s="14"/>
      <c r="X503" s="10" t="s">
        <v>1062</v>
      </c>
      <c r="Y503" s="16"/>
      <c r="Z503" s="17" t="s">
        <v>48</v>
      </c>
      <c r="AA503" s="6"/>
      <c r="AB503" s="18" t="n">
        <f aca="false">IF(O503="","",$D$3*PI()*(O503/1000)^2/4*3600)</f>
        <v>72.5603099448318</v>
      </c>
      <c r="AC503" s="19" t="n">
        <f aca="false">IF(OR(U503="",NOT(ISNUMBER(U503))),"",U503*$D$3^2/(2*$H$3))</f>
        <v>0.0275229357798165</v>
      </c>
      <c r="AD503" s="20" t="n">
        <f aca="false">IF(OR(U503="",NOT(ISNUMBER(U503))),"",U503*$D$3^2/2*$F$3)</f>
        <v>270</v>
      </c>
      <c r="AE503" s="19" t="str">
        <f aca="false">IF(OR(V503="",NOT(ISNUMBER(V503))),"",V503*$D$3^2/(2*$H$3))</f>
        <v/>
      </c>
      <c r="AF503" s="20" t="str">
        <f aca="false">IF(OR(V503="",NOT(ISNUMBER(V503))),"",V503*$D$3^2/2*$F$3)</f>
        <v/>
      </c>
      <c r="AG503" s="19" t="str">
        <f aca="false">IF(OR(W503="",NOT(ISNUMBER(W503))),"",W503*$D$3^2/(2*$H$3))</f>
        <v/>
      </c>
      <c r="AH503" s="20" t="str">
        <f aca="false">IF(OR(W503="",NOT(ISNUMBER(W503))),"",W503*$D$3^2/2*$F$3)</f>
        <v/>
      </c>
    </row>
    <row r="504" customFormat="false" ht="15" hidden="false" customHeight="false" outlineLevel="0" collapsed="false">
      <c r="A504" s="10" t="s">
        <v>1107</v>
      </c>
      <c r="B504" s="22" t="s">
        <v>924</v>
      </c>
      <c r="C504" s="6" t="s">
        <v>925</v>
      </c>
      <c r="D504" s="6" t="s">
        <v>1108</v>
      </c>
      <c r="E504" s="6" t="s">
        <v>1089</v>
      </c>
      <c r="F504" s="6" t="s">
        <v>1090</v>
      </c>
      <c r="G504" s="6" t="n">
        <v>180</v>
      </c>
      <c r="H504" s="6"/>
      <c r="I504" s="6"/>
      <c r="J504" s="6" t="n">
        <v>16</v>
      </c>
      <c r="K504" s="6" t="s">
        <v>928</v>
      </c>
      <c r="L504" s="6"/>
      <c r="M504" s="6"/>
      <c r="N504" s="12" t="n">
        <v>147.2</v>
      </c>
      <c r="O504" s="12" t="n">
        <v>147.2</v>
      </c>
      <c r="P504" s="12"/>
      <c r="Q504" s="12"/>
      <c r="R504" s="14" t="n">
        <v>0.015</v>
      </c>
      <c r="S504" s="6" t="n">
        <v>16</v>
      </c>
      <c r="T504" s="6"/>
      <c r="U504" s="15" t="n">
        <f aca="false">S504*R504</f>
        <v>0.24</v>
      </c>
      <c r="V504" s="14"/>
      <c r="W504" s="14"/>
      <c r="X504" s="10" t="s">
        <v>1062</v>
      </c>
      <c r="Y504" s="16"/>
      <c r="Z504" s="17" t="s">
        <v>48</v>
      </c>
      <c r="AA504" s="6"/>
      <c r="AB504" s="18" t="n">
        <f aca="false">IF(O504="","",$D$3*PI()*(O504/1000)^2/4*3600)</f>
        <v>91.8965614002647</v>
      </c>
      <c r="AC504" s="19" t="n">
        <f aca="false">IF(OR(U504="",NOT(ISNUMBER(U504))),"",U504*$D$3^2/(2*$H$3))</f>
        <v>0.0275229357798165</v>
      </c>
      <c r="AD504" s="20" t="n">
        <f aca="false">IF(OR(U504="",NOT(ISNUMBER(U504))),"",U504*$D$3^2/2*$F$3)</f>
        <v>270</v>
      </c>
      <c r="AE504" s="19" t="str">
        <f aca="false">IF(OR(V504="",NOT(ISNUMBER(V504))),"",V504*$D$3^2/(2*$H$3))</f>
        <v/>
      </c>
      <c r="AF504" s="20" t="str">
        <f aca="false">IF(OR(V504="",NOT(ISNUMBER(V504))),"",V504*$D$3^2/2*$F$3)</f>
        <v/>
      </c>
      <c r="AG504" s="19" t="str">
        <f aca="false">IF(OR(W504="",NOT(ISNUMBER(W504))),"",W504*$D$3^2/(2*$H$3))</f>
        <v/>
      </c>
      <c r="AH504" s="20" t="str">
        <f aca="false">IF(OR(W504="",NOT(ISNUMBER(W504))),"",W504*$D$3^2/2*$F$3)</f>
        <v/>
      </c>
    </row>
    <row r="505" customFormat="false" ht="15" hidden="false" customHeight="false" outlineLevel="0" collapsed="false">
      <c r="A505" s="10" t="s">
        <v>1109</v>
      </c>
      <c r="B505" s="22" t="s">
        <v>924</v>
      </c>
      <c r="C505" s="6" t="s">
        <v>925</v>
      </c>
      <c r="D505" s="6" t="s">
        <v>1110</v>
      </c>
      <c r="E505" s="6" t="s">
        <v>1089</v>
      </c>
      <c r="F505" s="6" t="s">
        <v>1090</v>
      </c>
      <c r="G505" s="6" t="n">
        <v>200</v>
      </c>
      <c r="H505" s="6"/>
      <c r="I505" s="6"/>
      <c r="J505" s="6" t="n">
        <v>16</v>
      </c>
      <c r="K505" s="6" t="s">
        <v>928</v>
      </c>
      <c r="L505" s="6"/>
      <c r="M505" s="6"/>
      <c r="N505" s="12" t="n">
        <v>163.6</v>
      </c>
      <c r="O505" s="12" t="n">
        <v>163.6</v>
      </c>
      <c r="P505" s="12"/>
      <c r="Q505" s="12"/>
      <c r="R505" s="14" t="n">
        <v>0.014</v>
      </c>
      <c r="S505" s="6" t="n">
        <v>16</v>
      </c>
      <c r="T505" s="6"/>
      <c r="U505" s="15" t="n">
        <f aca="false">S505*R505</f>
        <v>0.224</v>
      </c>
      <c r="V505" s="14"/>
      <c r="W505" s="14"/>
      <c r="X505" s="10" t="s">
        <v>1062</v>
      </c>
      <c r="Y505" s="16"/>
      <c r="Z505" s="17" t="s">
        <v>48</v>
      </c>
      <c r="AA505" s="6"/>
      <c r="AB505" s="18" t="n">
        <f aca="false">IF(O505="","",$D$3*PI()*(O505/1000)^2/4*3600)</f>
        <v>113.514212307993</v>
      </c>
      <c r="AC505" s="19" t="n">
        <f aca="false">IF(OR(U505="",NOT(ISNUMBER(U505))),"",U505*$D$3^2/(2*$H$3))</f>
        <v>0.0256880733944954</v>
      </c>
      <c r="AD505" s="20" t="n">
        <f aca="false">IF(OR(U505="",NOT(ISNUMBER(U505))),"",U505*$D$3^2/2*$F$3)</f>
        <v>252</v>
      </c>
      <c r="AE505" s="19" t="str">
        <f aca="false">IF(OR(V505="",NOT(ISNUMBER(V505))),"",V505*$D$3^2/(2*$H$3))</f>
        <v/>
      </c>
      <c r="AF505" s="20" t="str">
        <f aca="false">IF(OR(V505="",NOT(ISNUMBER(V505))),"",V505*$D$3^2/2*$F$3)</f>
        <v/>
      </c>
      <c r="AG505" s="19" t="str">
        <f aca="false">IF(OR(W505="",NOT(ISNUMBER(W505))),"",W505*$D$3^2/(2*$H$3))</f>
        <v/>
      </c>
      <c r="AH505" s="20" t="str">
        <f aca="false">IF(OR(W505="",NOT(ISNUMBER(W505))),"",W505*$D$3^2/2*$F$3)</f>
        <v/>
      </c>
    </row>
    <row r="506" customFormat="false" ht="15" hidden="false" customHeight="false" outlineLevel="0" collapsed="false">
      <c r="A506" s="10" t="s">
        <v>1111</v>
      </c>
      <c r="B506" s="22" t="s">
        <v>924</v>
      </c>
      <c r="C506" s="6" t="s">
        <v>925</v>
      </c>
      <c r="D506" s="6" t="s">
        <v>1112</v>
      </c>
      <c r="E506" s="6" t="s">
        <v>1089</v>
      </c>
      <c r="F506" s="6" t="s">
        <v>1090</v>
      </c>
      <c r="G506" s="6" t="n">
        <v>250</v>
      </c>
      <c r="H506" s="6"/>
      <c r="I506" s="6"/>
      <c r="J506" s="6" t="n">
        <v>16</v>
      </c>
      <c r="K506" s="6" t="s">
        <v>928</v>
      </c>
      <c r="L506" s="6"/>
      <c r="M506" s="6"/>
      <c r="N506" s="12" t="n">
        <v>204.6</v>
      </c>
      <c r="O506" s="12" t="n">
        <v>204.6</v>
      </c>
      <c r="P506" s="12"/>
      <c r="Q506" s="12"/>
      <c r="R506" s="14" t="n">
        <v>0.014</v>
      </c>
      <c r="S506" s="6" t="n">
        <v>16</v>
      </c>
      <c r="T506" s="6"/>
      <c r="U506" s="15" t="n">
        <f aca="false">S506*R506</f>
        <v>0.224</v>
      </c>
      <c r="V506" s="14"/>
      <c r="W506" s="14"/>
      <c r="X506" s="10" t="s">
        <v>1062</v>
      </c>
      <c r="Y506" s="16"/>
      <c r="Z506" s="17" t="s">
        <v>48</v>
      </c>
      <c r="AA506" s="6"/>
      <c r="AB506" s="18" t="n">
        <f aca="false">IF(O506="","",$D$3*PI()*(O506/1000)^2/4*3600)</f>
        <v>177.539462181108</v>
      </c>
      <c r="AC506" s="19" t="n">
        <f aca="false">IF(OR(U506="",NOT(ISNUMBER(U506))),"",U506*$D$3^2/(2*$H$3))</f>
        <v>0.0256880733944954</v>
      </c>
      <c r="AD506" s="20" t="n">
        <f aca="false">IF(OR(U506="",NOT(ISNUMBER(U506))),"",U506*$D$3^2/2*$F$3)</f>
        <v>252</v>
      </c>
      <c r="AE506" s="19" t="str">
        <f aca="false">IF(OR(V506="",NOT(ISNUMBER(V506))),"",V506*$D$3^2/(2*$H$3))</f>
        <v/>
      </c>
      <c r="AF506" s="20" t="str">
        <f aca="false">IF(OR(V506="",NOT(ISNUMBER(V506))),"",V506*$D$3^2/2*$F$3)</f>
        <v/>
      </c>
      <c r="AG506" s="19" t="str">
        <f aca="false">IF(OR(W506="",NOT(ISNUMBER(W506))),"",W506*$D$3^2/(2*$H$3))</f>
        <v/>
      </c>
      <c r="AH506" s="20" t="str">
        <f aca="false">IF(OR(W506="",NOT(ISNUMBER(W506))),"",W506*$D$3^2/2*$F$3)</f>
        <v/>
      </c>
    </row>
    <row r="507" customFormat="false" ht="15" hidden="false" customHeight="false" outlineLevel="0" collapsed="false">
      <c r="A507" s="10" t="s">
        <v>1113</v>
      </c>
      <c r="B507" s="22" t="s">
        <v>924</v>
      </c>
      <c r="C507" s="6" t="s">
        <v>925</v>
      </c>
      <c r="D507" s="6" t="s">
        <v>1114</v>
      </c>
      <c r="E507" s="6" t="s">
        <v>1115</v>
      </c>
      <c r="F507" s="6" t="s">
        <v>247</v>
      </c>
      <c r="G507" s="6" t="n">
        <v>32</v>
      </c>
      <c r="H507" s="6" t="n">
        <v>25</v>
      </c>
      <c r="I507" s="6"/>
      <c r="J507" s="6" t="n">
        <v>16</v>
      </c>
      <c r="K507" s="6" t="s">
        <v>928</v>
      </c>
      <c r="L507" s="6"/>
      <c r="M507" s="6"/>
      <c r="N507" s="12" t="n">
        <v>26.2</v>
      </c>
      <c r="O507" s="12" t="n">
        <v>20.4</v>
      </c>
      <c r="P507" s="12"/>
      <c r="Q507" s="12"/>
      <c r="R507" s="14" t="n">
        <v>0.023</v>
      </c>
      <c r="S507" s="6" t="n">
        <v>20</v>
      </c>
      <c r="T507" s="6"/>
      <c r="U507" s="15" t="n">
        <f aca="false">20*R507</f>
        <v>0.46</v>
      </c>
      <c r="V507" s="15" t="n">
        <f aca="false">60*R507+0.5*(1-(O507/N507)^2)</f>
        <v>1.57687081172426</v>
      </c>
      <c r="W507" s="14"/>
      <c r="X507" s="10" t="s">
        <v>1116</v>
      </c>
      <c r="Y507" s="16"/>
      <c r="Z507" s="17" t="s">
        <v>48</v>
      </c>
      <c r="AA507" s="6"/>
      <c r="AB507" s="18" t="n">
        <f aca="false">IF(O507="","",$D$3*PI()*(O507/1000)^2/4*3600)</f>
        <v>1.7649970182692</v>
      </c>
      <c r="AC507" s="19" t="n">
        <f aca="false">IF(OR(U507="",NOT(ISNUMBER(U507))),"",U507*$D$3^2/(2*$H$3))</f>
        <v>0.0527522935779817</v>
      </c>
      <c r="AD507" s="20" t="n">
        <f aca="false">IF(OR(U507="",NOT(ISNUMBER(U507))),"",U507*$D$3^2/2*$F$3)</f>
        <v>517.5</v>
      </c>
      <c r="AE507" s="19" t="n">
        <f aca="false">IF(OR(V507="",NOT(ISNUMBER(V507))),"",V507*$D$3^2/(2*$H$3))</f>
        <v>0.180833808683975</v>
      </c>
      <c r="AF507" s="20" t="n">
        <f aca="false">IF(OR(V507="",NOT(ISNUMBER(V507))),"",V507*$D$3^2/2*$F$3)</f>
        <v>1773.97966318979</v>
      </c>
      <c r="AG507" s="19" t="str">
        <f aca="false">IF(OR(W507="",NOT(ISNUMBER(W507))),"",W507*$D$3^2/(2*$H$3))</f>
        <v/>
      </c>
      <c r="AH507" s="20" t="str">
        <f aca="false">IF(OR(W507="",NOT(ISNUMBER(W507))),"",W507*$D$3^2/2*$F$3)</f>
        <v/>
      </c>
    </row>
    <row r="508" customFormat="false" ht="15" hidden="false" customHeight="false" outlineLevel="0" collapsed="false">
      <c r="A508" s="10" t="s">
        <v>1117</v>
      </c>
      <c r="B508" s="22" t="s">
        <v>924</v>
      </c>
      <c r="C508" s="6" t="s">
        <v>925</v>
      </c>
      <c r="D508" s="6" t="s">
        <v>1118</v>
      </c>
      <c r="E508" s="6" t="s">
        <v>1115</v>
      </c>
      <c r="F508" s="6" t="s">
        <v>247</v>
      </c>
      <c r="G508" s="6" t="n">
        <v>40</v>
      </c>
      <c r="H508" s="6" t="n">
        <v>25</v>
      </c>
      <c r="I508" s="6"/>
      <c r="J508" s="6" t="n">
        <v>16</v>
      </c>
      <c r="K508" s="6" t="s">
        <v>928</v>
      </c>
      <c r="L508" s="6"/>
      <c r="M508" s="6"/>
      <c r="N508" s="12" t="n">
        <v>32.6</v>
      </c>
      <c r="O508" s="12" t="n">
        <v>20.4</v>
      </c>
      <c r="P508" s="12"/>
      <c r="Q508" s="12"/>
      <c r="R508" s="14" t="n">
        <v>0.022</v>
      </c>
      <c r="S508" s="6" t="n">
        <v>20</v>
      </c>
      <c r="T508" s="6"/>
      <c r="U508" s="15" t="n">
        <f aca="false">20*R508</f>
        <v>0.44</v>
      </c>
      <c r="V508" s="15" t="n">
        <f aca="false">60*R508+0.5*(1-(O508/N508)^2)</f>
        <v>1.62420791147578</v>
      </c>
      <c r="W508" s="14"/>
      <c r="X508" s="10" t="s">
        <v>1116</v>
      </c>
      <c r="Y508" s="16"/>
      <c r="Z508" s="17" t="s">
        <v>48</v>
      </c>
      <c r="AA508" s="6"/>
      <c r="AB508" s="18" t="n">
        <f aca="false">IF(O508="","",$D$3*PI()*(O508/1000)^2/4*3600)</f>
        <v>1.7649970182692</v>
      </c>
      <c r="AC508" s="19" t="n">
        <f aca="false">IF(OR(U508="",NOT(ISNUMBER(U508))),"",U508*$D$3^2/(2*$H$3))</f>
        <v>0.0504587155963303</v>
      </c>
      <c r="AD508" s="20" t="n">
        <f aca="false">IF(OR(U508="",NOT(ISNUMBER(U508))),"",U508*$D$3^2/2*$F$3)</f>
        <v>495</v>
      </c>
      <c r="AE508" s="19" t="n">
        <f aca="false">IF(OR(V508="",NOT(ISNUMBER(V508))),"",V508*$D$3^2/(2*$H$3))</f>
        <v>0.186262375169241</v>
      </c>
      <c r="AF508" s="20" t="n">
        <f aca="false">IF(OR(V508="",NOT(ISNUMBER(V508))),"",V508*$D$3^2/2*$F$3)</f>
        <v>1827.23390041025</v>
      </c>
      <c r="AG508" s="19" t="str">
        <f aca="false">IF(OR(W508="",NOT(ISNUMBER(W508))),"",W508*$D$3^2/(2*$H$3))</f>
        <v/>
      </c>
      <c r="AH508" s="20" t="str">
        <f aca="false">IF(OR(W508="",NOT(ISNUMBER(W508))),"",W508*$D$3^2/2*$F$3)</f>
        <v/>
      </c>
    </row>
    <row r="509" customFormat="false" ht="15" hidden="false" customHeight="false" outlineLevel="0" collapsed="false">
      <c r="A509" s="10" t="s">
        <v>1119</v>
      </c>
      <c r="B509" s="22" t="s">
        <v>924</v>
      </c>
      <c r="C509" s="6" t="s">
        <v>925</v>
      </c>
      <c r="D509" s="6" t="s">
        <v>1120</v>
      </c>
      <c r="E509" s="6" t="s">
        <v>1115</v>
      </c>
      <c r="F509" s="6" t="s">
        <v>247</v>
      </c>
      <c r="G509" s="6" t="n">
        <v>40</v>
      </c>
      <c r="H509" s="6" t="n">
        <v>32</v>
      </c>
      <c r="I509" s="6"/>
      <c r="J509" s="6" t="n">
        <v>16</v>
      </c>
      <c r="K509" s="6" t="s">
        <v>928</v>
      </c>
      <c r="L509" s="6"/>
      <c r="M509" s="6"/>
      <c r="N509" s="12" t="n">
        <v>32.6</v>
      </c>
      <c r="O509" s="12" t="n">
        <v>26.2</v>
      </c>
      <c r="P509" s="12"/>
      <c r="Q509" s="12"/>
      <c r="R509" s="14" t="n">
        <v>0.022</v>
      </c>
      <c r="S509" s="6" t="n">
        <v>20</v>
      </c>
      <c r="T509" s="6"/>
      <c r="U509" s="15" t="n">
        <f aca="false">20*R509</f>
        <v>0.44</v>
      </c>
      <c r="V509" s="15" t="n">
        <f aca="false">60*R509+0.5*(1-(O509/N509)^2)</f>
        <v>1.49704843991117</v>
      </c>
      <c r="W509" s="14"/>
      <c r="X509" s="10" t="s">
        <v>1116</v>
      </c>
      <c r="Y509" s="16"/>
      <c r="Z509" s="17" t="s">
        <v>48</v>
      </c>
      <c r="AA509" s="6"/>
      <c r="AB509" s="18" t="n">
        <f aca="false">IF(O509="","",$D$3*PI()*(O509/1000)^2/4*3600)</f>
        <v>2.91129506252574</v>
      </c>
      <c r="AC509" s="19" t="n">
        <f aca="false">IF(OR(U509="",NOT(ISNUMBER(U509))),"",U509*$D$3^2/(2*$H$3))</f>
        <v>0.0504587155963303</v>
      </c>
      <c r="AD509" s="20" t="n">
        <f aca="false">IF(OR(U509="",NOT(ISNUMBER(U509))),"",U509*$D$3^2/2*$F$3)</f>
        <v>495</v>
      </c>
      <c r="AE509" s="19" t="n">
        <f aca="false">IF(OR(V509="",NOT(ISNUMBER(V509))),"",V509*$D$3^2/(2*$H$3))</f>
        <v>0.171679866962291</v>
      </c>
      <c r="AF509" s="20" t="n">
        <f aca="false">IF(OR(V509="",NOT(ISNUMBER(V509))),"",V509*$D$3^2/2*$F$3)</f>
        <v>1684.17949490007</v>
      </c>
      <c r="AG509" s="19" t="str">
        <f aca="false">IF(OR(W509="",NOT(ISNUMBER(W509))),"",W509*$D$3^2/(2*$H$3))</f>
        <v/>
      </c>
      <c r="AH509" s="20" t="str">
        <f aca="false">IF(OR(W509="",NOT(ISNUMBER(W509))),"",W509*$D$3^2/2*$F$3)</f>
        <v/>
      </c>
    </row>
    <row r="510" customFormat="false" ht="15" hidden="false" customHeight="false" outlineLevel="0" collapsed="false">
      <c r="A510" s="10" t="s">
        <v>1121</v>
      </c>
      <c r="B510" s="22" t="s">
        <v>924</v>
      </c>
      <c r="C510" s="6" t="s">
        <v>925</v>
      </c>
      <c r="D510" s="6" t="s">
        <v>1122</v>
      </c>
      <c r="E510" s="6" t="s">
        <v>1115</v>
      </c>
      <c r="F510" s="6" t="s">
        <v>247</v>
      </c>
      <c r="G510" s="6" t="n">
        <v>50</v>
      </c>
      <c r="H510" s="6" t="n">
        <v>25</v>
      </c>
      <c r="I510" s="6"/>
      <c r="J510" s="6" t="n">
        <v>16</v>
      </c>
      <c r="K510" s="6" t="s">
        <v>928</v>
      </c>
      <c r="L510" s="6"/>
      <c r="M510" s="6"/>
      <c r="N510" s="12" t="n">
        <v>40.8</v>
      </c>
      <c r="O510" s="12" t="n">
        <v>20.4</v>
      </c>
      <c r="P510" s="12"/>
      <c r="Q510" s="12"/>
      <c r="R510" s="14" t="n">
        <v>0.021</v>
      </c>
      <c r="S510" s="6" t="n">
        <v>20</v>
      </c>
      <c r="T510" s="6"/>
      <c r="U510" s="15" t="n">
        <f aca="false">20*R510</f>
        <v>0.42</v>
      </c>
      <c r="V510" s="15" t="n">
        <f aca="false">60*R510+0.5*(1-(O510/N510)^2)</f>
        <v>1.635</v>
      </c>
      <c r="W510" s="14"/>
      <c r="X510" s="10" t="s">
        <v>1116</v>
      </c>
      <c r="Y510" s="16"/>
      <c r="Z510" s="17" t="s">
        <v>48</v>
      </c>
      <c r="AA510" s="6"/>
      <c r="AB510" s="18" t="n">
        <f aca="false">IF(O510="","",$D$3*PI()*(O510/1000)^2/4*3600)</f>
        <v>1.7649970182692</v>
      </c>
      <c r="AC510" s="19" t="n">
        <f aca="false">IF(OR(U510="",NOT(ISNUMBER(U510))),"",U510*$D$3^2/(2*$H$3))</f>
        <v>0.0481651376146789</v>
      </c>
      <c r="AD510" s="20" t="n">
        <f aca="false">IF(OR(U510="",NOT(ISNUMBER(U510))),"",U510*$D$3^2/2*$F$3)</f>
        <v>472.5</v>
      </c>
      <c r="AE510" s="19" t="n">
        <f aca="false">IF(OR(V510="",NOT(ISNUMBER(V510))),"",V510*$D$3^2/(2*$H$3))</f>
        <v>0.1875</v>
      </c>
      <c r="AF510" s="20" t="n">
        <f aca="false">IF(OR(V510="",NOT(ISNUMBER(V510))),"",V510*$D$3^2/2*$F$3)</f>
        <v>1839.375</v>
      </c>
      <c r="AG510" s="19" t="str">
        <f aca="false">IF(OR(W510="",NOT(ISNUMBER(W510))),"",W510*$D$3^2/(2*$H$3))</f>
        <v/>
      </c>
      <c r="AH510" s="20" t="str">
        <f aca="false">IF(OR(W510="",NOT(ISNUMBER(W510))),"",W510*$D$3^2/2*$F$3)</f>
        <v/>
      </c>
    </row>
    <row r="511" customFormat="false" ht="15" hidden="false" customHeight="false" outlineLevel="0" collapsed="false">
      <c r="A511" s="10" t="s">
        <v>1123</v>
      </c>
      <c r="B511" s="22" t="s">
        <v>924</v>
      </c>
      <c r="C511" s="6" t="s">
        <v>925</v>
      </c>
      <c r="D511" s="6" t="s">
        <v>1124</v>
      </c>
      <c r="E511" s="6" t="s">
        <v>1115</v>
      </c>
      <c r="F511" s="6" t="s">
        <v>247</v>
      </c>
      <c r="G511" s="6" t="n">
        <v>50</v>
      </c>
      <c r="H511" s="6" t="n">
        <v>32</v>
      </c>
      <c r="I511" s="6"/>
      <c r="J511" s="6" t="n">
        <v>16</v>
      </c>
      <c r="K511" s="6" t="s">
        <v>928</v>
      </c>
      <c r="L511" s="6"/>
      <c r="M511" s="6"/>
      <c r="N511" s="12" t="n">
        <v>40.8</v>
      </c>
      <c r="O511" s="12" t="n">
        <v>26.2</v>
      </c>
      <c r="P511" s="12"/>
      <c r="Q511" s="12"/>
      <c r="R511" s="14" t="n">
        <v>0.021</v>
      </c>
      <c r="S511" s="6" t="n">
        <v>20</v>
      </c>
      <c r="T511" s="6"/>
      <c r="U511" s="15" t="n">
        <f aca="false">20*R511</f>
        <v>0.42</v>
      </c>
      <c r="V511" s="15" t="n">
        <f aca="false">60*R511+0.5*(1-(O511/N511)^2)</f>
        <v>1.55381728181469</v>
      </c>
      <c r="W511" s="14"/>
      <c r="X511" s="10" t="s">
        <v>1116</v>
      </c>
      <c r="Y511" s="16"/>
      <c r="Z511" s="17" t="s">
        <v>48</v>
      </c>
      <c r="AA511" s="6"/>
      <c r="AB511" s="18" t="n">
        <f aca="false">IF(O511="","",$D$3*PI()*(O511/1000)^2/4*3600)</f>
        <v>2.91129506252574</v>
      </c>
      <c r="AC511" s="19" t="n">
        <f aca="false">IF(OR(U511="",NOT(ISNUMBER(U511))),"",U511*$D$3^2/(2*$H$3))</f>
        <v>0.0481651376146789</v>
      </c>
      <c r="AD511" s="20" t="n">
        <f aca="false">IF(OR(U511="",NOT(ISNUMBER(U511))),"",U511*$D$3^2/2*$F$3)</f>
        <v>472.5</v>
      </c>
      <c r="AE511" s="19" t="n">
        <f aca="false">IF(OR(V511="",NOT(ISNUMBER(V511))),"",V511*$D$3^2/(2*$H$3))</f>
        <v>0.178190055253978</v>
      </c>
      <c r="AF511" s="20" t="n">
        <f aca="false">IF(OR(V511="",NOT(ISNUMBER(V511))),"",V511*$D$3^2/2*$F$3)</f>
        <v>1748.04444204152</v>
      </c>
      <c r="AG511" s="19" t="str">
        <f aca="false">IF(OR(W511="",NOT(ISNUMBER(W511))),"",W511*$D$3^2/(2*$H$3))</f>
        <v/>
      </c>
      <c r="AH511" s="20" t="str">
        <f aca="false">IF(OR(W511="",NOT(ISNUMBER(W511))),"",W511*$D$3^2/2*$F$3)</f>
        <v/>
      </c>
    </row>
    <row r="512" customFormat="false" ht="15" hidden="false" customHeight="false" outlineLevel="0" collapsed="false">
      <c r="A512" s="10" t="s">
        <v>1125</v>
      </c>
      <c r="B512" s="22" t="s">
        <v>924</v>
      </c>
      <c r="C512" s="6" t="s">
        <v>925</v>
      </c>
      <c r="D512" s="6" t="s">
        <v>1126</v>
      </c>
      <c r="E512" s="6" t="s">
        <v>1115</v>
      </c>
      <c r="F512" s="6" t="s">
        <v>247</v>
      </c>
      <c r="G512" s="6" t="n">
        <v>50</v>
      </c>
      <c r="H512" s="6" t="n">
        <v>40</v>
      </c>
      <c r="I512" s="6"/>
      <c r="J512" s="6" t="n">
        <v>16</v>
      </c>
      <c r="K512" s="6" t="s">
        <v>928</v>
      </c>
      <c r="L512" s="6"/>
      <c r="M512" s="6"/>
      <c r="N512" s="12" t="n">
        <v>40.8</v>
      </c>
      <c r="O512" s="12" t="n">
        <v>32.6</v>
      </c>
      <c r="P512" s="12"/>
      <c r="Q512" s="12"/>
      <c r="R512" s="14" t="n">
        <v>0.021</v>
      </c>
      <c r="S512" s="6" t="n">
        <v>20</v>
      </c>
      <c r="T512" s="6"/>
      <c r="U512" s="15" t="n">
        <f aca="false">20*R512</f>
        <v>0.42</v>
      </c>
      <c r="V512" s="15" t="n">
        <f aca="false">60*R512+0.5*(1-(O512/N512)^2)</f>
        <v>1.4407838331411</v>
      </c>
      <c r="W512" s="14"/>
      <c r="X512" s="10" t="s">
        <v>1116</v>
      </c>
      <c r="Y512" s="16"/>
      <c r="Z512" s="17" t="s">
        <v>48</v>
      </c>
      <c r="AA512" s="6"/>
      <c r="AB512" s="18" t="n">
        <f aca="false">IF(O512="","",$D$3*PI()*(O512/1000)^2/4*3600)</f>
        <v>4.50732466151427</v>
      </c>
      <c r="AC512" s="19" t="n">
        <f aca="false">IF(OR(U512="",NOT(ISNUMBER(U512))),"",U512*$D$3^2/(2*$H$3))</f>
        <v>0.0481651376146789</v>
      </c>
      <c r="AD512" s="20" t="n">
        <f aca="false">IF(OR(U512="",NOT(ISNUMBER(U512))),"",U512*$D$3^2/2*$F$3)</f>
        <v>472.5</v>
      </c>
      <c r="AE512" s="19" t="n">
        <f aca="false">IF(OR(V512="",NOT(ISNUMBER(V512))),"",V512*$D$3^2/(2*$H$3))</f>
        <v>0.165227503800585</v>
      </c>
      <c r="AF512" s="20" t="n">
        <f aca="false">IF(OR(V512="",NOT(ISNUMBER(V512))),"",V512*$D$3^2/2*$F$3)</f>
        <v>1620.88181228374</v>
      </c>
      <c r="AG512" s="19" t="str">
        <f aca="false">IF(OR(W512="",NOT(ISNUMBER(W512))),"",W512*$D$3^2/(2*$H$3))</f>
        <v/>
      </c>
      <c r="AH512" s="20" t="str">
        <f aca="false">IF(OR(W512="",NOT(ISNUMBER(W512))),"",W512*$D$3^2/2*$F$3)</f>
        <v/>
      </c>
    </row>
    <row r="513" customFormat="false" ht="15" hidden="false" customHeight="false" outlineLevel="0" collapsed="false">
      <c r="A513" s="10" t="s">
        <v>1127</v>
      </c>
      <c r="B513" s="22" t="s">
        <v>924</v>
      </c>
      <c r="C513" s="6" t="s">
        <v>925</v>
      </c>
      <c r="D513" s="6" t="s">
        <v>1128</v>
      </c>
      <c r="E513" s="6" t="s">
        <v>1115</v>
      </c>
      <c r="F513" s="6" t="s">
        <v>247</v>
      </c>
      <c r="G513" s="6" t="n">
        <v>63</v>
      </c>
      <c r="H513" s="6" t="n">
        <v>25</v>
      </c>
      <c r="I513" s="6"/>
      <c r="J513" s="6" t="n">
        <v>16</v>
      </c>
      <c r="K513" s="6" t="s">
        <v>928</v>
      </c>
      <c r="L513" s="6"/>
      <c r="M513" s="6"/>
      <c r="N513" s="12" t="n">
        <v>51.4</v>
      </c>
      <c r="O513" s="12" t="n">
        <v>20.4</v>
      </c>
      <c r="P513" s="12"/>
      <c r="Q513" s="12"/>
      <c r="R513" s="14" t="n">
        <v>0.019</v>
      </c>
      <c r="S513" s="6" t="n">
        <v>20</v>
      </c>
      <c r="T513" s="6"/>
      <c r="U513" s="15" t="n">
        <f aca="false">20*R513</f>
        <v>0.38</v>
      </c>
      <c r="V513" s="15" t="n">
        <f aca="false">60*R513+0.5*(1-(O513/N513)^2)</f>
        <v>1.56124029129888</v>
      </c>
      <c r="W513" s="14"/>
      <c r="X513" s="10" t="s">
        <v>1116</v>
      </c>
      <c r="Y513" s="16"/>
      <c r="Z513" s="17" t="s">
        <v>48</v>
      </c>
      <c r="AA513" s="6"/>
      <c r="AB513" s="18" t="n">
        <f aca="false">IF(O513="","",$D$3*PI()*(O513/1000)^2/4*3600)</f>
        <v>1.7649970182692</v>
      </c>
      <c r="AC513" s="19" t="n">
        <f aca="false">IF(OR(U513="",NOT(ISNUMBER(U513))),"",U513*$D$3^2/(2*$H$3))</f>
        <v>0.0435779816513761</v>
      </c>
      <c r="AD513" s="20" t="n">
        <f aca="false">IF(OR(U513="",NOT(ISNUMBER(U513))),"",U513*$D$3^2/2*$F$3)</f>
        <v>427.5</v>
      </c>
      <c r="AE513" s="19" t="n">
        <f aca="false">IF(OR(V513="",NOT(ISNUMBER(V513))),"",V513*$D$3^2/(2*$H$3))</f>
        <v>0.179041317809505</v>
      </c>
      <c r="AF513" s="20" t="n">
        <f aca="false">IF(OR(V513="",NOT(ISNUMBER(V513))),"",V513*$D$3^2/2*$F$3)</f>
        <v>1756.39532771124</v>
      </c>
      <c r="AG513" s="19" t="str">
        <f aca="false">IF(OR(W513="",NOT(ISNUMBER(W513))),"",W513*$D$3^2/(2*$H$3))</f>
        <v/>
      </c>
      <c r="AH513" s="20" t="str">
        <f aca="false">IF(OR(W513="",NOT(ISNUMBER(W513))),"",W513*$D$3^2/2*$F$3)</f>
        <v/>
      </c>
    </row>
    <row r="514" customFormat="false" ht="15" hidden="false" customHeight="false" outlineLevel="0" collapsed="false">
      <c r="A514" s="10" t="s">
        <v>1129</v>
      </c>
      <c r="B514" s="22" t="s">
        <v>924</v>
      </c>
      <c r="C514" s="6" t="s">
        <v>925</v>
      </c>
      <c r="D514" s="6" t="s">
        <v>1130</v>
      </c>
      <c r="E514" s="6" t="s">
        <v>1115</v>
      </c>
      <c r="F514" s="6" t="s">
        <v>247</v>
      </c>
      <c r="G514" s="6" t="n">
        <v>63</v>
      </c>
      <c r="H514" s="6" t="n">
        <v>32</v>
      </c>
      <c r="I514" s="6"/>
      <c r="J514" s="6" t="n">
        <v>16</v>
      </c>
      <c r="K514" s="6" t="s">
        <v>928</v>
      </c>
      <c r="L514" s="6"/>
      <c r="M514" s="6"/>
      <c r="N514" s="12" t="n">
        <v>51.4</v>
      </c>
      <c r="O514" s="12" t="n">
        <v>26.2</v>
      </c>
      <c r="P514" s="12"/>
      <c r="Q514" s="12"/>
      <c r="R514" s="14" t="n">
        <v>0.019</v>
      </c>
      <c r="S514" s="6" t="n">
        <v>20</v>
      </c>
      <c r="T514" s="6"/>
      <c r="U514" s="15" t="n">
        <f aca="false">20*R514</f>
        <v>0.38</v>
      </c>
      <c r="V514" s="15" t="n">
        <f aca="false">60*R514+0.5*(1-(O514/N514)^2)</f>
        <v>1.51008887341216</v>
      </c>
      <c r="W514" s="14"/>
      <c r="X514" s="10" t="s">
        <v>1116</v>
      </c>
      <c r="Y514" s="16"/>
      <c r="Z514" s="17" t="s">
        <v>48</v>
      </c>
      <c r="AA514" s="6"/>
      <c r="AB514" s="18" t="n">
        <f aca="false">IF(O514="","",$D$3*PI()*(O514/1000)^2/4*3600)</f>
        <v>2.91129506252574</v>
      </c>
      <c r="AC514" s="19" t="n">
        <f aca="false">IF(OR(U514="",NOT(ISNUMBER(U514))),"",U514*$D$3^2/(2*$H$3))</f>
        <v>0.0435779816513761</v>
      </c>
      <c r="AD514" s="20" t="n">
        <f aca="false">IF(OR(U514="",NOT(ISNUMBER(U514))),"",U514*$D$3^2/2*$F$3)</f>
        <v>427.5</v>
      </c>
      <c r="AE514" s="19" t="n">
        <f aca="false">IF(OR(V514="",NOT(ISNUMBER(V514))),"",V514*$D$3^2/(2*$H$3))</f>
        <v>0.173175329519744</v>
      </c>
      <c r="AF514" s="20" t="n">
        <f aca="false">IF(OR(V514="",NOT(ISNUMBER(V514))),"",V514*$D$3^2/2*$F$3)</f>
        <v>1698.84998258868</v>
      </c>
      <c r="AG514" s="19" t="str">
        <f aca="false">IF(OR(W514="",NOT(ISNUMBER(W514))),"",W514*$D$3^2/(2*$H$3))</f>
        <v/>
      </c>
      <c r="AH514" s="20" t="str">
        <f aca="false">IF(OR(W514="",NOT(ISNUMBER(W514))),"",W514*$D$3^2/2*$F$3)</f>
        <v/>
      </c>
    </row>
    <row r="515" customFormat="false" ht="15" hidden="false" customHeight="false" outlineLevel="0" collapsed="false">
      <c r="A515" s="10" t="s">
        <v>1131</v>
      </c>
      <c r="B515" s="22" t="s">
        <v>924</v>
      </c>
      <c r="C515" s="6" t="s">
        <v>925</v>
      </c>
      <c r="D515" s="6" t="s">
        <v>1132</v>
      </c>
      <c r="E515" s="6" t="s">
        <v>1115</v>
      </c>
      <c r="F515" s="6" t="s">
        <v>247</v>
      </c>
      <c r="G515" s="6" t="n">
        <v>63</v>
      </c>
      <c r="H515" s="6" t="n">
        <v>40</v>
      </c>
      <c r="I515" s="6"/>
      <c r="J515" s="6" t="n">
        <v>16</v>
      </c>
      <c r="K515" s="6" t="s">
        <v>928</v>
      </c>
      <c r="L515" s="6"/>
      <c r="M515" s="6"/>
      <c r="N515" s="12" t="n">
        <v>51.4</v>
      </c>
      <c r="O515" s="12" t="n">
        <v>32.6</v>
      </c>
      <c r="P515" s="12"/>
      <c r="Q515" s="12"/>
      <c r="R515" s="14" t="n">
        <v>0.019</v>
      </c>
      <c r="S515" s="6" t="n">
        <v>20</v>
      </c>
      <c r="T515" s="6"/>
      <c r="U515" s="15" t="n">
        <f aca="false">20*R515</f>
        <v>0.38</v>
      </c>
      <c r="V515" s="15" t="n">
        <f aca="false">60*R515+0.5*(1-(O515/N515)^2)</f>
        <v>1.43886902148405</v>
      </c>
      <c r="W515" s="14"/>
      <c r="X515" s="10" t="s">
        <v>1116</v>
      </c>
      <c r="Y515" s="16"/>
      <c r="Z515" s="17" t="s">
        <v>48</v>
      </c>
      <c r="AA515" s="6"/>
      <c r="AB515" s="18" t="n">
        <f aca="false">IF(O515="","",$D$3*PI()*(O515/1000)^2/4*3600)</f>
        <v>4.50732466151427</v>
      </c>
      <c r="AC515" s="19" t="n">
        <f aca="false">IF(OR(U515="",NOT(ISNUMBER(U515))),"",U515*$D$3^2/(2*$H$3))</f>
        <v>0.0435779816513761</v>
      </c>
      <c r="AD515" s="20" t="n">
        <f aca="false">IF(OR(U515="",NOT(ISNUMBER(U515))),"",U515*$D$3^2/2*$F$3)</f>
        <v>427.5</v>
      </c>
      <c r="AE515" s="19" t="n">
        <f aca="false">IF(OR(V515="",NOT(ISNUMBER(V515))),"",V515*$D$3^2/(2*$H$3))</f>
        <v>0.165007915307804</v>
      </c>
      <c r="AF515" s="20" t="n">
        <f aca="false">IF(OR(V515="",NOT(ISNUMBER(V515))),"",V515*$D$3^2/2*$F$3)</f>
        <v>1618.72764916956</v>
      </c>
      <c r="AG515" s="19" t="str">
        <f aca="false">IF(OR(W515="",NOT(ISNUMBER(W515))),"",W515*$D$3^2/(2*$H$3))</f>
        <v/>
      </c>
      <c r="AH515" s="20" t="str">
        <f aca="false">IF(OR(W515="",NOT(ISNUMBER(W515))),"",W515*$D$3^2/2*$F$3)</f>
        <v/>
      </c>
    </row>
    <row r="516" customFormat="false" ht="15" hidden="false" customHeight="false" outlineLevel="0" collapsed="false">
      <c r="A516" s="10" t="s">
        <v>1133</v>
      </c>
      <c r="B516" s="22" t="s">
        <v>924</v>
      </c>
      <c r="C516" s="6" t="s">
        <v>925</v>
      </c>
      <c r="D516" s="6" t="s">
        <v>1134</v>
      </c>
      <c r="E516" s="6" t="s">
        <v>1115</v>
      </c>
      <c r="F516" s="6" t="s">
        <v>247</v>
      </c>
      <c r="G516" s="6" t="n">
        <v>63</v>
      </c>
      <c r="H516" s="6" t="n">
        <v>50</v>
      </c>
      <c r="I516" s="6"/>
      <c r="J516" s="6" t="n">
        <v>16</v>
      </c>
      <c r="K516" s="6" t="s">
        <v>928</v>
      </c>
      <c r="L516" s="6"/>
      <c r="M516" s="6"/>
      <c r="N516" s="12" t="n">
        <v>51.4</v>
      </c>
      <c r="O516" s="12" t="n">
        <v>40.8</v>
      </c>
      <c r="P516" s="12"/>
      <c r="Q516" s="12"/>
      <c r="R516" s="14" t="n">
        <v>0.019</v>
      </c>
      <c r="S516" s="6" t="n">
        <v>20</v>
      </c>
      <c r="T516" s="6"/>
      <c r="U516" s="15" t="n">
        <f aca="false">20*R516</f>
        <v>0.38</v>
      </c>
      <c r="V516" s="15" t="n">
        <f aca="false">60*R516+0.5*(1-(O516/N516)^2)</f>
        <v>1.32496116519554</v>
      </c>
      <c r="W516" s="14"/>
      <c r="X516" s="10" t="s">
        <v>1116</v>
      </c>
      <c r="Y516" s="16"/>
      <c r="Z516" s="17" t="s">
        <v>48</v>
      </c>
      <c r="AA516" s="6"/>
      <c r="AB516" s="18" t="n">
        <f aca="false">IF(O516="","",$D$3*PI()*(O516/1000)^2/4*3600)</f>
        <v>7.05998807307681</v>
      </c>
      <c r="AC516" s="19" t="n">
        <f aca="false">IF(OR(U516="",NOT(ISNUMBER(U516))),"",U516*$D$3^2/(2*$H$3))</f>
        <v>0.0435779816513761</v>
      </c>
      <c r="AD516" s="20" t="n">
        <f aca="false">IF(OR(U516="",NOT(ISNUMBER(U516))),"",U516*$D$3^2/2*$F$3)</f>
        <v>427.5</v>
      </c>
      <c r="AE516" s="19" t="n">
        <f aca="false">IF(OR(V516="",NOT(ISNUMBER(V516))),"",V516*$D$3^2/(2*$H$3))</f>
        <v>0.151945087751782</v>
      </c>
      <c r="AF516" s="20" t="n">
        <f aca="false">IF(OR(V516="",NOT(ISNUMBER(V516))),"",V516*$D$3^2/2*$F$3)</f>
        <v>1490.58131084498</v>
      </c>
      <c r="AG516" s="19" t="str">
        <f aca="false">IF(OR(W516="",NOT(ISNUMBER(W516))),"",W516*$D$3^2/(2*$H$3))</f>
        <v/>
      </c>
      <c r="AH516" s="20" t="str">
        <f aca="false">IF(OR(W516="",NOT(ISNUMBER(W516))),"",W516*$D$3^2/2*$F$3)</f>
        <v/>
      </c>
    </row>
    <row r="517" customFormat="false" ht="15" hidden="false" customHeight="false" outlineLevel="0" collapsed="false">
      <c r="A517" s="10" t="s">
        <v>1135</v>
      </c>
      <c r="B517" s="22" t="s">
        <v>924</v>
      </c>
      <c r="C517" s="6" t="s">
        <v>925</v>
      </c>
      <c r="D517" s="6" t="s">
        <v>1136</v>
      </c>
      <c r="E517" s="6" t="s">
        <v>1115</v>
      </c>
      <c r="F517" s="6" t="s">
        <v>247</v>
      </c>
      <c r="G517" s="6" t="n">
        <v>75</v>
      </c>
      <c r="H517" s="6" t="n">
        <v>63</v>
      </c>
      <c r="I517" s="6"/>
      <c r="J517" s="6" t="n">
        <v>16</v>
      </c>
      <c r="K517" s="6" t="s">
        <v>928</v>
      </c>
      <c r="L517" s="6"/>
      <c r="M517" s="6"/>
      <c r="N517" s="12" t="n">
        <v>61.4</v>
      </c>
      <c r="O517" s="12" t="n">
        <v>51.4</v>
      </c>
      <c r="P517" s="12"/>
      <c r="Q517" s="12"/>
      <c r="R517" s="14" t="n">
        <v>0.018</v>
      </c>
      <c r="S517" s="6" t="n">
        <v>20</v>
      </c>
      <c r="T517" s="6"/>
      <c r="U517" s="15" t="n">
        <f aca="false">20*R517</f>
        <v>0.36</v>
      </c>
      <c r="V517" s="15" t="n">
        <f aca="false">60*R517+0.5*(1-(O517/N517)^2)</f>
        <v>1.22960370932318</v>
      </c>
      <c r="W517" s="14"/>
      <c r="X517" s="10" t="s">
        <v>1116</v>
      </c>
      <c r="Y517" s="16"/>
      <c r="Z517" s="17" t="s">
        <v>48</v>
      </c>
      <c r="AA517" s="6"/>
      <c r="AB517" s="18" t="n">
        <f aca="false">IF(O517="","",$D$3*PI()*(O517/1000)^2/4*3600)</f>
        <v>11.2049488715554</v>
      </c>
      <c r="AC517" s="19" t="n">
        <f aca="false">IF(OR(U517="",NOT(ISNUMBER(U517))),"",U517*$D$3^2/(2*$H$3))</f>
        <v>0.0412844036697248</v>
      </c>
      <c r="AD517" s="20" t="n">
        <f aca="false">IF(OR(U517="",NOT(ISNUMBER(U517))),"",U517*$D$3^2/2*$F$3)</f>
        <v>405</v>
      </c>
      <c r="AE517" s="19" t="n">
        <f aca="false">IF(OR(V517="",NOT(ISNUMBER(V517))),"",V517*$D$3^2/(2*$H$3))</f>
        <v>0.141009599693025</v>
      </c>
      <c r="AF517" s="20" t="n">
        <f aca="false">IF(OR(V517="",NOT(ISNUMBER(V517))),"",V517*$D$3^2/2*$F$3)</f>
        <v>1383.30417298857</v>
      </c>
      <c r="AG517" s="19" t="str">
        <f aca="false">IF(OR(W517="",NOT(ISNUMBER(W517))),"",W517*$D$3^2/(2*$H$3))</f>
        <v/>
      </c>
      <c r="AH517" s="20" t="str">
        <f aca="false">IF(OR(W517="",NOT(ISNUMBER(W517))),"",W517*$D$3^2/2*$F$3)</f>
        <v/>
      </c>
    </row>
    <row r="518" customFormat="false" ht="15" hidden="false" customHeight="false" outlineLevel="0" collapsed="false">
      <c r="A518" s="10" t="s">
        <v>1137</v>
      </c>
      <c r="B518" s="22" t="s">
        <v>924</v>
      </c>
      <c r="C518" s="6" t="s">
        <v>925</v>
      </c>
      <c r="D518" s="6" t="s">
        <v>1138</v>
      </c>
      <c r="E518" s="6" t="s">
        <v>1115</v>
      </c>
      <c r="F518" s="6" t="s">
        <v>247</v>
      </c>
      <c r="G518" s="6" t="n">
        <v>90</v>
      </c>
      <c r="H518" s="6" t="n">
        <v>40</v>
      </c>
      <c r="I518" s="6"/>
      <c r="J518" s="6" t="n">
        <v>16</v>
      </c>
      <c r="K518" s="6" t="s">
        <v>928</v>
      </c>
      <c r="L518" s="6"/>
      <c r="M518" s="6"/>
      <c r="N518" s="12" t="n">
        <v>73.6</v>
      </c>
      <c r="O518" s="12" t="n">
        <v>32.6</v>
      </c>
      <c r="P518" s="12"/>
      <c r="Q518" s="12"/>
      <c r="R518" s="14" t="n">
        <v>0.018</v>
      </c>
      <c r="S518" s="6" t="n">
        <v>20</v>
      </c>
      <c r="T518" s="6"/>
      <c r="U518" s="15" t="n">
        <f aca="false">20*R518</f>
        <v>0.36</v>
      </c>
      <c r="V518" s="15" t="n">
        <f aca="false">60*R518+0.5*(1-(O518/N518)^2)</f>
        <v>1.48190438917769</v>
      </c>
      <c r="W518" s="14"/>
      <c r="X518" s="10" t="s">
        <v>1116</v>
      </c>
      <c r="Y518" s="16"/>
      <c r="Z518" s="17" t="s">
        <v>48</v>
      </c>
      <c r="AA518" s="6"/>
      <c r="AB518" s="18" t="n">
        <f aca="false">IF(O518="","",$D$3*PI()*(O518/1000)^2/4*3600)</f>
        <v>4.50732466151427</v>
      </c>
      <c r="AC518" s="19" t="n">
        <f aca="false">IF(OR(U518="",NOT(ISNUMBER(U518))),"",U518*$D$3^2/(2*$H$3))</f>
        <v>0.0412844036697248</v>
      </c>
      <c r="AD518" s="20" t="n">
        <f aca="false">IF(OR(U518="",NOT(ISNUMBER(U518))),"",U518*$D$3^2/2*$F$3)</f>
        <v>405</v>
      </c>
      <c r="AE518" s="19" t="n">
        <f aca="false">IF(OR(V518="",NOT(ISNUMBER(V518))),"",V518*$D$3^2/(2*$H$3))</f>
        <v>0.169943163896524</v>
      </c>
      <c r="AF518" s="20" t="n">
        <f aca="false">IF(OR(V518="",NOT(ISNUMBER(V518))),"",V518*$D$3^2/2*$F$3)</f>
        <v>1667.14243782491</v>
      </c>
      <c r="AG518" s="19" t="str">
        <f aca="false">IF(OR(W518="",NOT(ISNUMBER(W518))),"",W518*$D$3^2/(2*$H$3))</f>
        <v/>
      </c>
      <c r="AH518" s="20" t="str">
        <f aca="false">IF(OR(W518="",NOT(ISNUMBER(W518))),"",W518*$D$3^2/2*$F$3)</f>
        <v/>
      </c>
    </row>
    <row r="519" customFormat="false" ht="15" hidden="false" customHeight="false" outlineLevel="0" collapsed="false">
      <c r="A519" s="10" t="s">
        <v>1139</v>
      </c>
      <c r="B519" s="22" t="s">
        <v>924</v>
      </c>
      <c r="C519" s="6" t="s">
        <v>925</v>
      </c>
      <c r="D519" s="6" t="s">
        <v>1140</v>
      </c>
      <c r="E519" s="6" t="s">
        <v>1115</v>
      </c>
      <c r="F519" s="6" t="s">
        <v>247</v>
      </c>
      <c r="G519" s="6" t="n">
        <v>90</v>
      </c>
      <c r="H519" s="6" t="n">
        <v>50</v>
      </c>
      <c r="I519" s="6"/>
      <c r="J519" s="6" t="n">
        <v>16</v>
      </c>
      <c r="K519" s="6" t="s">
        <v>928</v>
      </c>
      <c r="L519" s="6"/>
      <c r="M519" s="6"/>
      <c r="N519" s="12" t="n">
        <v>73.6</v>
      </c>
      <c r="O519" s="12" t="n">
        <v>40.8</v>
      </c>
      <c r="P519" s="12"/>
      <c r="Q519" s="12"/>
      <c r="R519" s="14" t="n">
        <v>0.018</v>
      </c>
      <c r="S519" s="6" t="n">
        <v>20</v>
      </c>
      <c r="T519" s="6"/>
      <c r="U519" s="15" t="n">
        <f aca="false">20*R519</f>
        <v>0.36</v>
      </c>
      <c r="V519" s="15" t="n">
        <f aca="false">60*R519+0.5*(1-(O519/N519)^2)</f>
        <v>1.42634924385633</v>
      </c>
      <c r="W519" s="14"/>
      <c r="X519" s="10" t="s">
        <v>1116</v>
      </c>
      <c r="Y519" s="16"/>
      <c r="Z519" s="17" t="s">
        <v>48</v>
      </c>
      <c r="AA519" s="6"/>
      <c r="AB519" s="18" t="n">
        <f aca="false">IF(O519="","",$D$3*PI()*(O519/1000)^2/4*3600)</f>
        <v>7.05998807307681</v>
      </c>
      <c r="AC519" s="19" t="n">
        <f aca="false">IF(OR(U519="",NOT(ISNUMBER(U519))),"",U519*$D$3^2/(2*$H$3))</f>
        <v>0.0412844036697248</v>
      </c>
      <c r="AD519" s="20" t="n">
        <f aca="false">IF(OR(U519="",NOT(ISNUMBER(U519))),"",U519*$D$3^2/2*$F$3)</f>
        <v>405</v>
      </c>
      <c r="AE519" s="19" t="n">
        <f aca="false">IF(OR(V519="",NOT(ISNUMBER(V519))),"",V519*$D$3^2/(2*$H$3))</f>
        <v>0.163572160992699</v>
      </c>
      <c r="AF519" s="20" t="n">
        <f aca="false">IF(OR(V519="",NOT(ISNUMBER(V519))),"",V519*$D$3^2/2*$F$3)</f>
        <v>1604.64289933837</v>
      </c>
      <c r="AG519" s="19" t="str">
        <f aca="false">IF(OR(W519="",NOT(ISNUMBER(W519))),"",W519*$D$3^2/(2*$H$3))</f>
        <v/>
      </c>
      <c r="AH519" s="20" t="str">
        <f aca="false">IF(OR(W519="",NOT(ISNUMBER(W519))),"",W519*$D$3^2/2*$F$3)</f>
        <v/>
      </c>
    </row>
    <row r="520" customFormat="false" ht="15" hidden="false" customHeight="false" outlineLevel="0" collapsed="false">
      <c r="A520" s="10" t="s">
        <v>1141</v>
      </c>
      <c r="B520" s="22" t="s">
        <v>924</v>
      </c>
      <c r="C520" s="6" t="s">
        <v>925</v>
      </c>
      <c r="D520" s="6" t="s">
        <v>1142</v>
      </c>
      <c r="E520" s="6" t="s">
        <v>1115</v>
      </c>
      <c r="F520" s="6" t="s">
        <v>247</v>
      </c>
      <c r="G520" s="6" t="n">
        <v>90</v>
      </c>
      <c r="H520" s="6" t="n">
        <v>63</v>
      </c>
      <c r="I520" s="6"/>
      <c r="J520" s="6" t="n">
        <v>16</v>
      </c>
      <c r="K520" s="6" t="s">
        <v>928</v>
      </c>
      <c r="L520" s="6"/>
      <c r="M520" s="6"/>
      <c r="N520" s="12" t="n">
        <v>73.6</v>
      </c>
      <c r="O520" s="12" t="n">
        <v>51.4</v>
      </c>
      <c r="P520" s="12"/>
      <c r="Q520" s="12"/>
      <c r="R520" s="14" t="n">
        <v>0.018</v>
      </c>
      <c r="S520" s="6" t="n">
        <v>20</v>
      </c>
      <c r="T520" s="6"/>
      <c r="U520" s="15" t="n">
        <f aca="false">20*R520</f>
        <v>0.36</v>
      </c>
      <c r="V520" s="15" t="n">
        <f aca="false">60*R520+0.5*(1-(O520/N520)^2)</f>
        <v>1.33613997518904</v>
      </c>
      <c r="W520" s="14"/>
      <c r="X520" s="10" t="s">
        <v>1116</v>
      </c>
      <c r="Y520" s="16"/>
      <c r="Z520" s="17" t="s">
        <v>48</v>
      </c>
      <c r="AA520" s="6"/>
      <c r="AB520" s="18" t="n">
        <f aca="false">IF(O520="","",$D$3*PI()*(O520/1000)^2/4*3600)</f>
        <v>11.2049488715554</v>
      </c>
      <c r="AC520" s="19" t="n">
        <f aca="false">IF(OR(U520="",NOT(ISNUMBER(U520))),"",U520*$D$3^2/(2*$H$3))</f>
        <v>0.0412844036697248</v>
      </c>
      <c r="AD520" s="20" t="n">
        <f aca="false">IF(OR(U520="",NOT(ISNUMBER(U520))),"",U520*$D$3^2/2*$F$3)</f>
        <v>405</v>
      </c>
      <c r="AE520" s="19" t="n">
        <f aca="false">IF(OR(V520="",NOT(ISNUMBER(V520))),"",V520*$D$3^2/(2*$H$3))</f>
        <v>0.153227061374889</v>
      </c>
      <c r="AF520" s="20" t="n">
        <f aca="false">IF(OR(V520="",NOT(ISNUMBER(V520))),"",V520*$D$3^2/2*$F$3)</f>
        <v>1503.15747208767</v>
      </c>
      <c r="AG520" s="19" t="str">
        <f aca="false">IF(OR(W520="",NOT(ISNUMBER(W520))),"",W520*$D$3^2/(2*$H$3))</f>
        <v/>
      </c>
      <c r="AH520" s="20" t="str">
        <f aca="false">IF(OR(W520="",NOT(ISNUMBER(W520))),"",W520*$D$3^2/2*$F$3)</f>
        <v/>
      </c>
    </row>
    <row r="521" customFormat="false" ht="15" hidden="false" customHeight="false" outlineLevel="0" collapsed="false">
      <c r="A521" s="10" t="s">
        <v>1143</v>
      </c>
      <c r="B521" s="22" t="s">
        <v>924</v>
      </c>
      <c r="C521" s="6" t="s">
        <v>925</v>
      </c>
      <c r="D521" s="6" t="s">
        <v>1144</v>
      </c>
      <c r="E521" s="6" t="s">
        <v>1115</v>
      </c>
      <c r="F521" s="6" t="s">
        <v>247</v>
      </c>
      <c r="G521" s="6" t="n">
        <v>90</v>
      </c>
      <c r="H521" s="6" t="n">
        <v>75</v>
      </c>
      <c r="I521" s="6"/>
      <c r="J521" s="6" t="n">
        <v>16</v>
      </c>
      <c r="K521" s="6" t="s">
        <v>928</v>
      </c>
      <c r="L521" s="6"/>
      <c r="M521" s="6"/>
      <c r="N521" s="12" t="n">
        <v>73.6</v>
      </c>
      <c r="O521" s="12" t="n">
        <v>61.4</v>
      </c>
      <c r="P521" s="12"/>
      <c r="Q521" s="12"/>
      <c r="R521" s="14" t="n">
        <v>0.018</v>
      </c>
      <c r="S521" s="6" t="n">
        <v>20</v>
      </c>
      <c r="T521" s="6"/>
      <c r="U521" s="15" t="n">
        <f aca="false">20*R521</f>
        <v>0.36</v>
      </c>
      <c r="V521" s="15" t="n">
        <f aca="false">60*R521+0.5*(1-(O521/N521)^2)</f>
        <v>1.23202253662571</v>
      </c>
      <c r="W521" s="14"/>
      <c r="X521" s="10" t="s">
        <v>1116</v>
      </c>
      <c r="Y521" s="16"/>
      <c r="Z521" s="17" t="s">
        <v>48</v>
      </c>
      <c r="AA521" s="6"/>
      <c r="AB521" s="18" t="n">
        <f aca="false">IF(O521="","",$D$3*PI()*(O521/1000)^2/4*3600)</f>
        <v>15.988966164442</v>
      </c>
      <c r="AC521" s="19" t="n">
        <f aca="false">IF(OR(U521="",NOT(ISNUMBER(U521))),"",U521*$D$3^2/(2*$H$3))</f>
        <v>0.0412844036697248</v>
      </c>
      <c r="AD521" s="20" t="n">
        <f aca="false">IF(OR(U521="",NOT(ISNUMBER(U521))),"",U521*$D$3^2/2*$F$3)</f>
        <v>405</v>
      </c>
      <c r="AE521" s="19" t="n">
        <f aca="false">IF(OR(V521="",NOT(ISNUMBER(V521))),"",V521*$D$3^2/(2*$H$3))</f>
        <v>0.14128698814515</v>
      </c>
      <c r="AF521" s="20" t="n">
        <f aca="false">IF(OR(V521="",NOT(ISNUMBER(V521))),"",V521*$D$3^2/2*$F$3)</f>
        <v>1386.02535370392</v>
      </c>
      <c r="AG521" s="19" t="str">
        <f aca="false">IF(OR(W521="",NOT(ISNUMBER(W521))),"",W521*$D$3^2/(2*$H$3))</f>
        <v/>
      </c>
      <c r="AH521" s="20" t="str">
        <f aca="false">IF(OR(W521="",NOT(ISNUMBER(W521))),"",W521*$D$3^2/2*$F$3)</f>
        <v/>
      </c>
    </row>
    <row r="522" customFormat="false" ht="15" hidden="false" customHeight="false" outlineLevel="0" collapsed="false">
      <c r="A522" s="10" t="s">
        <v>1145</v>
      </c>
      <c r="B522" s="22" t="s">
        <v>924</v>
      </c>
      <c r="C522" s="6" t="s">
        <v>925</v>
      </c>
      <c r="D522" s="6" t="s">
        <v>1146</v>
      </c>
      <c r="E522" s="6" t="s">
        <v>1115</v>
      </c>
      <c r="F522" s="6" t="s">
        <v>247</v>
      </c>
      <c r="G522" s="6" t="n">
        <v>110</v>
      </c>
      <c r="H522" s="6" t="n">
        <v>40</v>
      </c>
      <c r="I522" s="6"/>
      <c r="J522" s="6" t="n">
        <v>16</v>
      </c>
      <c r="K522" s="6" t="s">
        <v>928</v>
      </c>
      <c r="L522" s="6"/>
      <c r="M522" s="6"/>
      <c r="N522" s="12" t="n">
        <v>90</v>
      </c>
      <c r="O522" s="12" t="n">
        <v>32.6</v>
      </c>
      <c r="P522" s="12"/>
      <c r="Q522" s="12"/>
      <c r="R522" s="14" t="n">
        <v>0.017</v>
      </c>
      <c r="S522" s="6" t="n">
        <v>20</v>
      </c>
      <c r="T522" s="6"/>
      <c r="U522" s="15" t="n">
        <f aca="false">20*R522</f>
        <v>0.34</v>
      </c>
      <c r="V522" s="15" t="n">
        <f aca="false">60*R522+0.5*(1-(O522/N522)^2)</f>
        <v>1.4543975308642</v>
      </c>
      <c r="W522" s="14"/>
      <c r="X522" s="10" t="s">
        <v>1116</v>
      </c>
      <c r="Y522" s="16"/>
      <c r="Z522" s="17" t="s">
        <v>48</v>
      </c>
      <c r="AA522" s="6"/>
      <c r="AB522" s="18" t="n">
        <f aca="false">IF(O522="","",$D$3*PI()*(O522/1000)^2/4*3600)</f>
        <v>4.50732466151427</v>
      </c>
      <c r="AC522" s="19" t="n">
        <f aca="false">IF(OR(U522="",NOT(ISNUMBER(U522))),"",U522*$D$3^2/(2*$H$3))</f>
        <v>0.0389908256880734</v>
      </c>
      <c r="AD522" s="20" t="n">
        <f aca="false">IF(OR(U522="",NOT(ISNUMBER(U522))),"",U522*$D$3^2/2*$F$3)</f>
        <v>382.5</v>
      </c>
      <c r="AE522" s="19" t="n">
        <f aca="false">IF(OR(V522="",NOT(ISNUMBER(V522))),"",V522*$D$3^2/(2*$H$3))</f>
        <v>0.166788707667913</v>
      </c>
      <c r="AF522" s="20" t="n">
        <f aca="false">IF(OR(V522="",NOT(ISNUMBER(V522))),"",V522*$D$3^2/2*$F$3)</f>
        <v>1636.19722222222</v>
      </c>
      <c r="AG522" s="19" t="str">
        <f aca="false">IF(OR(W522="",NOT(ISNUMBER(W522))),"",W522*$D$3^2/(2*$H$3))</f>
        <v/>
      </c>
      <c r="AH522" s="20" t="str">
        <f aca="false">IF(OR(W522="",NOT(ISNUMBER(W522))),"",W522*$D$3^2/2*$F$3)</f>
        <v/>
      </c>
    </row>
    <row r="523" customFormat="false" ht="15" hidden="false" customHeight="false" outlineLevel="0" collapsed="false">
      <c r="A523" s="10" t="s">
        <v>1147</v>
      </c>
      <c r="B523" s="22" t="s">
        <v>924</v>
      </c>
      <c r="C523" s="6" t="s">
        <v>925</v>
      </c>
      <c r="D523" s="6" t="s">
        <v>1148</v>
      </c>
      <c r="E523" s="6" t="s">
        <v>1115</v>
      </c>
      <c r="F523" s="6" t="s">
        <v>247</v>
      </c>
      <c r="G523" s="6" t="n">
        <v>110</v>
      </c>
      <c r="H523" s="6" t="n">
        <v>50</v>
      </c>
      <c r="I523" s="6"/>
      <c r="J523" s="6" t="n">
        <v>16</v>
      </c>
      <c r="K523" s="6" t="s">
        <v>928</v>
      </c>
      <c r="L523" s="6"/>
      <c r="M523" s="6"/>
      <c r="N523" s="12" t="n">
        <v>90</v>
      </c>
      <c r="O523" s="12" t="n">
        <v>40.8</v>
      </c>
      <c r="P523" s="12"/>
      <c r="Q523" s="12"/>
      <c r="R523" s="14" t="n">
        <v>0.017</v>
      </c>
      <c r="S523" s="6" t="n">
        <v>20</v>
      </c>
      <c r="T523" s="6"/>
      <c r="U523" s="15" t="n">
        <f aca="false">20*R523</f>
        <v>0.34</v>
      </c>
      <c r="V523" s="15" t="n">
        <f aca="false">60*R523+0.5*(1-(O523/N523)^2)</f>
        <v>1.41724444444444</v>
      </c>
      <c r="W523" s="14"/>
      <c r="X523" s="10" t="s">
        <v>1116</v>
      </c>
      <c r="Y523" s="16"/>
      <c r="Z523" s="17" t="s">
        <v>48</v>
      </c>
      <c r="AA523" s="6"/>
      <c r="AB523" s="18" t="n">
        <f aca="false">IF(O523="","",$D$3*PI()*(O523/1000)^2/4*3600)</f>
        <v>7.05998807307681</v>
      </c>
      <c r="AC523" s="19" t="n">
        <f aca="false">IF(OR(U523="",NOT(ISNUMBER(U523))),"",U523*$D$3^2/(2*$H$3))</f>
        <v>0.0389908256880734</v>
      </c>
      <c r="AD523" s="20" t="n">
        <f aca="false">IF(OR(U523="",NOT(ISNUMBER(U523))),"",U523*$D$3^2/2*$F$3)</f>
        <v>382.5</v>
      </c>
      <c r="AE523" s="19" t="n">
        <f aca="false">IF(OR(V523="",NOT(ISNUMBER(V523))),"",V523*$D$3^2/(2*$H$3))</f>
        <v>0.162528032619776</v>
      </c>
      <c r="AF523" s="20" t="n">
        <f aca="false">IF(OR(V523="",NOT(ISNUMBER(V523))),"",V523*$D$3^2/2*$F$3)</f>
        <v>1594.4</v>
      </c>
      <c r="AG523" s="19" t="str">
        <f aca="false">IF(OR(W523="",NOT(ISNUMBER(W523))),"",W523*$D$3^2/(2*$H$3))</f>
        <v/>
      </c>
      <c r="AH523" s="20" t="str">
        <f aca="false">IF(OR(W523="",NOT(ISNUMBER(W523))),"",W523*$D$3^2/2*$F$3)</f>
        <v/>
      </c>
    </row>
    <row r="524" customFormat="false" ht="15" hidden="false" customHeight="false" outlineLevel="0" collapsed="false">
      <c r="A524" s="10" t="s">
        <v>1149</v>
      </c>
      <c r="B524" s="22" t="s">
        <v>924</v>
      </c>
      <c r="C524" s="6" t="s">
        <v>925</v>
      </c>
      <c r="D524" s="6" t="s">
        <v>1150</v>
      </c>
      <c r="E524" s="6" t="s">
        <v>1115</v>
      </c>
      <c r="F524" s="6" t="s">
        <v>247</v>
      </c>
      <c r="G524" s="6" t="n">
        <v>110</v>
      </c>
      <c r="H524" s="6" t="n">
        <v>63</v>
      </c>
      <c r="I524" s="6"/>
      <c r="J524" s="6" t="n">
        <v>16</v>
      </c>
      <c r="K524" s="6" t="s">
        <v>928</v>
      </c>
      <c r="L524" s="6"/>
      <c r="M524" s="6"/>
      <c r="N524" s="12" t="n">
        <v>90</v>
      </c>
      <c r="O524" s="12" t="n">
        <v>51.4</v>
      </c>
      <c r="P524" s="12"/>
      <c r="Q524" s="12"/>
      <c r="R524" s="14" t="n">
        <v>0.017</v>
      </c>
      <c r="S524" s="6" t="n">
        <v>20</v>
      </c>
      <c r="T524" s="6"/>
      <c r="U524" s="15" t="n">
        <f aca="false">20*R524</f>
        <v>0.34</v>
      </c>
      <c r="V524" s="15" t="n">
        <f aca="false">60*R524+0.5*(1-(O524/N524)^2)</f>
        <v>1.35691604938272</v>
      </c>
      <c r="W524" s="14"/>
      <c r="X524" s="10" t="s">
        <v>1116</v>
      </c>
      <c r="Y524" s="16"/>
      <c r="Z524" s="17" t="s">
        <v>48</v>
      </c>
      <c r="AA524" s="6"/>
      <c r="AB524" s="18" t="n">
        <f aca="false">IF(O524="","",$D$3*PI()*(O524/1000)^2/4*3600)</f>
        <v>11.2049488715554</v>
      </c>
      <c r="AC524" s="19" t="n">
        <f aca="false">IF(OR(U524="",NOT(ISNUMBER(U524))),"",U524*$D$3^2/(2*$H$3))</f>
        <v>0.0389908256880734</v>
      </c>
      <c r="AD524" s="20" t="n">
        <f aca="false">IF(OR(U524="",NOT(ISNUMBER(U524))),"",U524*$D$3^2/2*$F$3)</f>
        <v>382.5</v>
      </c>
      <c r="AE524" s="19" t="n">
        <f aca="false">IF(OR(V524="",NOT(ISNUMBER(V524))),"",V524*$D$3^2/(2*$H$3))</f>
        <v>0.155609638690678</v>
      </c>
      <c r="AF524" s="20" t="n">
        <f aca="false">IF(OR(V524="",NOT(ISNUMBER(V524))),"",V524*$D$3^2/2*$F$3)</f>
        <v>1526.53055555556</v>
      </c>
      <c r="AG524" s="19" t="str">
        <f aca="false">IF(OR(W524="",NOT(ISNUMBER(W524))),"",W524*$D$3^2/(2*$H$3))</f>
        <v/>
      </c>
      <c r="AH524" s="20" t="str">
        <f aca="false">IF(OR(W524="",NOT(ISNUMBER(W524))),"",W524*$D$3^2/2*$F$3)</f>
        <v/>
      </c>
    </row>
    <row r="525" customFormat="false" ht="15" hidden="false" customHeight="false" outlineLevel="0" collapsed="false">
      <c r="A525" s="10" t="s">
        <v>1151</v>
      </c>
      <c r="B525" s="22" t="s">
        <v>924</v>
      </c>
      <c r="C525" s="6" t="s">
        <v>925</v>
      </c>
      <c r="D525" s="6" t="s">
        <v>1152</v>
      </c>
      <c r="E525" s="6" t="s">
        <v>1115</v>
      </c>
      <c r="F525" s="6" t="s">
        <v>247</v>
      </c>
      <c r="G525" s="6" t="n">
        <v>110</v>
      </c>
      <c r="H525" s="6" t="n">
        <v>75</v>
      </c>
      <c r="I525" s="6"/>
      <c r="J525" s="6" t="n">
        <v>16</v>
      </c>
      <c r="K525" s="6" t="s">
        <v>928</v>
      </c>
      <c r="L525" s="6"/>
      <c r="M525" s="6"/>
      <c r="N525" s="12" t="n">
        <v>90</v>
      </c>
      <c r="O525" s="12" t="n">
        <v>61.4</v>
      </c>
      <c r="P525" s="12"/>
      <c r="Q525" s="12"/>
      <c r="R525" s="14" t="n">
        <v>0.017</v>
      </c>
      <c r="S525" s="6" t="n">
        <v>20</v>
      </c>
      <c r="T525" s="6"/>
      <c r="U525" s="15" t="n">
        <f aca="false">20*R525</f>
        <v>0.34</v>
      </c>
      <c r="V525" s="15" t="n">
        <f aca="false">60*R525+0.5*(1-(O525/N525)^2)</f>
        <v>1.28728641975309</v>
      </c>
      <c r="W525" s="14"/>
      <c r="X525" s="10" t="s">
        <v>1116</v>
      </c>
      <c r="Y525" s="16"/>
      <c r="Z525" s="17" t="s">
        <v>48</v>
      </c>
      <c r="AA525" s="6"/>
      <c r="AB525" s="18" t="n">
        <f aca="false">IF(O525="","",$D$3*PI()*(O525/1000)^2/4*3600)</f>
        <v>15.988966164442</v>
      </c>
      <c r="AC525" s="19" t="n">
        <f aca="false">IF(OR(U525="",NOT(ISNUMBER(U525))),"",U525*$D$3^2/(2*$H$3))</f>
        <v>0.0389908256880734</v>
      </c>
      <c r="AD525" s="20" t="n">
        <f aca="false">IF(OR(U525="",NOT(ISNUMBER(U525))),"",U525*$D$3^2/2*$F$3)</f>
        <v>382.5</v>
      </c>
      <c r="AE525" s="19" t="n">
        <f aca="false">IF(OR(V525="",NOT(ISNUMBER(V525))),"",V525*$D$3^2/(2*$H$3))</f>
        <v>0.147624589421226</v>
      </c>
      <c r="AF525" s="20" t="n">
        <f aca="false">IF(OR(V525="",NOT(ISNUMBER(V525))),"",V525*$D$3^2/2*$F$3)</f>
        <v>1448.19722222222</v>
      </c>
      <c r="AG525" s="19" t="str">
        <f aca="false">IF(OR(W525="",NOT(ISNUMBER(W525))),"",W525*$D$3^2/(2*$H$3))</f>
        <v/>
      </c>
      <c r="AH525" s="20" t="str">
        <f aca="false">IF(OR(W525="",NOT(ISNUMBER(W525))),"",W525*$D$3^2/2*$F$3)</f>
        <v/>
      </c>
    </row>
    <row r="526" customFormat="false" ht="15" hidden="false" customHeight="false" outlineLevel="0" collapsed="false">
      <c r="A526" s="10" t="s">
        <v>1153</v>
      </c>
      <c r="B526" s="22" t="s">
        <v>924</v>
      </c>
      <c r="C526" s="6" t="s">
        <v>925</v>
      </c>
      <c r="D526" s="6" t="s">
        <v>1154</v>
      </c>
      <c r="E526" s="6" t="s">
        <v>1115</v>
      </c>
      <c r="F526" s="6" t="s">
        <v>247</v>
      </c>
      <c r="G526" s="6" t="n">
        <v>110</v>
      </c>
      <c r="H526" s="6" t="n">
        <v>90</v>
      </c>
      <c r="I526" s="6"/>
      <c r="J526" s="6" t="n">
        <v>16</v>
      </c>
      <c r="K526" s="6" t="s">
        <v>928</v>
      </c>
      <c r="L526" s="6"/>
      <c r="M526" s="6"/>
      <c r="N526" s="12" t="n">
        <v>90</v>
      </c>
      <c r="O526" s="12" t="n">
        <v>73.6</v>
      </c>
      <c r="P526" s="12"/>
      <c r="Q526" s="12"/>
      <c r="R526" s="14" t="n">
        <v>0.017</v>
      </c>
      <c r="S526" s="6" t="n">
        <v>20</v>
      </c>
      <c r="T526" s="6"/>
      <c r="U526" s="15" t="n">
        <f aca="false">20*R526</f>
        <v>0.34</v>
      </c>
      <c r="V526" s="15" t="n">
        <f aca="false">60*R526+0.5*(1-(O526/N526)^2)</f>
        <v>1.18561975308642</v>
      </c>
      <c r="W526" s="14"/>
      <c r="X526" s="10" t="s">
        <v>1116</v>
      </c>
      <c r="Y526" s="16"/>
      <c r="Z526" s="17" t="s">
        <v>48</v>
      </c>
      <c r="AA526" s="6"/>
      <c r="AB526" s="18" t="n">
        <f aca="false">IF(O526="","",$D$3*PI()*(O526/1000)^2/4*3600)</f>
        <v>22.9741403500662</v>
      </c>
      <c r="AC526" s="19" t="n">
        <f aca="false">IF(OR(U526="",NOT(ISNUMBER(U526))),"",U526*$D$3^2/(2*$H$3))</f>
        <v>0.0389908256880734</v>
      </c>
      <c r="AD526" s="20" t="n">
        <f aca="false">IF(OR(U526="",NOT(ISNUMBER(U526))),"",U526*$D$3^2/2*$F$3)</f>
        <v>382.5</v>
      </c>
      <c r="AE526" s="19" t="n">
        <f aca="false">IF(OR(V526="",NOT(ISNUMBER(V526))),"",V526*$D$3^2/(2*$H$3))</f>
        <v>0.135965568014498</v>
      </c>
      <c r="AF526" s="20" t="n">
        <f aca="false">IF(OR(V526="",NOT(ISNUMBER(V526))),"",V526*$D$3^2/2*$F$3)</f>
        <v>1333.82222222222</v>
      </c>
      <c r="AG526" s="19" t="str">
        <f aca="false">IF(OR(W526="",NOT(ISNUMBER(W526))),"",W526*$D$3^2/(2*$H$3))</f>
        <v/>
      </c>
      <c r="AH526" s="20" t="str">
        <f aca="false">IF(OR(W526="",NOT(ISNUMBER(W526))),"",W526*$D$3^2/2*$F$3)</f>
        <v/>
      </c>
    </row>
    <row r="527" customFormat="false" ht="15" hidden="false" customHeight="false" outlineLevel="0" collapsed="false">
      <c r="A527" s="10" t="s">
        <v>1155</v>
      </c>
      <c r="B527" s="22" t="s">
        <v>924</v>
      </c>
      <c r="C527" s="6" t="s">
        <v>925</v>
      </c>
      <c r="D527" s="6" t="s">
        <v>1156</v>
      </c>
      <c r="E527" s="6" t="s">
        <v>1115</v>
      </c>
      <c r="F527" s="6" t="s">
        <v>247</v>
      </c>
      <c r="G527" s="6" t="n">
        <v>125</v>
      </c>
      <c r="H527" s="6" t="n">
        <v>63</v>
      </c>
      <c r="I527" s="6"/>
      <c r="J527" s="6" t="n">
        <v>16</v>
      </c>
      <c r="K527" s="6" t="s">
        <v>928</v>
      </c>
      <c r="L527" s="6"/>
      <c r="M527" s="6"/>
      <c r="N527" s="12" t="n">
        <v>102.2</v>
      </c>
      <c r="O527" s="12" t="n">
        <v>51.4</v>
      </c>
      <c r="P527" s="12"/>
      <c r="Q527" s="12"/>
      <c r="R527" s="14" t="n">
        <v>0.016</v>
      </c>
      <c r="S527" s="6" t="n">
        <v>20</v>
      </c>
      <c r="T527" s="6"/>
      <c r="U527" s="15" t="n">
        <f aca="false">20*R527</f>
        <v>0.32</v>
      </c>
      <c r="V527" s="15" t="n">
        <f aca="false">60*R527+0.5*(1-(O527/N527)^2)</f>
        <v>1.33352798128071</v>
      </c>
      <c r="W527" s="14"/>
      <c r="X527" s="10" t="s">
        <v>1116</v>
      </c>
      <c r="Y527" s="16"/>
      <c r="Z527" s="17" t="s">
        <v>48</v>
      </c>
      <c r="AA527" s="6"/>
      <c r="AB527" s="18" t="n">
        <f aca="false">IF(O527="","",$D$3*PI()*(O527/1000)^2/4*3600)</f>
        <v>11.2049488715554</v>
      </c>
      <c r="AC527" s="19" t="n">
        <f aca="false">IF(OR(U527="",NOT(ISNUMBER(U527))),"",U527*$D$3^2/(2*$H$3))</f>
        <v>0.036697247706422</v>
      </c>
      <c r="AD527" s="20" t="n">
        <f aca="false">IF(OR(U527="",NOT(ISNUMBER(U527))),"",U527*$D$3^2/2*$F$3)</f>
        <v>360</v>
      </c>
      <c r="AE527" s="19" t="n">
        <f aca="false">IF(OR(V527="",NOT(ISNUMBER(V527))),"",V527*$D$3^2/(2*$H$3))</f>
        <v>0.152927520789072</v>
      </c>
      <c r="AF527" s="20" t="n">
        <f aca="false">IF(OR(V527="",NOT(ISNUMBER(V527))),"",V527*$D$3^2/2*$F$3)</f>
        <v>1500.2189789408</v>
      </c>
      <c r="AG527" s="19" t="str">
        <f aca="false">IF(OR(W527="",NOT(ISNUMBER(W527))),"",W527*$D$3^2/(2*$H$3))</f>
        <v/>
      </c>
      <c r="AH527" s="20" t="str">
        <f aca="false">IF(OR(W527="",NOT(ISNUMBER(W527))),"",W527*$D$3^2/2*$F$3)</f>
        <v/>
      </c>
    </row>
    <row r="528" customFormat="false" ht="15" hidden="false" customHeight="false" outlineLevel="0" collapsed="false">
      <c r="A528" s="10" t="s">
        <v>1157</v>
      </c>
      <c r="B528" s="22" t="s">
        <v>924</v>
      </c>
      <c r="C528" s="6" t="s">
        <v>925</v>
      </c>
      <c r="D528" s="6" t="s">
        <v>1158</v>
      </c>
      <c r="E528" s="6" t="s">
        <v>1115</v>
      </c>
      <c r="F528" s="6" t="s">
        <v>247</v>
      </c>
      <c r="G528" s="6" t="n">
        <v>125</v>
      </c>
      <c r="H528" s="6" t="n">
        <v>90</v>
      </c>
      <c r="I528" s="6"/>
      <c r="J528" s="6" t="n">
        <v>16</v>
      </c>
      <c r="K528" s="6" t="s">
        <v>928</v>
      </c>
      <c r="L528" s="6"/>
      <c r="M528" s="6"/>
      <c r="N528" s="12" t="n">
        <v>102.2</v>
      </c>
      <c r="O528" s="12" t="n">
        <v>73.6</v>
      </c>
      <c r="P528" s="12"/>
      <c r="Q528" s="12"/>
      <c r="R528" s="14" t="n">
        <v>0.016</v>
      </c>
      <c r="S528" s="6" t="n">
        <v>20</v>
      </c>
      <c r="T528" s="6"/>
      <c r="U528" s="15" t="n">
        <f aca="false">20*R528</f>
        <v>0.32</v>
      </c>
      <c r="V528" s="15" t="n">
        <f aca="false">60*R528+0.5*(1-(O528/N528)^2)</f>
        <v>1.20068726758859</v>
      </c>
      <c r="W528" s="14"/>
      <c r="X528" s="10" t="s">
        <v>1116</v>
      </c>
      <c r="Y528" s="16"/>
      <c r="Z528" s="17" t="s">
        <v>48</v>
      </c>
      <c r="AA528" s="6"/>
      <c r="AB528" s="18" t="n">
        <f aca="false">IF(O528="","",$D$3*PI()*(O528/1000)^2/4*3600)</f>
        <v>22.9741403500662</v>
      </c>
      <c r="AC528" s="19" t="n">
        <f aca="false">IF(OR(U528="",NOT(ISNUMBER(U528))),"",U528*$D$3^2/(2*$H$3))</f>
        <v>0.036697247706422</v>
      </c>
      <c r="AD528" s="20" t="n">
        <f aca="false">IF(OR(U528="",NOT(ISNUMBER(U528))),"",U528*$D$3^2/2*$F$3)</f>
        <v>360</v>
      </c>
      <c r="AE528" s="19" t="n">
        <f aca="false">IF(OR(V528="",NOT(ISNUMBER(V528))),"",V528*$D$3^2/(2*$H$3))</f>
        <v>0.137693493989517</v>
      </c>
      <c r="AF528" s="20" t="n">
        <f aca="false">IF(OR(V528="",NOT(ISNUMBER(V528))),"",V528*$D$3^2/2*$F$3)</f>
        <v>1350.77317603716</v>
      </c>
      <c r="AG528" s="19" t="str">
        <f aca="false">IF(OR(W528="",NOT(ISNUMBER(W528))),"",W528*$D$3^2/(2*$H$3))</f>
        <v/>
      </c>
      <c r="AH528" s="20" t="str">
        <f aca="false">IF(OR(W528="",NOT(ISNUMBER(W528))),"",W528*$D$3^2/2*$F$3)</f>
        <v/>
      </c>
    </row>
    <row r="529" customFormat="false" ht="15" hidden="false" customHeight="false" outlineLevel="0" collapsed="false">
      <c r="A529" s="10" t="s">
        <v>1159</v>
      </c>
      <c r="B529" s="22" t="s">
        <v>924</v>
      </c>
      <c r="C529" s="6" t="s">
        <v>925</v>
      </c>
      <c r="D529" s="6" t="s">
        <v>1160</v>
      </c>
      <c r="E529" s="6" t="s">
        <v>1115</v>
      </c>
      <c r="F529" s="6" t="s">
        <v>247</v>
      </c>
      <c r="G529" s="6" t="n">
        <v>125</v>
      </c>
      <c r="H529" s="6" t="n">
        <v>110</v>
      </c>
      <c r="I529" s="6"/>
      <c r="J529" s="6" t="n">
        <v>16</v>
      </c>
      <c r="K529" s="6" t="s">
        <v>928</v>
      </c>
      <c r="L529" s="6"/>
      <c r="M529" s="6"/>
      <c r="N529" s="12" t="n">
        <v>102.2</v>
      </c>
      <c r="O529" s="12" t="n">
        <v>90</v>
      </c>
      <c r="P529" s="12"/>
      <c r="Q529" s="12"/>
      <c r="R529" s="14" t="n">
        <v>0.016</v>
      </c>
      <c r="S529" s="6" t="n">
        <v>20</v>
      </c>
      <c r="T529" s="6"/>
      <c r="U529" s="15" t="n">
        <f aca="false">20*R529</f>
        <v>0.32</v>
      </c>
      <c r="V529" s="15" t="n">
        <f aca="false">60*R529+0.5*(1-(O529/N529)^2)</f>
        <v>1.07224872760138</v>
      </c>
      <c r="W529" s="14"/>
      <c r="X529" s="10" t="s">
        <v>1116</v>
      </c>
      <c r="Y529" s="16"/>
      <c r="Z529" s="17" t="s">
        <v>48</v>
      </c>
      <c r="AA529" s="6"/>
      <c r="AB529" s="18" t="n">
        <f aca="false">IF(O529="","",$D$3*PI()*(O529/1000)^2/4*3600)</f>
        <v>34.3533156670044</v>
      </c>
      <c r="AC529" s="19" t="n">
        <f aca="false">IF(OR(U529="",NOT(ISNUMBER(U529))),"",U529*$D$3^2/(2*$H$3))</f>
        <v>0.036697247706422</v>
      </c>
      <c r="AD529" s="20" t="n">
        <f aca="false">IF(OR(U529="",NOT(ISNUMBER(U529))),"",U529*$D$3^2/2*$F$3)</f>
        <v>360</v>
      </c>
      <c r="AE529" s="19" t="n">
        <f aca="false">IF(OR(V529="",NOT(ISNUMBER(V529))),"",V529*$D$3^2/(2*$H$3))</f>
        <v>0.122964303624011</v>
      </c>
      <c r="AF529" s="20" t="n">
        <f aca="false">IF(OR(V529="",NOT(ISNUMBER(V529))),"",V529*$D$3^2/2*$F$3)</f>
        <v>1206.27981855155</v>
      </c>
      <c r="AG529" s="19" t="str">
        <f aca="false">IF(OR(W529="",NOT(ISNUMBER(W529))),"",W529*$D$3^2/(2*$H$3))</f>
        <v/>
      </c>
      <c r="AH529" s="20" t="str">
        <f aca="false">IF(OR(W529="",NOT(ISNUMBER(W529))),"",W529*$D$3^2/2*$F$3)</f>
        <v/>
      </c>
    </row>
    <row r="530" customFormat="false" ht="15" hidden="false" customHeight="false" outlineLevel="0" collapsed="false">
      <c r="A530" s="10" t="s">
        <v>1161</v>
      </c>
      <c r="B530" s="22" t="s">
        <v>924</v>
      </c>
      <c r="C530" s="6" t="s">
        <v>925</v>
      </c>
      <c r="D530" s="6" t="s">
        <v>1162</v>
      </c>
      <c r="E530" s="6" t="s">
        <v>1115</v>
      </c>
      <c r="F530" s="6" t="s">
        <v>247</v>
      </c>
      <c r="G530" s="6" t="n">
        <v>160</v>
      </c>
      <c r="H530" s="6" t="n">
        <v>63</v>
      </c>
      <c r="I530" s="6"/>
      <c r="J530" s="6" t="n">
        <v>16</v>
      </c>
      <c r="K530" s="6" t="s">
        <v>928</v>
      </c>
      <c r="L530" s="6"/>
      <c r="M530" s="6"/>
      <c r="N530" s="12" t="n">
        <v>130.8</v>
      </c>
      <c r="O530" s="12" t="n">
        <v>51.4</v>
      </c>
      <c r="P530" s="12"/>
      <c r="Q530" s="12"/>
      <c r="R530" s="14" t="n">
        <v>0.015</v>
      </c>
      <c r="S530" s="6" t="n">
        <v>20</v>
      </c>
      <c r="T530" s="6"/>
      <c r="U530" s="15" t="n">
        <f aca="false">20*R530</f>
        <v>0.3</v>
      </c>
      <c r="V530" s="15" t="n">
        <f aca="false">60*R530+0.5*(1-(O530/N530)^2)</f>
        <v>1.32278871961769</v>
      </c>
      <c r="W530" s="14"/>
      <c r="X530" s="10" t="s">
        <v>1116</v>
      </c>
      <c r="Y530" s="16"/>
      <c r="Z530" s="17" t="s">
        <v>48</v>
      </c>
      <c r="AA530" s="6"/>
      <c r="AB530" s="18" t="n">
        <f aca="false">IF(O530="","",$D$3*PI()*(O530/1000)^2/4*3600)</f>
        <v>11.2049488715554</v>
      </c>
      <c r="AC530" s="19" t="n">
        <f aca="false">IF(OR(U530="",NOT(ISNUMBER(U530))),"",U530*$D$3^2/(2*$H$3))</f>
        <v>0.0344036697247706</v>
      </c>
      <c r="AD530" s="20" t="n">
        <f aca="false">IF(OR(U530="",NOT(ISNUMBER(U530))),"",U530*$D$3^2/2*$F$3)</f>
        <v>337.5</v>
      </c>
      <c r="AE530" s="19" t="n">
        <f aca="false">IF(OR(V530="",NOT(ISNUMBER(V530))),"",V530*$D$3^2/(2*$H$3))</f>
        <v>0.151695954084598</v>
      </c>
      <c r="AF530" s="20" t="n">
        <f aca="false">IF(OR(V530="",NOT(ISNUMBER(V530))),"",V530*$D$3^2/2*$F$3)</f>
        <v>1488.1373095699</v>
      </c>
      <c r="AG530" s="19" t="str">
        <f aca="false">IF(OR(W530="",NOT(ISNUMBER(W530))),"",W530*$D$3^2/(2*$H$3))</f>
        <v/>
      </c>
      <c r="AH530" s="20" t="str">
        <f aca="false">IF(OR(W530="",NOT(ISNUMBER(W530))),"",W530*$D$3^2/2*$F$3)</f>
        <v/>
      </c>
    </row>
    <row r="531" customFormat="false" ht="15" hidden="false" customHeight="false" outlineLevel="0" collapsed="false">
      <c r="A531" s="10" t="s">
        <v>1163</v>
      </c>
      <c r="B531" s="22" t="s">
        <v>924</v>
      </c>
      <c r="C531" s="6" t="s">
        <v>925</v>
      </c>
      <c r="D531" s="6" t="s">
        <v>1164</v>
      </c>
      <c r="E531" s="6" t="s">
        <v>1115</v>
      </c>
      <c r="F531" s="6" t="s">
        <v>247</v>
      </c>
      <c r="G531" s="6" t="n">
        <v>160</v>
      </c>
      <c r="H531" s="6" t="n">
        <v>90</v>
      </c>
      <c r="I531" s="6"/>
      <c r="J531" s="6" t="n">
        <v>16</v>
      </c>
      <c r="K531" s="6" t="s">
        <v>928</v>
      </c>
      <c r="L531" s="6"/>
      <c r="M531" s="6"/>
      <c r="N531" s="12" t="n">
        <v>130.8</v>
      </c>
      <c r="O531" s="12" t="n">
        <v>73.6</v>
      </c>
      <c r="P531" s="12"/>
      <c r="Q531" s="12"/>
      <c r="R531" s="14" t="n">
        <v>0.015</v>
      </c>
      <c r="S531" s="6" t="n">
        <v>20</v>
      </c>
      <c r="T531" s="6"/>
      <c r="U531" s="15" t="n">
        <f aca="false">20*R531</f>
        <v>0.3</v>
      </c>
      <c r="V531" s="15" t="n">
        <f aca="false">60*R531+0.5*(1-(O531/N531)^2)</f>
        <v>1.24168934526649</v>
      </c>
      <c r="W531" s="14"/>
      <c r="X531" s="10" t="s">
        <v>1116</v>
      </c>
      <c r="Y531" s="16"/>
      <c r="Z531" s="17" t="s">
        <v>48</v>
      </c>
      <c r="AA531" s="6"/>
      <c r="AB531" s="18" t="n">
        <f aca="false">IF(O531="","",$D$3*PI()*(O531/1000)^2/4*3600)</f>
        <v>22.9741403500662</v>
      </c>
      <c r="AC531" s="19" t="n">
        <f aca="false">IF(OR(U531="",NOT(ISNUMBER(U531))),"",U531*$D$3^2/(2*$H$3))</f>
        <v>0.0344036697247706</v>
      </c>
      <c r="AD531" s="20" t="n">
        <f aca="false">IF(OR(U531="",NOT(ISNUMBER(U531))),"",U531*$D$3^2/2*$F$3)</f>
        <v>337.5</v>
      </c>
      <c r="AE531" s="19" t="n">
        <f aca="false">IF(OR(V531="",NOT(ISNUMBER(V531))),"",V531*$D$3^2/(2*$H$3))</f>
        <v>0.142395567117716</v>
      </c>
      <c r="AF531" s="20" t="n">
        <f aca="false">IF(OR(V531="",NOT(ISNUMBER(V531))),"",V531*$D$3^2/2*$F$3)</f>
        <v>1396.9005134248</v>
      </c>
      <c r="AG531" s="19" t="str">
        <f aca="false">IF(OR(W531="",NOT(ISNUMBER(W531))),"",W531*$D$3^2/(2*$H$3))</f>
        <v/>
      </c>
      <c r="AH531" s="20" t="str">
        <f aca="false">IF(OR(W531="",NOT(ISNUMBER(W531))),"",W531*$D$3^2/2*$F$3)</f>
        <v/>
      </c>
    </row>
    <row r="532" customFormat="false" ht="15" hidden="false" customHeight="false" outlineLevel="0" collapsed="false">
      <c r="A532" s="10" t="s">
        <v>1165</v>
      </c>
      <c r="B532" s="22" t="s">
        <v>924</v>
      </c>
      <c r="C532" s="6" t="s">
        <v>925</v>
      </c>
      <c r="D532" s="6" t="s">
        <v>1166</v>
      </c>
      <c r="E532" s="6" t="s">
        <v>1115</v>
      </c>
      <c r="F532" s="6" t="s">
        <v>247</v>
      </c>
      <c r="G532" s="6" t="n">
        <v>160</v>
      </c>
      <c r="H532" s="6" t="n">
        <v>110</v>
      </c>
      <c r="I532" s="6"/>
      <c r="J532" s="6" t="n">
        <v>16</v>
      </c>
      <c r="K532" s="6" t="s">
        <v>928</v>
      </c>
      <c r="L532" s="6"/>
      <c r="M532" s="6"/>
      <c r="N532" s="12" t="n">
        <v>130.8</v>
      </c>
      <c r="O532" s="12" t="n">
        <v>90</v>
      </c>
      <c r="P532" s="12"/>
      <c r="Q532" s="12"/>
      <c r="R532" s="14" t="n">
        <v>0.015</v>
      </c>
      <c r="S532" s="6" t="n">
        <v>20</v>
      </c>
      <c r="T532" s="6"/>
      <c r="U532" s="15" t="n">
        <f aca="false">20*R532</f>
        <v>0.3</v>
      </c>
      <c r="V532" s="15" t="n">
        <f aca="false">60*R532+0.5*(1-(O532/N532)^2)</f>
        <v>1.16327750189378</v>
      </c>
      <c r="W532" s="14"/>
      <c r="X532" s="10" t="s">
        <v>1116</v>
      </c>
      <c r="Y532" s="16"/>
      <c r="Z532" s="17" t="s">
        <v>48</v>
      </c>
      <c r="AA532" s="6"/>
      <c r="AB532" s="18" t="n">
        <f aca="false">IF(O532="","",$D$3*PI()*(O532/1000)^2/4*3600)</f>
        <v>34.3533156670044</v>
      </c>
      <c r="AC532" s="19" t="n">
        <f aca="false">IF(OR(U532="",NOT(ISNUMBER(U532))),"",U532*$D$3^2/(2*$H$3))</f>
        <v>0.0344036697247706</v>
      </c>
      <c r="AD532" s="20" t="n">
        <f aca="false">IF(OR(U532="",NOT(ISNUMBER(U532))),"",U532*$D$3^2/2*$F$3)</f>
        <v>337.5</v>
      </c>
      <c r="AE532" s="19" t="n">
        <f aca="false">IF(OR(V532="",NOT(ISNUMBER(V532))),"",V532*$D$3^2/(2*$H$3))</f>
        <v>0.1334033832447</v>
      </c>
      <c r="AF532" s="20" t="n">
        <f aca="false">IF(OR(V532="",NOT(ISNUMBER(V532))),"",V532*$D$3^2/2*$F$3)</f>
        <v>1308.6871896305</v>
      </c>
      <c r="AG532" s="19" t="str">
        <f aca="false">IF(OR(W532="",NOT(ISNUMBER(W532))),"",W532*$D$3^2/(2*$H$3))</f>
        <v/>
      </c>
      <c r="AH532" s="20" t="str">
        <f aca="false">IF(OR(W532="",NOT(ISNUMBER(W532))),"",W532*$D$3^2/2*$F$3)</f>
        <v/>
      </c>
    </row>
    <row r="533" customFormat="false" ht="15" hidden="false" customHeight="false" outlineLevel="0" collapsed="false">
      <c r="A533" s="10" t="s">
        <v>1167</v>
      </c>
      <c r="B533" s="22" t="s">
        <v>924</v>
      </c>
      <c r="C533" s="6" t="s">
        <v>925</v>
      </c>
      <c r="D533" s="6" t="s">
        <v>1168</v>
      </c>
      <c r="E533" s="6" t="s">
        <v>1115</v>
      </c>
      <c r="F533" s="6" t="s">
        <v>247</v>
      </c>
      <c r="G533" s="6" t="n">
        <v>160</v>
      </c>
      <c r="H533" s="6" t="n">
        <v>125</v>
      </c>
      <c r="I533" s="6"/>
      <c r="J533" s="6" t="n">
        <v>16</v>
      </c>
      <c r="K533" s="6" t="s">
        <v>928</v>
      </c>
      <c r="L533" s="6"/>
      <c r="M533" s="6"/>
      <c r="N533" s="12" t="n">
        <v>130.8</v>
      </c>
      <c r="O533" s="12" t="n">
        <v>102.2</v>
      </c>
      <c r="P533" s="12"/>
      <c r="Q533" s="12"/>
      <c r="R533" s="14" t="n">
        <v>0.015</v>
      </c>
      <c r="S533" s="6" t="n">
        <v>20</v>
      </c>
      <c r="T533" s="6"/>
      <c r="U533" s="15" t="n">
        <f aca="false">20*R533</f>
        <v>0.3</v>
      </c>
      <c r="V533" s="15" t="n">
        <f aca="false">60*R533+0.5*(1-(O533/N533)^2)</f>
        <v>1.094749553442</v>
      </c>
      <c r="W533" s="14"/>
      <c r="X533" s="10" t="s">
        <v>1116</v>
      </c>
      <c r="Y533" s="16"/>
      <c r="Z533" s="17" t="s">
        <v>48</v>
      </c>
      <c r="AA533" s="6"/>
      <c r="AB533" s="18" t="n">
        <f aca="false">IF(O533="","",$D$3*PI()*(O533/1000)^2/4*3600)</f>
        <v>44.2981340260931</v>
      </c>
      <c r="AC533" s="19" t="n">
        <f aca="false">IF(OR(U533="",NOT(ISNUMBER(U533))),"",U533*$D$3^2/(2*$H$3))</f>
        <v>0.0344036697247706</v>
      </c>
      <c r="AD533" s="20" t="n">
        <f aca="false">IF(OR(U533="",NOT(ISNUMBER(U533))),"",U533*$D$3^2/2*$F$3)</f>
        <v>337.5</v>
      </c>
      <c r="AE533" s="19" t="n">
        <f aca="false">IF(OR(V533="",NOT(ISNUMBER(V533))),"",V533*$D$3^2/(2*$H$3))</f>
        <v>0.125544673559863</v>
      </c>
      <c r="AF533" s="20" t="n">
        <f aca="false">IF(OR(V533="",NOT(ISNUMBER(V533))),"",V533*$D$3^2/2*$F$3)</f>
        <v>1231.59324762225</v>
      </c>
      <c r="AG533" s="19" t="str">
        <f aca="false">IF(OR(W533="",NOT(ISNUMBER(W533))),"",W533*$D$3^2/(2*$H$3))</f>
        <v/>
      </c>
      <c r="AH533" s="20" t="str">
        <f aca="false">IF(OR(W533="",NOT(ISNUMBER(W533))),"",W533*$D$3^2/2*$F$3)</f>
        <v/>
      </c>
    </row>
    <row r="534" customFormat="false" ht="15" hidden="false" customHeight="false" outlineLevel="0" collapsed="false">
      <c r="A534" s="10" t="s">
        <v>1169</v>
      </c>
      <c r="B534" s="22" t="s">
        <v>924</v>
      </c>
      <c r="C534" s="6" t="s">
        <v>925</v>
      </c>
      <c r="D534" s="6" t="s">
        <v>1170</v>
      </c>
      <c r="E534" s="6" t="s">
        <v>1115</v>
      </c>
      <c r="F534" s="6" t="s">
        <v>247</v>
      </c>
      <c r="G534" s="6" t="n">
        <v>200</v>
      </c>
      <c r="H534" s="6" t="n">
        <v>90</v>
      </c>
      <c r="I534" s="6"/>
      <c r="J534" s="6" t="n">
        <v>16</v>
      </c>
      <c r="K534" s="6" t="s">
        <v>928</v>
      </c>
      <c r="L534" s="6"/>
      <c r="M534" s="6"/>
      <c r="N534" s="12" t="n">
        <v>163.6</v>
      </c>
      <c r="O534" s="12" t="n">
        <v>73.6</v>
      </c>
      <c r="P534" s="12"/>
      <c r="Q534" s="12"/>
      <c r="R534" s="14" t="n">
        <v>0.014</v>
      </c>
      <c r="S534" s="6" t="n">
        <v>20</v>
      </c>
      <c r="T534" s="6"/>
      <c r="U534" s="15" t="n">
        <f aca="false">20*R534</f>
        <v>0.28</v>
      </c>
      <c r="V534" s="15" t="n">
        <f aca="false">60*R534+0.5*(1-(O534/N534)^2)</f>
        <v>1.23880500475248</v>
      </c>
      <c r="W534" s="14"/>
      <c r="X534" s="10" t="s">
        <v>1116</v>
      </c>
      <c r="Y534" s="16"/>
      <c r="Z534" s="17" t="s">
        <v>48</v>
      </c>
      <c r="AA534" s="6"/>
      <c r="AB534" s="18" t="n">
        <f aca="false">IF(O534="","",$D$3*PI()*(O534/1000)^2/4*3600)</f>
        <v>22.9741403500662</v>
      </c>
      <c r="AC534" s="19" t="n">
        <f aca="false">IF(OR(U534="",NOT(ISNUMBER(U534))),"",U534*$D$3^2/(2*$H$3))</f>
        <v>0.0321100917431193</v>
      </c>
      <c r="AD534" s="20" t="n">
        <f aca="false">IF(OR(U534="",NOT(ISNUMBER(U534))),"",U534*$D$3^2/2*$F$3)</f>
        <v>315</v>
      </c>
      <c r="AE534" s="19" t="n">
        <f aca="false">IF(OR(V534="",NOT(ISNUMBER(V534))),"",V534*$D$3^2/(2*$H$3))</f>
        <v>0.142064794122991</v>
      </c>
      <c r="AF534" s="20" t="n">
        <f aca="false">IF(OR(V534="",NOT(ISNUMBER(V534))),"",V534*$D$3^2/2*$F$3)</f>
        <v>1393.65563034654</v>
      </c>
      <c r="AG534" s="19" t="str">
        <f aca="false">IF(OR(W534="",NOT(ISNUMBER(W534))),"",W534*$D$3^2/(2*$H$3))</f>
        <v/>
      </c>
      <c r="AH534" s="20" t="str">
        <f aca="false">IF(OR(W534="",NOT(ISNUMBER(W534))),"",W534*$D$3^2/2*$F$3)</f>
        <v/>
      </c>
    </row>
    <row r="535" customFormat="false" ht="15" hidden="false" customHeight="false" outlineLevel="0" collapsed="false">
      <c r="A535" s="10" t="s">
        <v>1171</v>
      </c>
      <c r="B535" s="22" t="s">
        <v>924</v>
      </c>
      <c r="C535" s="6" t="s">
        <v>925</v>
      </c>
      <c r="D535" s="6" t="s">
        <v>1172</v>
      </c>
      <c r="E535" s="6" t="s">
        <v>1115</v>
      </c>
      <c r="F535" s="6" t="s">
        <v>247</v>
      </c>
      <c r="G535" s="6" t="n">
        <v>200</v>
      </c>
      <c r="H535" s="6" t="n">
        <v>110</v>
      </c>
      <c r="I535" s="6"/>
      <c r="J535" s="6" t="n">
        <v>16</v>
      </c>
      <c r="K535" s="6" t="s">
        <v>928</v>
      </c>
      <c r="L535" s="6"/>
      <c r="M535" s="6"/>
      <c r="N535" s="12" t="n">
        <v>163.6</v>
      </c>
      <c r="O535" s="12" t="n">
        <v>90</v>
      </c>
      <c r="P535" s="12"/>
      <c r="Q535" s="12"/>
      <c r="R535" s="14" t="n">
        <v>0.014</v>
      </c>
      <c r="S535" s="6" t="n">
        <v>20</v>
      </c>
      <c r="T535" s="6"/>
      <c r="U535" s="15" t="n">
        <f aca="false">20*R535</f>
        <v>0.28</v>
      </c>
      <c r="V535" s="15" t="n">
        <f aca="false">60*R535+0.5*(1-(O535/N535)^2)</f>
        <v>1.18868275536373</v>
      </c>
      <c r="W535" s="14"/>
      <c r="X535" s="10" t="s">
        <v>1116</v>
      </c>
      <c r="Y535" s="16"/>
      <c r="Z535" s="17" t="s">
        <v>48</v>
      </c>
      <c r="AA535" s="6"/>
      <c r="AB535" s="18" t="n">
        <f aca="false">IF(O535="","",$D$3*PI()*(O535/1000)^2/4*3600)</f>
        <v>34.3533156670044</v>
      </c>
      <c r="AC535" s="19" t="n">
        <f aca="false">IF(OR(U535="",NOT(ISNUMBER(U535))),"",U535*$D$3^2/(2*$H$3))</f>
        <v>0.0321100917431193</v>
      </c>
      <c r="AD535" s="20" t="n">
        <f aca="false">IF(OR(U535="",NOT(ISNUMBER(U535))),"",U535*$D$3^2/2*$F$3)</f>
        <v>315</v>
      </c>
      <c r="AE535" s="19" t="n">
        <f aca="false">IF(OR(V535="",NOT(ISNUMBER(V535))),"",V535*$D$3^2/(2*$H$3))</f>
        <v>0.136316829743547</v>
      </c>
      <c r="AF535" s="20" t="n">
        <f aca="false">IF(OR(V535="",NOT(ISNUMBER(V535))),"",V535*$D$3^2/2*$F$3)</f>
        <v>1337.2680997842</v>
      </c>
      <c r="AG535" s="19" t="str">
        <f aca="false">IF(OR(W535="",NOT(ISNUMBER(W535))),"",W535*$D$3^2/(2*$H$3))</f>
        <v/>
      </c>
      <c r="AH535" s="20" t="str">
        <f aca="false">IF(OR(W535="",NOT(ISNUMBER(W535))),"",W535*$D$3^2/2*$F$3)</f>
        <v/>
      </c>
    </row>
    <row r="536" customFormat="false" ht="15" hidden="false" customHeight="false" outlineLevel="0" collapsed="false">
      <c r="A536" s="10" t="s">
        <v>1173</v>
      </c>
      <c r="B536" s="22" t="s">
        <v>924</v>
      </c>
      <c r="C536" s="6" t="s">
        <v>925</v>
      </c>
      <c r="D536" s="6" t="s">
        <v>1174</v>
      </c>
      <c r="E536" s="6" t="s">
        <v>1115</v>
      </c>
      <c r="F536" s="6" t="s">
        <v>247</v>
      </c>
      <c r="G536" s="6" t="n">
        <v>200</v>
      </c>
      <c r="H536" s="6" t="n">
        <v>160</v>
      </c>
      <c r="I536" s="6"/>
      <c r="J536" s="6" t="n">
        <v>16</v>
      </c>
      <c r="K536" s="6" t="s">
        <v>928</v>
      </c>
      <c r="L536" s="6"/>
      <c r="M536" s="6"/>
      <c r="N536" s="12" t="n">
        <v>163.6</v>
      </c>
      <c r="O536" s="12" t="n">
        <v>130.8</v>
      </c>
      <c r="P536" s="12"/>
      <c r="Q536" s="12"/>
      <c r="R536" s="14" t="n">
        <v>0.014</v>
      </c>
      <c r="S536" s="6" t="n">
        <v>20</v>
      </c>
      <c r="T536" s="6"/>
      <c r="U536" s="15" t="n">
        <f aca="false">20*R536</f>
        <v>0.28</v>
      </c>
      <c r="V536" s="15" t="n">
        <f aca="false">60*R536+0.5*(1-(O536/N536)^2)</f>
        <v>1.02039107848471</v>
      </c>
      <c r="W536" s="14"/>
      <c r="X536" s="10" t="s">
        <v>1116</v>
      </c>
      <c r="Y536" s="16"/>
      <c r="Z536" s="17" t="s">
        <v>48</v>
      </c>
      <c r="AA536" s="6"/>
      <c r="AB536" s="18" t="n">
        <f aca="false">IF(O536="","",$D$3*PI()*(O536/1000)^2/4*3600)</f>
        <v>72.5603099448318</v>
      </c>
      <c r="AC536" s="19" t="n">
        <f aca="false">IF(OR(U536="",NOT(ISNUMBER(U536))),"",U536*$D$3^2/(2*$H$3))</f>
        <v>0.0321100917431193</v>
      </c>
      <c r="AD536" s="20" t="n">
        <f aca="false">IF(OR(U536="",NOT(ISNUMBER(U536))),"",U536*$D$3^2/2*$F$3)</f>
        <v>315</v>
      </c>
      <c r="AE536" s="19" t="n">
        <f aca="false">IF(OR(V536="",NOT(ISNUMBER(V536))),"",V536*$D$3^2/(2*$H$3))</f>
        <v>0.117017325514301</v>
      </c>
      <c r="AF536" s="20" t="n">
        <f aca="false">IF(OR(V536="",NOT(ISNUMBER(V536))),"",V536*$D$3^2/2*$F$3)</f>
        <v>1147.93996329529</v>
      </c>
      <c r="AG536" s="19" t="str">
        <f aca="false">IF(OR(W536="",NOT(ISNUMBER(W536))),"",W536*$D$3^2/(2*$H$3))</f>
        <v/>
      </c>
      <c r="AH536" s="20" t="str">
        <f aca="false">IF(OR(W536="",NOT(ISNUMBER(W536))),"",W536*$D$3^2/2*$F$3)</f>
        <v/>
      </c>
    </row>
    <row r="537" customFormat="false" ht="15" hidden="false" customHeight="false" outlineLevel="0" collapsed="false">
      <c r="A537" s="10" t="s">
        <v>1175</v>
      </c>
      <c r="B537" s="22" t="s">
        <v>924</v>
      </c>
      <c r="C537" s="6" t="s">
        <v>925</v>
      </c>
      <c r="D537" s="6" t="s">
        <v>1176</v>
      </c>
      <c r="E537" s="6" t="s">
        <v>1177</v>
      </c>
      <c r="F537" s="6" t="s">
        <v>247</v>
      </c>
      <c r="G537" s="6" t="n">
        <v>25</v>
      </c>
      <c r="H537" s="6" t="n">
        <v>25</v>
      </c>
      <c r="I537" s="6"/>
      <c r="J537" s="6" t="n">
        <v>16</v>
      </c>
      <c r="K537" s="6" t="s">
        <v>928</v>
      </c>
      <c r="L537" s="6"/>
      <c r="M537" s="6"/>
      <c r="N537" s="12" t="n">
        <v>20.4</v>
      </c>
      <c r="O537" s="12" t="n">
        <v>20.4</v>
      </c>
      <c r="P537" s="12"/>
      <c r="Q537" s="12"/>
      <c r="R537" s="14" t="n">
        <v>0.025</v>
      </c>
      <c r="S537" s="6" t="n">
        <v>20</v>
      </c>
      <c r="T537" s="6"/>
      <c r="U537" s="15" t="n">
        <f aca="false">20*R537</f>
        <v>0.5</v>
      </c>
      <c r="V537" s="15" t="n">
        <f aca="false">60*R537+0.5*(1-(O537/N537)^2)</f>
        <v>1.5</v>
      </c>
      <c r="W537" s="14"/>
      <c r="X537" s="10" t="s">
        <v>1116</v>
      </c>
      <c r="Y537" s="16"/>
      <c r="Z537" s="17" t="s">
        <v>48</v>
      </c>
      <c r="AA537" s="6"/>
      <c r="AB537" s="18" t="n">
        <f aca="false">IF(O537="","",$D$3*PI()*(O537/1000)^2/4*3600)</f>
        <v>1.7649970182692</v>
      </c>
      <c r="AC537" s="19" t="n">
        <f aca="false">IF(OR(U537="",NOT(ISNUMBER(U537))),"",U537*$D$3^2/(2*$H$3))</f>
        <v>0.0573394495412844</v>
      </c>
      <c r="AD537" s="20" t="n">
        <f aca="false">IF(OR(U537="",NOT(ISNUMBER(U537))),"",U537*$D$3^2/2*$F$3)</f>
        <v>562.5</v>
      </c>
      <c r="AE537" s="19" t="n">
        <f aca="false">IF(OR(V537="",NOT(ISNUMBER(V537))),"",V537*$D$3^2/(2*$H$3))</f>
        <v>0.172018348623853</v>
      </c>
      <c r="AF537" s="20" t="n">
        <f aca="false">IF(OR(V537="",NOT(ISNUMBER(V537))),"",V537*$D$3^2/2*$F$3)</f>
        <v>1687.5</v>
      </c>
      <c r="AG537" s="19" t="str">
        <f aca="false">IF(OR(W537="",NOT(ISNUMBER(W537))),"",W537*$D$3^2/(2*$H$3))</f>
        <v/>
      </c>
      <c r="AH537" s="20" t="str">
        <f aca="false">IF(OR(W537="",NOT(ISNUMBER(W537))),"",W537*$D$3^2/2*$F$3)</f>
        <v/>
      </c>
    </row>
    <row r="538" customFormat="false" ht="15" hidden="false" customHeight="false" outlineLevel="0" collapsed="false">
      <c r="A538" s="10" t="s">
        <v>1178</v>
      </c>
      <c r="B538" s="22" t="s">
        <v>924</v>
      </c>
      <c r="C538" s="6" t="s">
        <v>925</v>
      </c>
      <c r="D538" s="6" t="s">
        <v>1179</v>
      </c>
      <c r="E538" s="6" t="s">
        <v>1177</v>
      </c>
      <c r="F538" s="6" t="s">
        <v>247</v>
      </c>
      <c r="G538" s="6" t="n">
        <v>32</v>
      </c>
      <c r="H538" s="6" t="n">
        <v>32</v>
      </c>
      <c r="I538" s="6"/>
      <c r="J538" s="6" t="n">
        <v>16</v>
      </c>
      <c r="K538" s="6" t="s">
        <v>928</v>
      </c>
      <c r="L538" s="6"/>
      <c r="M538" s="6"/>
      <c r="N538" s="12" t="n">
        <v>26.2</v>
      </c>
      <c r="O538" s="12" t="n">
        <v>26.2</v>
      </c>
      <c r="P538" s="12"/>
      <c r="Q538" s="12"/>
      <c r="R538" s="14" t="n">
        <v>0.023</v>
      </c>
      <c r="S538" s="6" t="n">
        <v>20</v>
      </c>
      <c r="T538" s="6"/>
      <c r="U538" s="15" t="n">
        <f aca="false">20*R538</f>
        <v>0.46</v>
      </c>
      <c r="V538" s="15" t="n">
        <f aca="false">60*R538+0.5*(1-(O538/N538)^2)</f>
        <v>1.38</v>
      </c>
      <c r="W538" s="14"/>
      <c r="X538" s="10" t="s">
        <v>1116</v>
      </c>
      <c r="Y538" s="16"/>
      <c r="Z538" s="17" t="s">
        <v>48</v>
      </c>
      <c r="AA538" s="6"/>
      <c r="AB538" s="18" t="n">
        <f aca="false">IF(O538="","",$D$3*PI()*(O538/1000)^2/4*3600)</f>
        <v>2.91129506252574</v>
      </c>
      <c r="AC538" s="19" t="n">
        <f aca="false">IF(OR(U538="",NOT(ISNUMBER(U538))),"",U538*$D$3^2/(2*$H$3))</f>
        <v>0.0527522935779817</v>
      </c>
      <c r="AD538" s="20" t="n">
        <f aca="false">IF(OR(U538="",NOT(ISNUMBER(U538))),"",U538*$D$3^2/2*$F$3)</f>
        <v>517.5</v>
      </c>
      <c r="AE538" s="19" t="n">
        <f aca="false">IF(OR(V538="",NOT(ISNUMBER(V538))),"",V538*$D$3^2/(2*$H$3))</f>
        <v>0.158256880733945</v>
      </c>
      <c r="AF538" s="20" t="n">
        <f aca="false">IF(OR(V538="",NOT(ISNUMBER(V538))),"",V538*$D$3^2/2*$F$3)</f>
        <v>1552.5</v>
      </c>
      <c r="AG538" s="19" t="str">
        <f aca="false">IF(OR(W538="",NOT(ISNUMBER(W538))),"",W538*$D$3^2/(2*$H$3))</f>
        <v/>
      </c>
      <c r="AH538" s="20" t="str">
        <f aca="false">IF(OR(W538="",NOT(ISNUMBER(W538))),"",W538*$D$3^2/2*$F$3)</f>
        <v/>
      </c>
    </row>
    <row r="539" customFormat="false" ht="15" hidden="false" customHeight="false" outlineLevel="0" collapsed="false">
      <c r="A539" s="10" t="s">
        <v>1180</v>
      </c>
      <c r="B539" s="22" t="s">
        <v>924</v>
      </c>
      <c r="C539" s="6" t="s">
        <v>925</v>
      </c>
      <c r="D539" s="6" t="s">
        <v>1181</v>
      </c>
      <c r="E539" s="6" t="s">
        <v>1177</v>
      </c>
      <c r="F539" s="6" t="s">
        <v>247</v>
      </c>
      <c r="G539" s="6" t="n">
        <v>40</v>
      </c>
      <c r="H539" s="6" t="n">
        <v>40</v>
      </c>
      <c r="I539" s="6"/>
      <c r="J539" s="6" t="n">
        <v>16</v>
      </c>
      <c r="K539" s="6" t="s">
        <v>928</v>
      </c>
      <c r="L539" s="6"/>
      <c r="M539" s="6"/>
      <c r="N539" s="12" t="n">
        <v>32.6</v>
      </c>
      <c r="O539" s="12" t="n">
        <v>32.6</v>
      </c>
      <c r="P539" s="12"/>
      <c r="Q539" s="12"/>
      <c r="R539" s="14" t="n">
        <v>0.022</v>
      </c>
      <c r="S539" s="6" t="n">
        <v>20</v>
      </c>
      <c r="T539" s="6"/>
      <c r="U539" s="15" t="n">
        <f aca="false">20*R539</f>
        <v>0.44</v>
      </c>
      <c r="V539" s="15" t="n">
        <f aca="false">60*R539+0.5*(1-(O539/N539)^2)</f>
        <v>1.32</v>
      </c>
      <c r="W539" s="14"/>
      <c r="X539" s="10" t="s">
        <v>1116</v>
      </c>
      <c r="Y539" s="16"/>
      <c r="Z539" s="17" t="s">
        <v>48</v>
      </c>
      <c r="AA539" s="6"/>
      <c r="AB539" s="18" t="n">
        <f aca="false">IF(O539="","",$D$3*PI()*(O539/1000)^2/4*3600)</f>
        <v>4.50732466151427</v>
      </c>
      <c r="AC539" s="19" t="n">
        <f aca="false">IF(OR(U539="",NOT(ISNUMBER(U539))),"",U539*$D$3^2/(2*$H$3))</f>
        <v>0.0504587155963303</v>
      </c>
      <c r="AD539" s="20" t="n">
        <f aca="false">IF(OR(U539="",NOT(ISNUMBER(U539))),"",U539*$D$3^2/2*$F$3)</f>
        <v>495</v>
      </c>
      <c r="AE539" s="19" t="n">
        <f aca="false">IF(OR(V539="",NOT(ISNUMBER(V539))),"",V539*$D$3^2/(2*$H$3))</f>
        <v>0.151376146788991</v>
      </c>
      <c r="AF539" s="20" t="n">
        <f aca="false">IF(OR(V539="",NOT(ISNUMBER(V539))),"",V539*$D$3^2/2*$F$3)</f>
        <v>1485</v>
      </c>
      <c r="AG539" s="19" t="str">
        <f aca="false">IF(OR(W539="",NOT(ISNUMBER(W539))),"",W539*$D$3^2/(2*$H$3))</f>
        <v/>
      </c>
      <c r="AH539" s="20" t="str">
        <f aca="false">IF(OR(W539="",NOT(ISNUMBER(W539))),"",W539*$D$3^2/2*$F$3)</f>
        <v/>
      </c>
    </row>
    <row r="540" customFormat="false" ht="15" hidden="false" customHeight="false" outlineLevel="0" collapsed="false">
      <c r="A540" s="10" t="s">
        <v>1182</v>
      </c>
      <c r="B540" s="22" t="s">
        <v>924</v>
      </c>
      <c r="C540" s="6" t="s">
        <v>925</v>
      </c>
      <c r="D540" s="6" t="s">
        <v>1183</v>
      </c>
      <c r="E540" s="6" t="s">
        <v>1177</v>
      </c>
      <c r="F540" s="6" t="s">
        <v>247</v>
      </c>
      <c r="G540" s="6" t="n">
        <v>50</v>
      </c>
      <c r="H540" s="6" t="n">
        <v>50</v>
      </c>
      <c r="I540" s="6"/>
      <c r="J540" s="6" t="n">
        <v>16</v>
      </c>
      <c r="K540" s="6" t="s">
        <v>928</v>
      </c>
      <c r="L540" s="6"/>
      <c r="M540" s="6"/>
      <c r="N540" s="12" t="n">
        <v>40.8</v>
      </c>
      <c r="O540" s="12" t="n">
        <v>40.8</v>
      </c>
      <c r="P540" s="12"/>
      <c r="Q540" s="12"/>
      <c r="R540" s="14" t="n">
        <v>0.021</v>
      </c>
      <c r="S540" s="6" t="n">
        <v>20</v>
      </c>
      <c r="T540" s="6"/>
      <c r="U540" s="15" t="n">
        <f aca="false">20*R540</f>
        <v>0.42</v>
      </c>
      <c r="V540" s="15" t="n">
        <f aca="false">60*R540+0.5*(1-(O540/N540)^2)</f>
        <v>1.26</v>
      </c>
      <c r="W540" s="14"/>
      <c r="X540" s="10" t="s">
        <v>1116</v>
      </c>
      <c r="Y540" s="16"/>
      <c r="Z540" s="17" t="s">
        <v>48</v>
      </c>
      <c r="AA540" s="6"/>
      <c r="AB540" s="18" t="n">
        <f aca="false">IF(O540="","",$D$3*PI()*(O540/1000)^2/4*3600)</f>
        <v>7.05998807307681</v>
      </c>
      <c r="AC540" s="19" t="n">
        <f aca="false">IF(OR(U540="",NOT(ISNUMBER(U540))),"",U540*$D$3^2/(2*$H$3))</f>
        <v>0.0481651376146789</v>
      </c>
      <c r="AD540" s="20" t="n">
        <f aca="false">IF(OR(U540="",NOT(ISNUMBER(U540))),"",U540*$D$3^2/2*$F$3)</f>
        <v>472.5</v>
      </c>
      <c r="AE540" s="19" t="n">
        <f aca="false">IF(OR(V540="",NOT(ISNUMBER(V540))),"",V540*$D$3^2/(2*$H$3))</f>
        <v>0.144495412844037</v>
      </c>
      <c r="AF540" s="20" t="n">
        <f aca="false">IF(OR(V540="",NOT(ISNUMBER(V540))),"",V540*$D$3^2/2*$F$3)</f>
        <v>1417.5</v>
      </c>
      <c r="AG540" s="19" t="str">
        <f aca="false">IF(OR(W540="",NOT(ISNUMBER(W540))),"",W540*$D$3^2/(2*$H$3))</f>
        <v/>
      </c>
      <c r="AH540" s="20" t="str">
        <f aca="false">IF(OR(W540="",NOT(ISNUMBER(W540))),"",W540*$D$3^2/2*$F$3)</f>
        <v/>
      </c>
    </row>
    <row r="541" customFormat="false" ht="15" hidden="false" customHeight="false" outlineLevel="0" collapsed="false">
      <c r="A541" s="10" t="s">
        <v>1184</v>
      </c>
      <c r="B541" s="22" t="s">
        <v>924</v>
      </c>
      <c r="C541" s="6" t="s">
        <v>925</v>
      </c>
      <c r="D541" s="6" t="s">
        <v>1185</v>
      </c>
      <c r="E541" s="6" t="s">
        <v>1177</v>
      </c>
      <c r="F541" s="6" t="s">
        <v>247</v>
      </c>
      <c r="G541" s="6" t="n">
        <v>63</v>
      </c>
      <c r="H541" s="6" t="n">
        <v>63</v>
      </c>
      <c r="I541" s="6"/>
      <c r="J541" s="6" t="n">
        <v>16</v>
      </c>
      <c r="K541" s="6" t="s">
        <v>928</v>
      </c>
      <c r="L541" s="6"/>
      <c r="M541" s="6"/>
      <c r="N541" s="12" t="n">
        <v>51.4</v>
      </c>
      <c r="O541" s="12" t="n">
        <v>51.4</v>
      </c>
      <c r="P541" s="12"/>
      <c r="Q541" s="12"/>
      <c r="R541" s="14" t="n">
        <v>0.019</v>
      </c>
      <c r="S541" s="6" t="n">
        <v>20</v>
      </c>
      <c r="T541" s="6"/>
      <c r="U541" s="15" t="n">
        <f aca="false">20*R541</f>
        <v>0.38</v>
      </c>
      <c r="V541" s="15" t="n">
        <f aca="false">60*R541+0.5*(1-(O541/N541)^2)</f>
        <v>1.14</v>
      </c>
      <c r="W541" s="14"/>
      <c r="X541" s="10" t="s">
        <v>1116</v>
      </c>
      <c r="Y541" s="16"/>
      <c r="Z541" s="17" t="s">
        <v>48</v>
      </c>
      <c r="AA541" s="6"/>
      <c r="AB541" s="18" t="n">
        <f aca="false">IF(O541="","",$D$3*PI()*(O541/1000)^2/4*3600)</f>
        <v>11.2049488715554</v>
      </c>
      <c r="AC541" s="19" t="n">
        <f aca="false">IF(OR(U541="",NOT(ISNUMBER(U541))),"",U541*$D$3^2/(2*$H$3))</f>
        <v>0.0435779816513761</v>
      </c>
      <c r="AD541" s="20" t="n">
        <f aca="false">IF(OR(U541="",NOT(ISNUMBER(U541))),"",U541*$D$3^2/2*$F$3)</f>
        <v>427.5</v>
      </c>
      <c r="AE541" s="19" t="n">
        <f aca="false">IF(OR(V541="",NOT(ISNUMBER(V541))),"",V541*$D$3^2/(2*$H$3))</f>
        <v>0.130733944954128</v>
      </c>
      <c r="AF541" s="20" t="n">
        <f aca="false">IF(OR(V541="",NOT(ISNUMBER(V541))),"",V541*$D$3^2/2*$F$3)</f>
        <v>1282.5</v>
      </c>
      <c r="AG541" s="19" t="str">
        <f aca="false">IF(OR(W541="",NOT(ISNUMBER(W541))),"",W541*$D$3^2/(2*$H$3))</f>
        <v/>
      </c>
      <c r="AH541" s="20" t="str">
        <f aca="false">IF(OR(W541="",NOT(ISNUMBER(W541))),"",W541*$D$3^2/2*$F$3)</f>
        <v/>
      </c>
    </row>
    <row r="542" customFormat="false" ht="15" hidden="false" customHeight="false" outlineLevel="0" collapsed="false">
      <c r="A542" s="10" t="s">
        <v>1186</v>
      </c>
      <c r="B542" s="22" t="s">
        <v>924</v>
      </c>
      <c r="C542" s="6" t="s">
        <v>925</v>
      </c>
      <c r="D542" s="6" t="s">
        <v>1187</v>
      </c>
      <c r="E542" s="6" t="s">
        <v>1177</v>
      </c>
      <c r="F542" s="6" t="s">
        <v>247</v>
      </c>
      <c r="G542" s="6" t="n">
        <v>75</v>
      </c>
      <c r="H542" s="6" t="n">
        <v>75</v>
      </c>
      <c r="I542" s="6"/>
      <c r="J542" s="6" t="n">
        <v>16</v>
      </c>
      <c r="K542" s="6" t="s">
        <v>928</v>
      </c>
      <c r="L542" s="6"/>
      <c r="M542" s="6"/>
      <c r="N542" s="12" t="n">
        <v>61.4</v>
      </c>
      <c r="O542" s="12" t="n">
        <v>61.4</v>
      </c>
      <c r="P542" s="12"/>
      <c r="Q542" s="12"/>
      <c r="R542" s="14" t="n">
        <v>0.018</v>
      </c>
      <c r="S542" s="6" t="n">
        <v>20</v>
      </c>
      <c r="T542" s="6"/>
      <c r="U542" s="15" t="n">
        <f aca="false">20*R542</f>
        <v>0.36</v>
      </c>
      <c r="V542" s="15" t="n">
        <f aca="false">60*R542+0.5*(1-(O542/N542)^2)</f>
        <v>1.08</v>
      </c>
      <c r="W542" s="14"/>
      <c r="X542" s="10" t="s">
        <v>1116</v>
      </c>
      <c r="Y542" s="16"/>
      <c r="Z542" s="17" t="s">
        <v>48</v>
      </c>
      <c r="AA542" s="6"/>
      <c r="AB542" s="18" t="n">
        <f aca="false">IF(O542="","",$D$3*PI()*(O542/1000)^2/4*3600)</f>
        <v>15.988966164442</v>
      </c>
      <c r="AC542" s="19" t="n">
        <f aca="false">IF(OR(U542="",NOT(ISNUMBER(U542))),"",U542*$D$3^2/(2*$H$3))</f>
        <v>0.0412844036697248</v>
      </c>
      <c r="AD542" s="20" t="n">
        <f aca="false">IF(OR(U542="",NOT(ISNUMBER(U542))),"",U542*$D$3^2/2*$F$3)</f>
        <v>405</v>
      </c>
      <c r="AE542" s="19" t="n">
        <f aca="false">IF(OR(V542="",NOT(ISNUMBER(V542))),"",V542*$D$3^2/(2*$H$3))</f>
        <v>0.123853211009174</v>
      </c>
      <c r="AF542" s="20" t="n">
        <f aca="false">IF(OR(V542="",NOT(ISNUMBER(V542))),"",V542*$D$3^2/2*$F$3)</f>
        <v>1215</v>
      </c>
      <c r="AG542" s="19" t="str">
        <f aca="false">IF(OR(W542="",NOT(ISNUMBER(W542))),"",W542*$D$3^2/(2*$H$3))</f>
        <v/>
      </c>
      <c r="AH542" s="20" t="str">
        <f aca="false">IF(OR(W542="",NOT(ISNUMBER(W542))),"",W542*$D$3^2/2*$F$3)</f>
        <v/>
      </c>
    </row>
    <row r="543" customFormat="false" ht="15" hidden="false" customHeight="false" outlineLevel="0" collapsed="false">
      <c r="A543" s="10" t="s">
        <v>1188</v>
      </c>
      <c r="B543" s="22" t="s">
        <v>924</v>
      </c>
      <c r="C543" s="6" t="s">
        <v>925</v>
      </c>
      <c r="D543" s="6" t="s">
        <v>1189</v>
      </c>
      <c r="E543" s="6" t="s">
        <v>1177</v>
      </c>
      <c r="F543" s="6" t="s">
        <v>247</v>
      </c>
      <c r="G543" s="6" t="n">
        <v>90</v>
      </c>
      <c r="H543" s="6" t="n">
        <v>90</v>
      </c>
      <c r="I543" s="6"/>
      <c r="J543" s="6" t="n">
        <v>16</v>
      </c>
      <c r="K543" s="6" t="s">
        <v>928</v>
      </c>
      <c r="L543" s="6"/>
      <c r="M543" s="6"/>
      <c r="N543" s="12" t="n">
        <v>73.6</v>
      </c>
      <c r="O543" s="12" t="n">
        <v>73.6</v>
      </c>
      <c r="P543" s="12"/>
      <c r="Q543" s="12"/>
      <c r="R543" s="14" t="n">
        <v>0.018</v>
      </c>
      <c r="S543" s="6" t="n">
        <v>20</v>
      </c>
      <c r="T543" s="6"/>
      <c r="U543" s="15" t="n">
        <f aca="false">20*R543</f>
        <v>0.36</v>
      </c>
      <c r="V543" s="15" t="n">
        <f aca="false">60*R543+0.5*(1-(O543/N543)^2)</f>
        <v>1.08</v>
      </c>
      <c r="W543" s="14"/>
      <c r="X543" s="10" t="s">
        <v>1116</v>
      </c>
      <c r="Y543" s="16"/>
      <c r="Z543" s="17" t="s">
        <v>48</v>
      </c>
      <c r="AA543" s="6"/>
      <c r="AB543" s="18" t="n">
        <f aca="false">IF(O543="","",$D$3*PI()*(O543/1000)^2/4*3600)</f>
        <v>22.9741403500662</v>
      </c>
      <c r="AC543" s="19" t="n">
        <f aca="false">IF(OR(U543="",NOT(ISNUMBER(U543))),"",U543*$D$3^2/(2*$H$3))</f>
        <v>0.0412844036697248</v>
      </c>
      <c r="AD543" s="20" t="n">
        <f aca="false">IF(OR(U543="",NOT(ISNUMBER(U543))),"",U543*$D$3^2/2*$F$3)</f>
        <v>405</v>
      </c>
      <c r="AE543" s="19" t="n">
        <f aca="false">IF(OR(V543="",NOT(ISNUMBER(V543))),"",V543*$D$3^2/(2*$H$3))</f>
        <v>0.123853211009174</v>
      </c>
      <c r="AF543" s="20" t="n">
        <f aca="false">IF(OR(V543="",NOT(ISNUMBER(V543))),"",V543*$D$3^2/2*$F$3)</f>
        <v>1215</v>
      </c>
      <c r="AG543" s="19" t="str">
        <f aca="false">IF(OR(W543="",NOT(ISNUMBER(W543))),"",W543*$D$3^2/(2*$H$3))</f>
        <v/>
      </c>
      <c r="AH543" s="20" t="str">
        <f aca="false">IF(OR(W543="",NOT(ISNUMBER(W543))),"",W543*$D$3^2/2*$F$3)</f>
        <v/>
      </c>
    </row>
    <row r="544" customFormat="false" ht="15" hidden="false" customHeight="false" outlineLevel="0" collapsed="false">
      <c r="A544" s="10" t="s">
        <v>1190</v>
      </c>
      <c r="B544" s="22" t="s">
        <v>924</v>
      </c>
      <c r="C544" s="6" t="s">
        <v>925</v>
      </c>
      <c r="D544" s="6" t="s">
        <v>1191</v>
      </c>
      <c r="E544" s="6" t="s">
        <v>1177</v>
      </c>
      <c r="F544" s="6" t="s">
        <v>247</v>
      </c>
      <c r="G544" s="6" t="n">
        <v>110</v>
      </c>
      <c r="H544" s="6" t="n">
        <v>110</v>
      </c>
      <c r="I544" s="6"/>
      <c r="J544" s="6" t="n">
        <v>16</v>
      </c>
      <c r="K544" s="6" t="s">
        <v>928</v>
      </c>
      <c r="L544" s="6"/>
      <c r="M544" s="6"/>
      <c r="N544" s="12" t="n">
        <v>90</v>
      </c>
      <c r="O544" s="12" t="n">
        <v>90</v>
      </c>
      <c r="P544" s="12"/>
      <c r="Q544" s="12"/>
      <c r="R544" s="14" t="n">
        <v>0.017</v>
      </c>
      <c r="S544" s="6" t="n">
        <v>20</v>
      </c>
      <c r="T544" s="6"/>
      <c r="U544" s="15" t="n">
        <f aca="false">20*R544</f>
        <v>0.34</v>
      </c>
      <c r="V544" s="15" t="n">
        <f aca="false">60*R544+0.5*(1-(O544/N544)^2)</f>
        <v>1.02</v>
      </c>
      <c r="W544" s="14"/>
      <c r="X544" s="10" t="s">
        <v>1116</v>
      </c>
      <c r="Y544" s="16"/>
      <c r="Z544" s="17" t="s">
        <v>48</v>
      </c>
      <c r="AA544" s="6"/>
      <c r="AB544" s="18" t="n">
        <f aca="false">IF(O544="","",$D$3*PI()*(O544/1000)^2/4*3600)</f>
        <v>34.3533156670044</v>
      </c>
      <c r="AC544" s="19" t="n">
        <f aca="false">IF(OR(U544="",NOT(ISNUMBER(U544))),"",U544*$D$3^2/(2*$H$3))</f>
        <v>0.0389908256880734</v>
      </c>
      <c r="AD544" s="20" t="n">
        <f aca="false">IF(OR(U544="",NOT(ISNUMBER(U544))),"",U544*$D$3^2/2*$F$3)</f>
        <v>382.5</v>
      </c>
      <c r="AE544" s="19" t="n">
        <f aca="false">IF(OR(V544="",NOT(ISNUMBER(V544))),"",V544*$D$3^2/(2*$H$3))</f>
        <v>0.11697247706422</v>
      </c>
      <c r="AF544" s="20" t="n">
        <f aca="false">IF(OR(V544="",NOT(ISNUMBER(V544))),"",V544*$D$3^2/2*$F$3)</f>
        <v>1147.5</v>
      </c>
      <c r="AG544" s="19" t="str">
        <f aca="false">IF(OR(W544="",NOT(ISNUMBER(W544))),"",W544*$D$3^2/(2*$H$3))</f>
        <v/>
      </c>
      <c r="AH544" s="20" t="str">
        <f aca="false">IF(OR(W544="",NOT(ISNUMBER(W544))),"",W544*$D$3^2/2*$F$3)</f>
        <v/>
      </c>
    </row>
    <row r="545" customFormat="false" ht="15" hidden="false" customHeight="false" outlineLevel="0" collapsed="false">
      <c r="A545" s="10" t="s">
        <v>1192</v>
      </c>
      <c r="B545" s="22" t="s">
        <v>924</v>
      </c>
      <c r="C545" s="6" t="s">
        <v>925</v>
      </c>
      <c r="D545" s="6" t="s">
        <v>1193</v>
      </c>
      <c r="E545" s="6" t="s">
        <v>1177</v>
      </c>
      <c r="F545" s="6" t="s">
        <v>247</v>
      </c>
      <c r="G545" s="6" t="n">
        <v>125</v>
      </c>
      <c r="H545" s="6" t="n">
        <v>125</v>
      </c>
      <c r="I545" s="6"/>
      <c r="J545" s="6" t="n">
        <v>16</v>
      </c>
      <c r="K545" s="6" t="s">
        <v>928</v>
      </c>
      <c r="L545" s="6"/>
      <c r="M545" s="6"/>
      <c r="N545" s="12" t="n">
        <v>102.2</v>
      </c>
      <c r="O545" s="12" t="n">
        <v>102.2</v>
      </c>
      <c r="P545" s="12"/>
      <c r="Q545" s="12"/>
      <c r="R545" s="14" t="n">
        <v>0.016</v>
      </c>
      <c r="S545" s="6" t="n">
        <v>20</v>
      </c>
      <c r="T545" s="6"/>
      <c r="U545" s="15" t="n">
        <f aca="false">20*R545</f>
        <v>0.32</v>
      </c>
      <c r="V545" s="15" t="n">
        <f aca="false">60*R545+0.5*(1-(O545/N545)^2)</f>
        <v>0.96</v>
      </c>
      <c r="W545" s="14"/>
      <c r="X545" s="10" t="s">
        <v>1116</v>
      </c>
      <c r="Y545" s="16"/>
      <c r="Z545" s="17" t="s">
        <v>48</v>
      </c>
      <c r="AA545" s="6"/>
      <c r="AB545" s="18" t="n">
        <f aca="false">IF(O545="","",$D$3*PI()*(O545/1000)^2/4*3600)</f>
        <v>44.2981340260931</v>
      </c>
      <c r="AC545" s="19" t="n">
        <f aca="false">IF(OR(U545="",NOT(ISNUMBER(U545))),"",U545*$D$3^2/(2*$H$3))</f>
        <v>0.036697247706422</v>
      </c>
      <c r="AD545" s="20" t="n">
        <f aca="false">IF(OR(U545="",NOT(ISNUMBER(U545))),"",U545*$D$3^2/2*$F$3)</f>
        <v>360</v>
      </c>
      <c r="AE545" s="19" t="n">
        <f aca="false">IF(OR(V545="",NOT(ISNUMBER(V545))),"",V545*$D$3^2/(2*$H$3))</f>
        <v>0.110091743119266</v>
      </c>
      <c r="AF545" s="20" t="n">
        <f aca="false">IF(OR(V545="",NOT(ISNUMBER(V545))),"",V545*$D$3^2/2*$F$3)</f>
        <v>1080</v>
      </c>
      <c r="AG545" s="19" t="str">
        <f aca="false">IF(OR(W545="",NOT(ISNUMBER(W545))),"",W545*$D$3^2/(2*$H$3))</f>
        <v/>
      </c>
      <c r="AH545" s="20" t="str">
        <f aca="false">IF(OR(W545="",NOT(ISNUMBER(W545))),"",W545*$D$3^2/2*$F$3)</f>
        <v/>
      </c>
    </row>
    <row r="546" customFormat="false" ht="15" hidden="false" customHeight="false" outlineLevel="0" collapsed="false">
      <c r="A546" s="10" t="s">
        <v>1194</v>
      </c>
      <c r="B546" s="22" t="s">
        <v>924</v>
      </c>
      <c r="C546" s="6" t="s">
        <v>925</v>
      </c>
      <c r="D546" s="6" t="s">
        <v>1195</v>
      </c>
      <c r="E546" s="6" t="s">
        <v>1177</v>
      </c>
      <c r="F546" s="6" t="s">
        <v>247</v>
      </c>
      <c r="G546" s="6" t="n">
        <v>160</v>
      </c>
      <c r="H546" s="6" t="n">
        <v>160</v>
      </c>
      <c r="I546" s="6"/>
      <c r="J546" s="6" t="n">
        <v>16</v>
      </c>
      <c r="K546" s="6" t="s">
        <v>928</v>
      </c>
      <c r="L546" s="6"/>
      <c r="M546" s="6"/>
      <c r="N546" s="12" t="n">
        <v>130.8</v>
      </c>
      <c r="O546" s="12" t="n">
        <v>130.8</v>
      </c>
      <c r="P546" s="12"/>
      <c r="Q546" s="12"/>
      <c r="R546" s="14" t="n">
        <v>0.015</v>
      </c>
      <c r="S546" s="6" t="n">
        <v>20</v>
      </c>
      <c r="T546" s="6"/>
      <c r="U546" s="15" t="n">
        <f aca="false">20*R546</f>
        <v>0.3</v>
      </c>
      <c r="V546" s="15" t="n">
        <f aca="false">60*R546+0.5*(1-(O546/N546)^2)</f>
        <v>0.9</v>
      </c>
      <c r="W546" s="14"/>
      <c r="X546" s="10" t="s">
        <v>1116</v>
      </c>
      <c r="Y546" s="16"/>
      <c r="Z546" s="17" t="s">
        <v>48</v>
      </c>
      <c r="AA546" s="6"/>
      <c r="AB546" s="18" t="n">
        <f aca="false">IF(O546="","",$D$3*PI()*(O546/1000)^2/4*3600)</f>
        <v>72.5603099448318</v>
      </c>
      <c r="AC546" s="19" t="n">
        <f aca="false">IF(OR(U546="",NOT(ISNUMBER(U546))),"",U546*$D$3^2/(2*$H$3))</f>
        <v>0.0344036697247706</v>
      </c>
      <c r="AD546" s="20" t="n">
        <f aca="false">IF(OR(U546="",NOT(ISNUMBER(U546))),"",U546*$D$3^2/2*$F$3)</f>
        <v>337.5</v>
      </c>
      <c r="AE546" s="19" t="n">
        <f aca="false">IF(OR(V546="",NOT(ISNUMBER(V546))),"",V546*$D$3^2/(2*$H$3))</f>
        <v>0.103211009174312</v>
      </c>
      <c r="AF546" s="20" t="n">
        <f aca="false">IF(OR(V546="",NOT(ISNUMBER(V546))),"",V546*$D$3^2/2*$F$3)</f>
        <v>1012.5</v>
      </c>
      <c r="AG546" s="19" t="str">
        <f aca="false">IF(OR(W546="",NOT(ISNUMBER(W546))),"",W546*$D$3^2/(2*$H$3))</f>
        <v/>
      </c>
      <c r="AH546" s="20" t="str">
        <f aca="false">IF(OR(W546="",NOT(ISNUMBER(W546))),"",W546*$D$3^2/2*$F$3)</f>
        <v/>
      </c>
    </row>
    <row r="547" customFormat="false" ht="15" hidden="false" customHeight="false" outlineLevel="0" collapsed="false">
      <c r="A547" s="10" t="s">
        <v>1196</v>
      </c>
      <c r="B547" s="22" t="s">
        <v>924</v>
      </c>
      <c r="C547" s="6" t="s">
        <v>925</v>
      </c>
      <c r="D547" s="6" t="s">
        <v>1197</v>
      </c>
      <c r="E547" s="6" t="s">
        <v>1177</v>
      </c>
      <c r="F547" s="6" t="s">
        <v>247</v>
      </c>
      <c r="G547" s="6" t="n">
        <v>180</v>
      </c>
      <c r="H547" s="6" t="n">
        <v>180</v>
      </c>
      <c r="I547" s="6"/>
      <c r="J547" s="6" t="n">
        <v>16</v>
      </c>
      <c r="K547" s="6" t="s">
        <v>928</v>
      </c>
      <c r="L547" s="6"/>
      <c r="M547" s="6"/>
      <c r="N547" s="12" t="n">
        <v>147.2</v>
      </c>
      <c r="O547" s="12" t="n">
        <v>147.2</v>
      </c>
      <c r="P547" s="12"/>
      <c r="Q547" s="12"/>
      <c r="R547" s="14" t="n">
        <v>0.015</v>
      </c>
      <c r="S547" s="6" t="n">
        <v>20</v>
      </c>
      <c r="T547" s="6"/>
      <c r="U547" s="15" t="n">
        <f aca="false">20*R547</f>
        <v>0.3</v>
      </c>
      <c r="V547" s="15" t="n">
        <f aca="false">60*R547+0.5*(1-(O547/N547)^2)</f>
        <v>0.9</v>
      </c>
      <c r="W547" s="14"/>
      <c r="X547" s="10" t="s">
        <v>1116</v>
      </c>
      <c r="Y547" s="16"/>
      <c r="Z547" s="17" t="s">
        <v>48</v>
      </c>
      <c r="AA547" s="6"/>
      <c r="AB547" s="18" t="n">
        <f aca="false">IF(O547="","",$D$3*PI()*(O547/1000)^2/4*3600)</f>
        <v>91.8965614002647</v>
      </c>
      <c r="AC547" s="19" t="n">
        <f aca="false">IF(OR(U547="",NOT(ISNUMBER(U547))),"",U547*$D$3^2/(2*$H$3))</f>
        <v>0.0344036697247706</v>
      </c>
      <c r="AD547" s="20" t="n">
        <f aca="false">IF(OR(U547="",NOT(ISNUMBER(U547))),"",U547*$D$3^2/2*$F$3)</f>
        <v>337.5</v>
      </c>
      <c r="AE547" s="19" t="n">
        <f aca="false">IF(OR(V547="",NOT(ISNUMBER(V547))),"",V547*$D$3^2/(2*$H$3))</f>
        <v>0.103211009174312</v>
      </c>
      <c r="AF547" s="20" t="n">
        <f aca="false">IF(OR(V547="",NOT(ISNUMBER(V547))),"",V547*$D$3^2/2*$F$3)</f>
        <v>1012.5</v>
      </c>
      <c r="AG547" s="19" t="str">
        <f aca="false">IF(OR(W547="",NOT(ISNUMBER(W547))),"",W547*$D$3^2/(2*$H$3))</f>
        <v/>
      </c>
      <c r="AH547" s="20" t="str">
        <f aca="false">IF(OR(W547="",NOT(ISNUMBER(W547))),"",W547*$D$3^2/2*$F$3)</f>
        <v/>
      </c>
    </row>
    <row r="548" customFormat="false" ht="15" hidden="false" customHeight="false" outlineLevel="0" collapsed="false">
      <c r="A548" s="10" t="s">
        <v>1198</v>
      </c>
      <c r="B548" s="22" t="s">
        <v>924</v>
      </c>
      <c r="C548" s="6" t="s">
        <v>925</v>
      </c>
      <c r="D548" s="6" t="s">
        <v>1199</v>
      </c>
      <c r="E548" s="6" t="s">
        <v>1177</v>
      </c>
      <c r="F548" s="6" t="s">
        <v>247</v>
      </c>
      <c r="G548" s="6" t="n">
        <v>200</v>
      </c>
      <c r="H548" s="6" t="n">
        <v>200</v>
      </c>
      <c r="I548" s="6"/>
      <c r="J548" s="6" t="n">
        <v>16</v>
      </c>
      <c r="K548" s="6" t="s">
        <v>928</v>
      </c>
      <c r="L548" s="6"/>
      <c r="M548" s="6"/>
      <c r="N548" s="12" t="n">
        <v>163.6</v>
      </c>
      <c r="O548" s="12" t="n">
        <v>163.6</v>
      </c>
      <c r="P548" s="12"/>
      <c r="Q548" s="12"/>
      <c r="R548" s="14" t="n">
        <v>0.014</v>
      </c>
      <c r="S548" s="6" t="n">
        <v>20</v>
      </c>
      <c r="T548" s="6"/>
      <c r="U548" s="15" t="n">
        <f aca="false">20*R548</f>
        <v>0.28</v>
      </c>
      <c r="V548" s="15" t="n">
        <f aca="false">60*R548+0.5*(1-(O548/N548)^2)</f>
        <v>0.84</v>
      </c>
      <c r="W548" s="14"/>
      <c r="X548" s="10" t="s">
        <v>1116</v>
      </c>
      <c r="Y548" s="16"/>
      <c r="Z548" s="17" t="s">
        <v>48</v>
      </c>
      <c r="AA548" s="6"/>
      <c r="AB548" s="18" t="n">
        <f aca="false">IF(O548="","",$D$3*PI()*(O548/1000)^2/4*3600)</f>
        <v>113.514212307993</v>
      </c>
      <c r="AC548" s="19" t="n">
        <f aca="false">IF(OR(U548="",NOT(ISNUMBER(U548))),"",U548*$D$3^2/(2*$H$3))</f>
        <v>0.0321100917431193</v>
      </c>
      <c r="AD548" s="20" t="n">
        <f aca="false">IF(OR(U548="",NOT(ISNUMBER(U548))),"",U548*$D$3^2/2*$F$3)</f>
        <v>315</v>
      </c>
      <c r="AE548" s="19" t="n">
        <f aca="false">IF(OR(V548="",NOT(ISNUMBER(V548))),"",V548*$D$3^2/(2*$H$3))</f>
        <v>0.0963302752293578</v>
      </c>
      <c r="AF548" s="20" t="n">
        <f aca="false">IF(OR(V548="",NOT(ISNUMBER(V548))),"",V548*$D$3^2/2*$F$3)</f>
        <v>945</v>
      </c>
      <c r="AG548" s="19" t="str">
        <f aca="false">IF(OR(W548="",NOT(ISNUMBER(W548))),"",W548*$D$3^2/(2*$H$3))</f>
        <v/>
      </c>
      <c r="AH548" s="20" t="str">
        <f aca="false">IF(OR(W548="",NOT(ISNUMBER(W548))),"",W548*$D$3^2/2*$F$3)</f>
        <v/>
      </c>
    </row>
    <row r="549" customFormat="false" ht="15" hidden="false" customHeight="false" outlineLevel="0" collapsed="false">
      <c r="A549" s="10" t="s">
        <v>1200</v>
      </c>
      <c r="B549" s="22" t="s">
        <v>924</v>
      </c>
      <c r="C549" s="6" t="s">
        <v>925</v>
      </c>
      <c r="D549" s="6" t="s">
        <v>1201</v>
      </c>
      <c r="E549" s="6" t="s">
        <v>1177</v>
      </c>
      <c r="F549" s="6" t="s">
        <v>247</v>
      </c>
      <c r="G549" s="6" t="n">
        <v>250</v>
      </c>
      <c r="H549" s="6" t="n">
        <v>250</v>
      </c>
      <c r="I549" s="6"/>
      <c r="J549" s="6" t="n">
        <v>16</v>
      </c>
      <c r="K549" s="6" t="s">
        <v>928</v>
      </c>
      <c r="L549" s="6"/>
      <c r="M549" s="6"/>
      <c r="N549" s="12" t="n">
        <v>204.6</v>
      </c>
      <c r="O549" s="12" t="n">
        <v>204.6</v>
      </c>
      <c r="P549" s="12"/>
      <c r="Q549" s="12"/>
      <c r="R549" s="14" t="n">
        <v>0.014</v>
      </c>
      <c r="S549" s="6" t="n">
        <v>20</v>
      </c>
      <c r="T549" s="6"/>
      <c r="U549" s="15" t="n">
        <f aca="false">20*R549</f>
        <v>0.28</v>
      </c>
      <c r="V549" s="15" t="n">
        <f aca="false">60*R549+0.5*(1-(O549/N549)^2)</f>
        <v>0.84</v>
      </c>
      <c r="W549" s="14"/>
      <c r="X549" s="10" t="s">
        <v>1116</v>
      </c>
      <c r="Y549" s="16"/>
      <c r="Z549" s="17" t="s">
        <v>48</v>
      </c>
      <c r="AA549" s="6"/>
      <c r="AB549" s="18" t="n">
        <f aca="false">IF(O549="","",$D$3*PI()*(O549/1000)^2/4*3600)</f>
        <v>177.539462181108</v>
      </c>
      <c r="AC549" s="19" t="n">
        <f aca="false">IF(OR(U549="",NOT(ISNUMBER(U549))),"",U549*$D$3^2/(2*$H$3))</f>
        <v>0.0321100917431193</v>
      </c>
      <c r="AD549" s="20" t="n">
        <f aca="false">IF(OR(U549="",NOT(ISNUMBER(U549))),"",U549*$D$3^2/2*$F$3)</f>
        <v>315</v>
      </c>
      <c r="AE549" s="19" t="n">
        <f aca="false">IF(OR(V549="",NOT(ISNUMBER(V549))),"",V549*$D$3^2/(2*$H$3))</f>
        <v>0.0963302752293578</v>
      </c>
      <c r="AF549" s="20" t="n">
        <f aca="false">IF(OR(V549="",NOT(ISNUMBER(V549))),"",V549*$D$3^2/2*$F$3)</f>
        <v>945</v>
      </c>
      <c r="AG549" s="19" t="str">
        <f aca="false">IF(OR(W549="",NOT(ISNUMBER(W549))),"",W549*$D$3^2/(2*$H$3))</f>
        <v/>
      </c>
      <c r="AH549" s="20" t="str">
        <f aca="false">IF(OR(W549="",NOT(ISNUMBER(W549))),"",W549*$D$3^2/2*$F$3)</f>
        <v/>
      </c>
    </row>
    <row r="550" customFormat="false" ht="15" hidden="false" customHeight="false" outlineLevel="0" collapsed="false">
      <c r="A550" s="10" t="s">
        <v>1202</v>
      </c>
      <c r="B550" s="22" t="s">
        <v>924</v>
      </c>
      <c r="C550" s="6" t="s">
        <v>925</v>
      </c>
      <c r="D550" s="6" t="s">
        <v>1203</v>
      </c>
      <c r="E550" s="6" t="s">
        <v>1177</v>
      </c>
      <c r="F550" s="6" t="s">
        <v>247</v>
      </c>
      <c r="G550" s="6" t="n">
        <v>315</v>
      </c>
      <c r="H550" s="6" t="n">
        <v>315</v>
      </c>
      <c r="I550" s="6"/>
      <c r="J550" s="6" t="n">
        <v>16</v>
      </c>
      <c r="K550" s="6" t="s">
        <v>928</v>
      </c>
      <c r="L550" s="6"/>
      <c r="M550" s="6"/>
      <c r="N550" s="12" t="n">
        <v>257.8</v>
      </c>
      <c r="O550" s="12" t="n">
        <v>257.8</v>
      </c>
      <c r="P550" s="12"/>
      <c r="Q550" s="12"/>
      <c r="R550" s="14" t="n">
        <v>0.013</v>
      </c>
      <c r="S550" s="6" t="n">
        <v>20</v>
      </c>
      <c r="T550" s="6"/>
      <c r="U550" s="15" t="n">
        <f aca="false">20*R550</f>
        <v>0.26</v>
      </c>
      <c r="V550" s="15" t="n">
        <f aca="false">60*R550+0.5*(1-(O550/N550)^2)</f>
        <v>0.78</v>
      </c>
      <c r="W550" s="14"/>
      <c r="X550" s="10" t="s">
        <v>1116</v>
      </c>
      <c r="Y550" s="16"/>
      <c r="Z550" s="17" t="s">
        <v>48</v>
      </c>
      <c r="AA550" s="6"/>
      <c r="AB550" s="18" t="n">
        <f aca="false">IF(O550="","",$D$3*PI()*(O550/1000)^2/4*3600)</f>
        <v>281.870397038799</v>
      </c>
      <c r="AC550" s="19" t="n">
        <f aca="false">IF(OR(U550="",NOT(ISNUMBER(U550))),"",U550*$D$3^2/(2*$H$3))</f>
        <v>0.0298165137614679</v>
      </c>
      <c r="AD550" s="20" t="n">
        <f aca="false">IF(OR(U550="",NOT(ISNUMBER(U550))),"",U550*$D$3^2/2*$F$3)</f>
        <v>292.5</v>
      </c>
      <c r="AE550" s="19" t="n">
        <f aca="false">IF(OR(V550="",NOT(ISNUMBER(V550))),"",V550*$D$3^2/(2*$H$3))</f>
        <v>0.0894495412844037</v>
      </c>
      <c r="AF550" s="20" t="n">
        <f aca="false">IF(OR(V550="",NOT(ISNUMBER(V550))),"",V550*$D$3^2/2*$F$3)</f>
        <v>877.5</v>
      </c>
      <c r="AG550" s="19" t="str">
        <f aca="false">IF(OR(W550="",NOT(ISNUMBER(W550))),"",W550*$D$3^2/(2*$H$3))</f>
        <v/>
      </c>
      <c r="AH550" s="20" t="str">
        <f aca="false">IF(OR(W550="",NOT(ISNUMBER(W550))),"",W550*$D$3^2/2*$F$3)</f>
        <v/>
      </c>
    </row>
    <row r="551" customFormat="false" ht="15" hidden="false" customHeight="false" outlineLevel="0" collapsed="false">
      <c r="A551" s="10" t="s">
        <v>1204</v>
      </c>
      <c r="B551" s="22" t="s">
        <v>924</v>
      </c>
      <c r="C551" s="6" t="s">
        <v>925</v>
      </c>
      <c r="D551" s="6" t="s">
        <v>1205</v>
      </c>
      <c r="E551" s="6" t="s">
        <v>1206</v>
      </c>
      <c r="F551" s="6" t="s">
        <v>334</v>
      </c>
      <c r="G551" s="6" t="n">
        <v>40</v>
      </c>
      <c r="H551" s="6" t="n">
        <v>32</v>
      </c>
      <c r="I551" s="6"/>
      <c r="J551" s="6" t="n">
        <v>16</v>
      </c>
      <c r="K551" s="6" t="s">
        <v>928</v>
      </c>
      <c r="L551" s="6"/>
      <c r="M551" s="6"/>
      <c r="N551" s="12" t="n">
        <v>32.6</v>
      </c>
      <c r="O551" s="12" t="n">
        <v>26.2</v>
      </c>
      <c r="P551" s="12"/>
      <c r="Q551" s="12" t="n">
        <v>26.2</v>
      </c>
      <c r="R551" s="14" t="n">
        <v>0.022</v>
      </c>
      <c r="S551" s="6" t="n">
        <v>0</v>
      </c>
      <c r="T551" s="6"/>
      <c r="U551" s="14" t="n">
        <v>0</v>
      </c>
      <c r="V551" s="15" t="n">
        <f aca="false">60*R551+0.5*(1-(Q551/N551)^2)</f>
        <v>1.49704843991117</v>
      </c>
      <c r="W551" s="14"/>
      <c r="X551" s="10" t="s">
        <v>1207</v>
      </c>
      <c r="Y551" s="16"/>
      <c r="Z551" s="17" t="s">
        <v>48</v>
      </c>
      <c r="AA551" s="6"/>
      <c r="AB551" s="18" t="n">
        <f aca="false">IF(O551="","",$D$3*PI()*(O551/1000)^2/4*3600)</f>
        <v>2.91129506252574</v>
      </c>
      <c r="AC551" s="19" t="n">
        <f aca="false">IF(OR(U551="",NOT(ISNUMBER(U551))),"",U551*$D$3^2/(2*$H$3))</f>
        <v>0</v>
      </c>
      <c r="AD551" s="20" t="n">
        <f aca="false">IF(OR(U551="",NOT(ISNUMBER(U551))),"",U551*$D$3^2/2*$F$3)</f>
        <v>0</v>
      </c>
      <c r="AE551" s="19" t="n">
        <f aca="false">IF(OR(V551="",NOT(ISNUMBER(V551))),"",V551*$D$3^2/(2*$H$3))</f>
        <v>0.171679866962291</v>
      </c>
      <c r="AF551" s="20" t="n">
        <f aca="false">IF(OR(V551="",NOT(ISNUMBER(V551))),"",V551*$D$3^2/2*$F$3)</f>
        <v>1684.17949490007</v>
      </c>
      <c r="AG551" s="19" t="str">
        <f aca="false">IF(OR(W551="",NOT(ISNUMBER(W551))),"",W551*$D$3^2/(2*$H$3))</f>
        <v/>
      </c>
      <c r="AH551" s="20" t="str">
        <f aca="false">IF(OR(W551="",NOT(ISNUMBER(W551))),"",W551*$D$3^2/2*$F$3)</f>
        <v/>
      </c>
    </row>
    <row r="552" customFormat="false" ht="15" hidden="false" customHeight="false" outlineLevel="0" collapsed="false">
      <c r="A552" s="10" t="s">
        <v>1208</v>
      </c>
      <c r="B552" s="22" t="s">
        <v>924</v>
      </c>
      <c r="C552" s="6" t="s">
        <v>925</v>
      </c>
      <c r="D552" s="6" t="s">
        <v>1209</v>
      </c>
      <c r="E552" s="6" t="s">
        <v>1206</v>
      </c>
      <c r="F552" s="6" t="s">
        <v>334</v>
      </c>
      <c r="G552" s="6" t="n">
        <v>50</v>
      </c>
      <c r="H552" s="6" t="n">
        <v>32</v>
      </c>
      <c r="I552" s="6"/>
      <c r="J552" s="6" t="n">
        <v>16</v>
      </c>
      <c r="K552" s="6" t="s">
        <v>928</v>
      </c>
      <c r="L552" s="6"/>
      <c r="M552" s="6"/>
      <c r="N552" s="12" t="n">
        <v>40.8</v>
      </c>
      <c r="O552" s="12" t="n">
        <v>26.2</v>
      </c>
      <c r="P552" s="12"/>
      <c r="Q552" s="12" t="n">
        <v>26.2</v>
      </c>
      <c r="R552" s="14" t="n">
        <v>0.021</v>
      </c>
      <c r="S552" s="6" t="n">
        <v>0</v>
      </c>
      <c r="T552" s="6"/>
      <c r="U552" s="14" t="n">
        <v>0</v>
      </c>
      <c r="V552" s="15" t="n">
        <f aca="false">60*R552+0.5*(1-(Q552/N552)^2)</f>
        <v>1.55381728181469</v>
      </c>
      <c r="W552" s="14"/>
      <c r="X552" s="10" t="s">
        <v>1207</v>
      </c>
      <c r="Y552" s="16"/>
      <c r="Z552" s="17" t="s">
        <v>48</v>
      </c>
      <c r="AA552" s="6"/>
      <c r="AB552" s="18" t="n">
        <f aca="false">IF(O552="","",$D$3*PI()*(O552/1000)^2/4*3600)</f>
        <v>2.91129506252574</v>
      </c>
      <c r="AC552" s="19" t="n">
        <f aca="false">IF(OR(U552="",NOT(ISNUMBER(U552))),"",U552*$D$3^2/(2*$H$3))</f>
        <v>0</v>
      </c>
      <c r="AD552" s="20" t="n">
        <f aca="false">IF(OR(U552="",NOT(ISNUMBER(U552))),"",U552*$D$3^2/2*$F$3)</f>
        <v>0</v>
      </c>
      <c r="AE552" s="19" t="n">
        <f aca="false">IF(OR(V552="",NOT(ISNUMBER(V552))),"",V552*$D$3^2/(2*$H$3))</f>
        <v>0.178190055253978</v>
      </c>
      <c r="AF552" s="20" t="n">
        <f aca="false">IF(OR(V552="",NOT(ISNUMBER(V552))),"",V552*$D$3^2/2*$F$3)</f>
        <v>1748.04444204152</v>
      </c>
      <c r="AG552" s="19" t="str">
        <f aca="false">IF(OR(W552="",NOT(ISNUMBER(W552))),"",W552*$D$3^2/(2*$H$3))</f>
        <v/>
      </c>
      <c r="AH552" s="20" t="str">
        <f aca="false">IF(OR(W552="",NOT(ISNUMBER(W552))),"",W552*$D$3^2/2*$F$3)</f>
        <v/>
      </c>
    </row>
    <row r="553" customFormat="false" ht="15" hidden="false" customHeight="false" outlineLevel="0" collapsed="false">
      <c r="A553" s="10" t="s">
        <v>1210</v>
      </c>
      <c r="B553" s="22" t="s">
        <v>924</v>
      </c>
      <c r="C553" s="6" t="s">
        <v>925</v>
      </c>
      <c r="D553" s="6" t="s">
        <v>1211</v>
      </c>
      <c r="E553" s="6" t="s">
        <v>1206</v>
      </c>
      <c r="F553" s="6" t="s">
        <v>334</v>
      </c>
      <c r="G553" s="6" t="n">
        <v>63</v>
      </c>
      <c r="H553" s="6" t="n">
        <v>32</v>
      </c>
      <c r="I553" s="6"/>
      <c r="J553" s="6" t="n">
        <v>16</v>
      </c>
      <c r="K553" s="6" t="s">
        <v>928</v>
      </c>
      <c r="L553" s="6"/>
      <c r="M553" s="6"/>
      <c r="N553" s="12" t="n">
        <v>51.4</v>
      </c>
      <c r="O553" s="12" t="n">
        <v>26.2</v>
      </c>
      <c r="P553" s="12"/>
      <c r="Q553" s="12" t="n">
        <v>26.2</v>
      </c>
      <c r="R553" s="14" t="n">
        <v>0.019</v>
      </c>
      <c r="S553" s="6" t="n">
        <v>0</v>
      </c>
      <c r="T553" s="6"/>
      <c r="U553" s="14" t="n">
        <v>0</v>
      </c>
      <c r="V553" s="15" t="n">
        <f aca="false">60*R553+0.5*(1-(Q553/N553)^2)</f>
        <v>1.51008887341216</v>
      </c>
      <c r="W553" s="14"/>
      <c r="X553" s="10" t="s">
        <v>1207</v>
      </c>
      <c r="Y553" s="16"/>
      <c r="Z553" s="17" t="s">
        <v>48</v>
      </c>
      <c r="AA553" s="6"/>
      <c r="AB553" s="18" t="n">
        <f aca="false">IF(O553="","",$D$3*PI()*(O553/1000)^2/4*3600)</f>
        <v>2.91129506252574</v>
      </c>
      <c r="AC553" s="19" t="n">
        <f aca="false">IF(OR(U553="",NOT(ISNUMBER(U553))),"",U553*$D$3^2/(2*$H$3))</f>
        <v>0</v>
      </c>
      <c r="AD553" s="20" t="n">
        <f aca="false">IF(OR(U553="",NOT(ISNUMBER(U553))),"",U553*$D$3^2/2*$F$3)</f>
        <v>0</v>
      </c>
      <c r="AE553" s="19" t="n">
        <f aca="false">IF(OR(V553="",NOT(ISNUMBER(V553))),"",V553*$D$3^2/(2*$H$3))</f>
        <v>0.173175329519744</v>
      </c>
      <c r="AF553" s="20" t="n">
        <f aca="false">IF(OR(V553="",NOT(ISNUMBER(V553))),"",V553*$D$3^2/2*$F$3)</f>
        <v>1698.84998258868</v>
      </c>
      <c r="AG553" s="19" t="str">
        <f aca="false">IF(OR(W553="",NOT(ISNUMBER(W553))),"",W553*$D$3^2/(2*$H$3))</f>
        <v/>
      </c>
      <c r="AH553" s="20" t="str">
        <f aca="false">IF(OR(W553="",NOT(ISNUMBER(W553))),"",W553*$D$3^2/2*$F$3)</f>
        <v/>
      </c>
    </row>
    <row r="554" customFormat="false" ht="15" hidden="false" customHeight="false" outlineLevel="0" collapsed="false">
      <c r="A554" s="10" t="s">
        <v>1212</v>
      </c>
      <c r="B554" s="22" t="s">
        <v>924</v>
      </c>
      <c r="C554" s="6" t="s">
        <v>925</v>
      </c>
      <c r="D554" s="6" t="s">
        <v>1213</v>
      </c>
      <c r="E554" s="6" t="s">
        <v>1206</v>
      </c>
      <c r="F554" s="6" t="s">
        <v>334</v>
      </c>
      <c r="G554" s="6" t="n">
        <v>63</v>
      </c>
      <c r="H554" s="6" t="n">
        <v>40</v>
      </c>
      <c r="I554" s="6"/>
      <c r="J554" s="6" t="n">
        <v>16</v>
      </c>
      <c r="K554" s="6" t="s">
        <v>928</v>
      </c>
      <c r="L554" s="6"/>
      <c r="M554" s="6"/>
      <c r="N554" s="12" t="n">
        <v>51.4</v>
      </c>
      <c r="O554" s="12" t="n">
        <v>32.6</v>
      </c>
      <c r="P554" s="12"/>
      <c r="Q554" s="12" t="n">
        <v>32.6</v>
      </c>
      <c r="R554" s="14" t="n">
        <v>0.019</v>
      </c>
      <c r="S554" s="6" t="n">
        <v>0</v>
      </c>
      <c r="T554" s="6"/>
      <c r="U554" s="14" t="n">
        <v>0</v>
      </c>
      <c r="V554" s="15" t="n">
        <f aca="false">60*R554+0.5*(1-(Q554/N554)^2)</f>
        <v>1.43886902148405</v>
      </c>
      <c r="W554" s="14"/>
      <c r="X554" s="10" t="s">
        <v>1207</v>
      </c>
      <c r="Y554" s="16"/>
      <c r="Z554" s="17" t="s">
        <v>48</v>
      </c>
      <c r="AA554" s="6"/>
      <c r="AB554" s="18" t="n">
        <f aca="false">IF(O554="","",$D$3*PI()*(O554/1000)^2/4*3600)</f>
        <v>4.50732466151427</v>
      </c>
      <c r="AC554" s="19" t="n">
        <f aca="false">IF(OR(U554="",NOT(ISNUMBER(U554))),"",U554*$D$3^2/(2*$H$3))</f>
        <v>0</v>
      </c>
      <c r="AD554" s="20" t="n">
        <f aca="false">IF(OR(U554="",NOT(ISNUMBER(U554))),"",U554*$D$3^2/2*$F$3)</f>
        <v>0</v>
      </c>
      <c r="AE554" s="19" t="n">
        <f aca="false">IF(OR(V554="",NOT(ISNUMBER(V554))),"",V554*$D$3^2/(2*$H$3))</f>
        <v>0.165007915307804</v>
      </c>
      <c r="AF554" s="20" t="n">
        <f aca="false">IF(OR(V554="",NOT(ISNUMBER(V554))),"",V554*$D$3^2/2*$F$3)</f>
        <v>1618.72764916956</v>
      </c>
      <c r="AG554" s="19" t="str">
        <f aca="false">IF(OR(W554="",NOT(ISNUMBER(W554))),"",W554*$D$3^2/(2*$H$3))</f>
        <v/>
      </c>
      <c r="AH554" s="20" t="str">
        <f aca="false">IF(OR(W554="",NOT(ISNUMBER(W554))),"",W554*$D$3^2/2*$F$3)</f>
        <v/>
      </c>
    </row>
    <row r="555" customFormat="false" ht="15" hidden="false" customHeight="false" outlineLevel="0" collapsed="false">
      <c r="A555" s="10" t="s">
        <v>1214</v>
      </c>
      <c r="B555" s="22" t="s">
        <v>924</v>
      </c>
      <c r="C555" s="6" t="s">
        <v>925</v>
      </c>
      <c r="D555" s="6" t="s">
        <v>1215</v>
      </c>
      <c r="E555" s="6" t="s">
        <v>1206</v>
      </c>
      <c r="F555" s="6" t="s">
        <v>334</v>
      </c>
      <c r="G555" s="6" t="n">
        <v>75</v>
      </c>
      <c r="H555" s="6" t="n">
        <v>32</v>
      </c>
      <c r="I555" s="6"/>
      <c r="J555" s="6" t="n">
        <v>16</v>
      </c>
      <c r="K555" s="6" t="s">
        <v>928</v>
      </c>
      <c r="L555" s="6"/>
      <c r="M555" s="6"/>
      <c r="N555" s="12" t="n">
        <v>61.4</v>
      </c>
      <c r="O555" s="12" t="n">
        <v>26.2</v>
      </c>
      <c r="P555" s="12"/>
      <c r="Q555" s="12" t="n">
        <v>26.2</v>
      </c>
      <c r="R555" s="14" t="n">
        <v>0.018</v>
      </c>
      <c r="S555" s="6" t="n">
        <v>0</v>
      </c>
      <c r="T555" s="6"/>
      <c r="U555" s="14" t="n">
        <v>0</v>
      </c>
      <c r="V555" s="15" t="n">
        <f aca="false">60*R555+0.5*(1-(Q555/N555)^2)</f>
        <v>1.48895924625195</v>
      </c>
      <c r="W555" s="14"/>
      <c r="X555" s="10" t="s">
        <v>1207</v>
      </c>
      <c r="Y555" s="16"/>
      <c r="Z555" s="17" t="s">
        <v>48</v>
      </c>
      <c r="AA555" s="6"/>
      <c r="AB555" s="18" t="n">
        <f aca="false">IF(O555="","",$D$3*PI()*(O555/1000)^2/4*3600)</f>
        <v>2.91129506252574</v>
      </c>
      <c r="AC555" s="19" t="n">
        <f aca="false">IF(OR(U555="",NOT(ISNUMBER(U555))),"",U555*$D$3^2/(2*$H$3))</f>
        <v>0</v>
      </c>
      <c r="AD555" s="20" t="n">
        <f aca="false">IF(OR(U555="",NOT(ISNUMBER(U555))),"",U555*$D$3^2/2*$F$3)</f>
        <v>0</v>
      </c>
      <c r="AE555" s="19" t="n">
        <f aca="false">IF(OR(V555="",NOT(ISNUMBER(V555))),"",V555*$D$3^2/(2*$H$3))</f>
        <v>0.170752207138985</v>
      </c>
      <c r="AF555" s="20" t="n">
        <f aca="false">IF(OR(V555="",NOT(ISNUMBER(V555))),"",V555*$D$3^2/2*$F$3)</f>
        <v>1675.07915203344</v>
      </c>
      <c r="AG555" s="19" t="str">
        <f aca="false">IF(OR(W555="",NOT(ISNUMBER(W555))),"",W555*$D$3^2/(2*$H$3))</f>
        <v/>
      </c>
      <c r="AH555" s="20" t="str">
        <f aca="false">IF(OR(W555="",NOT(ISNUMBER(W555))),"",W555*$D$3^2/2*$F$3)</f>
        <v/>
      </c>
    </row>
    <row r="556" customFormat="false" ht="15" hidden="false" customHeight="false" outlineLevel="0" collapsed="false">
      <c r="A556" s="10" t="s">
        <v>1216</v>
      </c>
      <c r="B556" s="22" t="s">
        <v>924</v>
      </c>
      <c r="C556" s="6" t="s">
        <v>925</v>
      </c>
      <c r="D556" s="6" t="s">
        <v>1217</v>
      </c>
      <c r="E556" s="6" t="s">
        <v>1206</v>
      </c>
      <c r="F556" s="6" t="s">
        <v>334</v>
      </c>
      <c r="G556" s="6" t="n">
        <v>90</v>
      </c>
      <c r="H556" s="6" t="n">
        <v>32</v>
      </c>
      <c r="I556" s="6"/>
      <c r="J556" s="6" t="n">
        <v>16</v>
      </c>
      <c r="K556" s="6" t="s">
        <v>928</v>
      </c>
      <c r="L556" s="6"/>
      <c r="M556" s="6"/>
      <c r="N556" s="12" t="n">
        <v>73.6</v>
      </c>
      <c r="O556" s="12" t="n">
        <v>26.2</v>
      </c>
      <c r="P556" s="12"/>
      <c r="Q556" s="12" t="n">
        <v>26.2</v>
      </c>
      <c r="R556" s="14" t="n">
        <v>0.018</v>
      </c>
      <c r="S556" s="6" t="n">
        <v>0</v>
      </c>
      <c r="T556" s="6"/>
      <c r="U556" s="14" t="n">
        <v>0</v>
      </c>
      <c r="V556" s="15" t="n">
        <f aca="false">60*R556+0.5*(1-(Q556/N556)^2)</f>
        <v>1.51663973889414</v>
      </c>
      <c r="W556" s="14"/>
      <c r="X556" s="10" t="s">
        <v>1207</v>
      </c>
      <c r="Y556" s="16"/>
      <c r="Z556" s="17" t="s">
        <v>48</v>
      </c>
      <c r="AA556" s="6"/>
      <c r="AB556" s="18" t="n">
        <f aca="false">IF(O556="","",$D$3*PI()*(O556/1000)^2/4*3600)</f>
        <v>2.91129506252574</v>
      </c>
      <c r="AC556" s="19" t="n">
        <f aca="false">IF(OR(U556="",NOT(ISNUMBER(U556))),"",U556*$D$3^2/(2*$H$3))</f>
        <v>0</v>
      </c>
      <c r="AD556" s="20" t="n">
        <f aca="false">IF(OR(U556="",NOT(ISNUMBER(U556))),"",U556*$D$3^2/2*$F$3)</f>
        <v>0</v>
      </c>
      <c r="AE556" s="19" t="n">
        <f aca="false">IF(OR(V556="",NOT(ISNUMBER(V556))),"",V556*$D$3^2/(2*$H$3))</f>
        <v>0.173926575561255</v>
      </c>
      <c r="AF556" s="20" t="n">
        <f aca="false">IF(OR(V556="",NOT(ISNUMBER(V556))),"",V556*$D$3^2/2*$F$3)</f>
        <v>1706.21970625591</v>
      </c>
      <c r="AG556" s="19" t="str">
        <f aca="false">IF(OR(W556="",NOT(ISNUMBER(W556))),"",W556*$D$3^2/(2*$H$3))</f>
        <v/>
      </c>
      <c r="AH556" s="20" t="str">
        <f aca="false">IF(OR(W556="",NOT(ISNUMBER(W556))),"",W556*$D$3^2/2*$F$3)</f>
        <v/>
      </c>
    </row>
    <row r="557" customFormat="false" ht="15" hidden="false" customHeight="false" outlineLevel="0" collapsed="false">
      <c r="A557" s="10" t="s">
        <v>1218</v>
      </c>
      <c r="B557" s="22" t="s">
        <v>924</v>
      </c>
      <c r="C557" s="6" t="s">
        <v>925</v>
      </c>
      <c r="D557" s="6" t="s">
        <v>1219</v>
      </c>
      <c r="E557" s="6" t="s">
        <v>1206</v>
      </c>
      <c r="F557" s="6" t="s">
        <v>334</v>
      </c>
      <c r="G557" s="6" t="n">
        <v>90</v>
      </c>
      <c r="H557" s="6" t="n">
        <v>40</v>
      </c>
      <c r="I557" s="6"/>
      <c r="J557" s="6" t="n">
        <v>16</v>
      </c>
      <c r="K557" s="6" t="s">
        <v>928</v>
      </c>
      <c r="L557" s="6"/>
      <c r="M557" s="6"/>
      <c r="N557" s="12" t="n">
        <v>73.6</v>
      </c>
      <c r="O557" s="12" t="n">
        <v>32.6</v>
      </c>
      <c r="P557" s="12"/>
      <c r="Q557" s="12" t="n">
        <v>32.6</v>
      </c>
      <c r="R557" s="14" t="n">
        <v>0.018</v>
      </c>
      <c r="S557" s="6" t="n">
        <v>0</v>
      </c>
      <c r="T557" s="6"/>
      <c r="U557" s="14" t="n">
        <v>0</v>
      </c>
      <c r="V557" s="15" t="n">
        <f aca="false">60*R557+0.5*(1-(Q557/N557)^2)</f>
        <v>1.48190438917769</v>
      </c>
      <c r="W557" s="14"/>
      <c r="X557" s="10" t="s">
        <v>1207</v>
      </c>
      <c r="Y557" s="16"/>
      <c r="Z557" s="17" t="s">
        <v>48</v>
      </c>
      <c r="AA557" s="6"/>
      <c r="AB557" s="18" t="n">
        <f aca="false">IF(O557="","",$D$3*PI()*(O557/1000)^2/4*3600)</f>
        <v>4.50732466151427</v>
      </c>
      <c r="AC557" s="19" t="n">
        <f aca="false">IF(OR(U557="",NOT(ISNUMBER(U557))),"",U557*$D$3^2/(2*$H$3))</f>
        <v>0</v>
      </c>
      <c r="AD557" s="20" t="n">
        <f aca="false">IF(OR(U557="",NOT(ISNUMBER(U557))),"",U557*$D$3^2/2*$F$3)</f>
        <v>0</v>
      </c>
      <c r="AE557" s="19" t="n">
        <f aca="false">IF(OR(V557="",NOT(ISNUMBER(V557))),"",V557*$D$3^2/(2*$H$3))</f>
        <v>0.169943163896524</v>
      </c>
      <c r="AF557" s="20" t="n">
        <f aca="false">IF(OR(V557="",NOT(ISNUMBER(V557))),"",V557*$D$3^2/2*$F$3)</f>
        <v>1667.14243782491</v>
      </c>
      <c r="AG557" s="19" t="str">
        <f aca="false">IF(OR(W557="",NOT(ISNUMBER(W557))),"",W557*$D$3^2/(2*$H$3))</f>
        <v/>
      </c>
      <c r="AH557" s="20" t="str">
        <f aca="false">IF(OR(W557="",NOT(ISNUMBER(W557))),"",W557*$D$3^2/2*$F$3)</f>
        <v/>
      </c>
    </row>
    <row r="558" customFormat="false" ht="15" hidden="false" customHeight="false" outlineLevel="0" collapsed="false">
      <c r="A558" s="10" t="s">
        <v>1220</v>
      </c>
      <c r="B558" s="22" t="s">
        <v>924</v>
      </c>
      <c r="C558" s="6" t="s">
        <v>925</v>
      </c>
      <c r="D558" s="6" t="s">
        <v>1221</v>
      </c>
      <c r="E558" s="6" t="s">
        <v>1206</v>
      </c>
      <c r="F558" s="6" t="s">
        <v>334</v>
      </c>
      <c r="G558" s="6" t="n">
        <v>90</v>
      </c>
      <c r="H558" s="6" t="n">
        <v>63</v>
      </c>
      <c r="I558" s="6"/>
      <c r="J558" s="6" t="n">
        <v>16</v>
      </c>
      <c r="K558" s="6" t="s">
        <v>928</v>
      </c>
      <c r="L558" s="6"/>
      <c r="M558" s="6"/>
      <c r="N558" s="12" t="n">
        <v>73.6</v>
      </c>
      <c r="O558" s="12" t="n">
        <v>51.4</v>
      </c>
      <c r="P558" s="12"/>
      <c r="Q558" s="12" t="n">
        <v>51.4</v>
      </c>
      <c r="R558" s="14" t="n">
        <v>0.018</v>
      </c>
      <c r="S558" s="6" t="n">
        <v>0</v>
      </c>
      <c r="T558" s="6"/>
      <c r="U558" s="14" t="n">
        <v>0</v>
      </c>
      <c r="V558" s="15" t="n">
        <f aca="false">60*R558+0.5*(1-(Q558/N558)^2)</f>
        <v>1.33613997518904</v>
      </c>
      <c r="W558" s="14"/>
      <c r="X558" s="10" t="s">
        <v>1207</v>
      </c>
      <c r="Y558" s="16"/>
      <c r="Z558" s="17" t="s">
        <v>48</v>
      </c>
      <c r="AA558" s="6"/>
      <c r="AB558" s="18" t="n">
        <f aca="false">IF(O558="","",$D$3*PI()*(O558/1000)^2/4*3600)</f>
        <v>11.2049488715554</v>
      </c>
      <c r="AC558" s="19" t="n">
        <f aca="false">IF(OR(U558="",NOT(ISNUMBER(U558))),"",U558*$D$3^2/(2*$H$3))</f>
        <v>0</v>
      </c>
      <c r="AD558" s="20" t="n">
        <f aca="false">IF(OR(U558="",NOT(ISNUMBER(U558))),"",U558*$D$3^2/2*$F$3)</f>
        <v>0</v>
      </c>
      <c r="AE558" s="19" t="n">
        <f aca="false">IF(OR(V558="",NOT(ISNUMBER(V558))),"",V558*$D$3^2/(2*$H$3))</f>
        <v>0.153227061374889</v>
      </c>
      <c r="AF558" s="20" t="n">
        <f aca="false">IF(OR(V558="",NOT(ISNUMBER(V558))),"",V558*$D$3^2/2*$F$3)</f>
        <v>1503.15747208767</v>
      </c>
      <c r="AG558" s="19" t="str">
        <f aca="false">IF(OR(W558="",NOT(ISNUMBER(W558))),"",W558*$D$3^2/(2*$H$3))</f>
        <v/>
      </c>
      <c r="AH558" s="20" t="str">
        <f aca="false">IF(OR(W558="",NOT(ISNUMBER(W558))),"",W558*$D$3^2/2*$F$3)</f>
        <v/>
      </c>
    </row>
    <row r="559" customFormat="false" ht="15" hidden="false" customHeight="false" outlineLevel="0" collapsed="false">
      <c r="A559" s="10" t="s">
        <v>1222</v>
      </c>
      <c r="B559" s="22" t="s">
        <v>924</v>
      </c>
      <c r="C559" s="6" t="s">
        <v>925</v>
      </c>
      <c r="D559" s="6" t="s">
        <v>1223</v>
      </c>
      <c r="E559" s="6" t="s">
        <v>1206</v>
      </c>
      <c r="F559" s="6" t="s">
        <v>334</v>
      </c>
      <c r="G559" s="6" t="n">
        <v>110</v>
      </c>
      <c r="H559" s="6" t="n">
        <v>32</v>
      </c>
      <c r="I559" s="6"/>
      <c r="J559" s="6" t="n">
        <v>16</v>
      </c>
      <c r="K559" s="6" t="s">
        <v>928</v>
      </c>
      <c r="L559" s="6"/>
      <c r="M559" s="6"/>
      <c r="N559" s="12" t="n">
        <v>90</v>
      </c>
      <c r="O559" s="12" t="n">
        <v>26.2</v>
      </c>
      <c r="P559" s="12"/>
      <c r="Q559" s="12" t="n">
        <v>26.2</v>
      </c>
      <c r="R559" s="14" t="n">
        <v>0.017</v>
      </c>
      <c r="S559" s="6" t="n">
        <v>0</v>
      </c>
      <c r="T559" s="6"/>
      <c r="U559" s="14" t="n">
        <v>0</v>
      </c>
      <c r="V559" s="15" t="n">
        <f aca="false">60*R559+0.5*(1-(Q559/N559)^2)</f>
        <v>1.47762716049383</v>
      </c>
      <c r="W559" s="14"/>
      <c r="X559" s="10" t="s">
        <v>1207</v>
      </c>
      <c r="Y559" s="16"/>
      <c r="Z559" s="17" t="s">
        <v>48</v>
      </c>
      <c r="AA559" s="6"/>
      <c r="AB559" s="18" t="n">
        <f aca="false">IF(O559="","",$D$3*PI()*(O559/1000)^2/4*3600)</f>
        <v>2.91129506252574</v>
      </c>
      <c r="AC559" s="19" t="n">
        <f aca="false">IF(OR(U559="",NOT(ISNUMBER(U559))),"",U559*$D$3^2/(2*$H$3))</f>
        <v>0</v>
      </c>
      <c r="AD559" s="20" t="n">
        <f aca="false">IF(OR(U559="",NOT(ISNUMBER(U559))),"",U559*$D$3^2/2*$F$3)</f>
        <v>0</v>
      </c>
      <c r="AE559" s="19" t="n">
        <f aca="false">IF(OR(V559="",NOT(ISNUMBER(V559))),"",V559*$D$3^2/(2*$H$3))</f>
        <v>0.169452656019934</v>
      </c>
      <c r="AF559" s="20" t="n">
        <f aca="false">IF(OR(V559="",NOT(ISNUMBER(V559))),"",V559*$D$3^2/2*$F$3)</f>
        <v>1662.33055555556</v>
      </c>
      <c r="AG559" s="19" t="str">
        <f aca="false">IF(OR(W559="",NOT(ISNUMBER(W559))),"",W559*$D$3^2/(2*$H$3))</f>
        <v/>
      </c>
      <c r="AH559" s="20" t="str">
        <f aca="false">IF(OR(W559="",NOT(ISNUMBER(W559))),"",W559*$D$3^2/2*$F$3)</f>
        <v/>
      </c>
    </row>
    <row r="560" customFormat="false" ht="15" hidden="false" customHeight="false" outlineLevel="0" collapsed="false">
      <c r="A560" s="10" t="s">
        <v>1224</v>
      </c>
      <c r="B560" s="22" t="s">
        <v>924</v>
      </c>
      <c r="C560" s="6" t="s">
        <v>925</v>
      </c>
      <c r="D560" s="6" t="s">
        <v>1225</v>
      </c>
      <c r="E560" s="6" t="s">
        <v>1206</v>
      </c>
      <c r="F560" s="6" t="s">
        <v>334</v>
      </c>
      <c r="G560" s="6" t="n">
        <v>110</v>
      </c>
      <c r="H560" s="6" t="n">
        <v>40</v>
      </c>
      <c r="I560" s="6"/>
      <c r="J560" s="6" t="n">
        <v>16</v>
      </c>
      <c r="K560" s="6" t="s">
        <v>928</v>
      </c>
      <c r="L560" s="6"/>
      <c r="M560" s="6"/>
      <c r="N560" s="12" t="n">
        <v>90</v>
      </c>
      <c r="O560" s="12" t="n">
        <v>32.6</v>
      </c>
      <c r="P560" s="12"/>
      <c r="Q560" s="12" t="n">
        <v>32.6</v>
      </c>
      <c r="R560" s="14" t="n">
        <v>0.017</v>
      </c>
      <c r="S560" s="6" t="n">
        <v>0</v>
      </c>
      <c r="T560" s="6"/>
      <c r="U560" s="14" t="n">
        <v>0</v>
      </c>
      <c r="V560" s="15" t="n">
        <f aca="false">60*R560+0.5*(1-(Q560/N560)^2)</f>
        <v>1.4543975308642</v>
      </c>
      <c r="W560" s="14"/>
      <c r="X560" s="10" t="s">
        <v>1207</v>
      </c>
      <c r="Y560" s="16"/>
      <c r="Z560" s="17" t="s">
        <v>48</v>
      </c>
      <c r="AA560" s="6"/>
      <c r="AB560" s="18" t="n">
        <f aca="false">IF(O560="","",$D$3*PI()*(O560/1000)^2/4*3600)</f>
        <v>4.50732466151427</v>
      </c>
      <c r="AC560" s="19" t="n">
        <f aca="false">IF(OR(U560="",NOT(ISNUMBER(U560))),"",U560*$D$3^2/(2*$H$3))</f>
        <v>0</v>
      </c>
      <c r="AD560" s="20" t="n">
        <f aca="false">IF(OR(U560="",NOT(ISNUMBER(U560))),"",U560*$D$3^2/2*$F$3)</f>
        <v>0</v>
      </c>
      <c r="AE560" s="19" t="n">
        <f aca="false">IF(OR(V560="",NOT(ISNUMBER(V560))),"",V560*$D$3^2/(2*$H$3))</f>
        <v>0.166788707667913</v>
      </c>
      <c r="AF560" s="20" t="n">
        <f aca="false">IF(OR(V560="",NOT(ISNUMBER(V560))),"",V560*$D$3^2/2*$F$3)</f>
        <v>1636.19722222222</v>
      </c>
      <c r="AG560" s="19" t="str">
        <f aca="false">IF(OR(W560="",NOT(ISNUMBER(W560))),"",W560*$D$3^2/(2*$H$3))</f>
        <v/>
      </c>
      <c r="AH560" s="20" t="str">
        <f aca="false">IF(OR(W560="",NOT(ISNUMBER(W560))),"",W560*$D$3^2/2*$F$3)</f>
        <v/>
      </c>
    </row>
    <row r="561" customFormat="false" ht="15" hidden="false" customHeight="false" outlineLevel="0" collapsed="false">
      <c r="A561" s="10" t="s">
        <v>1226</v>
      </c>
      <c r="B561" s="22" t="s">
        <v>924</v>
      </c>
      <c r="C561" s="6" t="s">
        <v>925</v>
      </c>
      <c r="D561" s="6" t="s">
        <v>1227</v>
      </c>
      <c r="E561" s="6" t="s">
        <v>1206</v>
      </c>
      <c r="F561" s="6" t="s">
        <v>334</v>
      </c>
      <c r="G561" s="6" t="n">
        <v>110</v>
      </c>
      <c r="H561" s="6" t="n">
        <v>63</v>
      </c>
      <c r="I561" s="6"/>
      <c r="J561" s="6" t="n">
        <v>16</v>
      </c>
      <c r="K561" s="6" t="s">
        <v>928</v>
      </c>
      <c r="L561" s="6"/>
      <c r="M561" s="6"/>
      <c r="N561" s="12" t="n">
        <v>90</v>
      </c>
      <c r="O561" s="12" t="n">
        <v>51.4</v>
      </c>
      <c r="P561" s="12"/>
      <c r="Q561" s="12" t="n">
        <v>51.4</v>
      </c>
      <c r="R561" s="14" t="n">
        <v>0.017</v>
      </c>
      <c r="S561" s="6" t="n">
        <v>0</v>
      </c>
      <c r="T561" s="6"/>
      <c r="U561" s="14" t="n">
        <v>0</v>
      </c>
      <c r="V561" s="15" t="n">
        <f aca="false">60*R561+0.5*(1-(Q561/N561)^2)</f>
        <v>1.35691604938272</v>
      </c>
      <c r="W561" s="14"/>
      <c r="X561" s="10" t="s">
        <v>1207</v>
      </c>
      <c r="Y561" s="16"/>
      <c r="Z561" s="17" t="s">
        <v>48</v>
      </c>
      <c r="AA561" s="6"/>
      <c r="AB561" s="18" t="n">
        <f aca="false">IF(O561="","",$D$3*PI()*(O561/1000)^2/4*3600)</f>
        <v>11.2049488715554</v>
      </c>
      <c r="AC561" s="19" t="n">
        <f aca="false">IF(OR(U561="",NOT(ISNUMBER(U561))),"",U561*$D$3^2/(2*$H$3))</f>
        <v>0</v>
      </c>
      <c r="AD561" s="20" t="n">
        <f aca="false">IF(OR(U561="",NOT(ISNUMBER(U561))),"",U561*$D$3^2/2*$F$3)</f>
        <v>0</v>
      </c>
      <c r="AE561" s="19" t="n">
        <f aca="false">IF(OR(V561="",NOT(ISNUMBER(V561))),"",V561*$D$3^2/(2*$H$3))</f>
        <v>0.155609638690678</v>
      </c>
      <c r="AF561" s="20" t="n">
        <f aca="false">IF(OR(V561="",NOT(ISNUMBER(V561))),"",V561*$D$3^2/2*$F$3)</f>
        <v>1526.53055555556</v>
      </c>
      <c r="AG561" s="19" t="str">
        <f aca="false">IF(OR(W561="",NOT(ISNUMBER(W561))),"",W561*$D$3^2/(2*$H$3))</f>
        <v/>
      </c>
      <c r="AH561" s="20" t="str">
        <f aca="false">IF(OR(W561="",NOT(ISNUMBER(W561))),"",W561*$D$3^2/2*$F$3)</f>
        <v/>
      </c>
    </row>
    <row r="562" customFormat="false" ht="15" hidden="false" customHeight="false" outlineLevel="0" collapsed="false">
      <c r="A562" s="10" t="s">
        <v>1228</v>
      </c>
      <c r="B562" s="22" t="s">
        <v>924</v>
      </c>
      <c r="C562" s="6" t="s">
        <v>925</v>
      </c>
      <c r="D562" s="6" t="s">
        <v>1229</v>
      </c>
      <c r="E562" s="6" t="s">
        <v>1206</v>
      </c>
      <c r="F562" s="6" t="s">
        <v>334</v>
      </c>
      <c r="G562" s="6" t="n">
        <v>125</v>
      </c>
      <c r="H562" s="6" t="n">
        <v>32</v>
      </c>
      <c r="I562" s="6"/>
      <c r="J562" s="6" t="n">
        <v>16</v>
      </c>
      <c r="K562" s="6" t="s">
        <v>928</v>
      </c>
      <c r="L562" s="6"/>
      <c r="M562" s="6"/>
      <c r="N562" s="12" t="n">
        <v>102.2</v>
      </c>
      <c r="O562" s="12" t="n">
        <v>26.2</v>
      </c>
      <c r="P562" s="12"/>
      <c r="Q562" s="12" t="n">
        <v>26.2</v>
      </c>
      <c r="R562" s="14" t="n">
        <v>0.016</v>
      </c>
      <c r="S562" s="6" t="n">
        <v>0</v>
      </c>
      <c r="T562" s="6"/>
      <c r="U562" s="14" t="n">
        <v>0</v>
      </c>
      <c r="V562" s="15" t="n">
        <f aca="false">60*R562+0.5*(1-(Q562/N562)^2)</f>
        <v>1.42713975513268</v>
      </c>
      <c r="W562" s="14"/>
      <c r="X562" s="10" t="s">
        <v>1207</v>
      </c>
      <c r="Y562" s="16"/>
      <c r="Z562" s="17" t="s">
        <v>48</v>
      </c>
      <c r="AA562" s="6"/>
      <c r="AB562" s="18" t="n">
        <f aca="false">IF(O562="","",$D$3*PI()*(O562/1000)^2/4*3600)</f>
        <v>2.91129506252574</v>
      </c>
      <c r="AC562" s="19" t="n">
        <f aca="false">IF(OR(U562="",NOT(ISNUMBER(U562))),"",U562*$D$3^2/(2*$H$3))</f>
        <v>0</v>
      </c>
      <c r="AD562" s="20" t="n">
        <f aca="false">IF(OR(U562="",NOT(ISNUMBER(U562))),"",U562*$D$3^2/2*$F$3)</f>
        <v>0</v>
      </c>
      <c r="AE562" s="19" t="n">
        <f aca="false">IF(OR(V562="",NOT(ISNUMBER(V562))),"",V562*$D$3^2/(2*$H$3))</f>
        <v>0.163662815955582</v>
      </c>
      <c r="AF562" s="20" t="n">
        <f aca="false">IF(OR(V562="",NOT(ISNUMBER(V562))),"",V562*$D$3^2/2*$F$3)</f>
        <v>1605.53222452426</v>
      </c>
      <c r="AG562" s="19" t="str">
        <f aca="false">IF(OR(W562="",NOT(ISNUMBER(W562))),"",W562*$D$3^2/(2*$H$3))</f>
        <v/>
      </c>
      <c r="AH562" s="20" t="str">
        <f aca="false">IF(OR(W562="",NOT(ISNUMBER(W562))),"",W562*$D$3^2/2*$F$3)</f>
        <v/>
      </c>
    </row>
    <row r="563" customFormat="false" ht="15" hidden="false" customHeight="false" outlineLevel="0" collapsed="false">
      <c r="A563" s="10" t="s">
        <v>1230</v>
      </c>
      <c r="B563" s="22" t="s">
        <v>924</v>
      </c>
      <c r="C563" s="6" t="s">
        <v>925</v>
      </c>
      <c r="D563" s="6" t="s">
        <v>1231</v>
      </c>
      <c r="E563" s="6" t="s">
        <v>1206</v>
      </c>
      <c r="F563" s="6" t="s">
        <v>334</v>
      </c>
      <c r="G563" s="6" t="n">
        <v>125</v>
      </c>
      <c r="H563" s="6" t="n">
        <v>40</v>
      </c>
      <c r="I563" s="6"/>
      <c r="J563" s="6" t="n">
        <v>16</v>
      </c>
      <c r="K563" s="6" t="s">
        <v>928</v>
      </c>
      <c r="L563" s="6"/>
      <c r="M563" s="6"/>
      <c r="N563" s="12" t="n">
        <v>102.2</v>
      </c>
      <c r="O563" s="12" t="n">
        <v>32.6</v>
      </c>
      <c r="P563" s="12"/>
      <c r="Q563" s="12" t="n">
        <v>32.6</v>
      </c>
      <c r="R563" s="14" t="n">
        <v>0.016</v>
      </c>
      <c r="S563" s="6" t="n">
        <v>0</v>
      </c>
      <c r="T563" s="6"/>
      <c r="U563" s="14" t="n">
        <v>0</v>
      </c>
      <c r="V563" s="15" t="n">
        <f aca="false">60*R563+0.5*(1-(Q563/N563)^2)</f>
        <v>1.4091251182402</v>
      </c>
      <c r="W563" s="14"/>
      <c r="X563" s="10" t="s">
        <v>1207</v>
      </c>
      <c r="Y563" s="16"/>
      <c r="Z563" s="17" t="s">
        <v>48</v>
      </c>
      <c r="AA563" s="6"/>
      <c r="AB563" s="18" t="n">
        <f aca="false">IF(O563="","",$D$3*PI()*(O563/1000)^2/4*3600)</f>
        <v>4.50732466151427</v>
      </c>
      <c r="AC563" s="19" t="n">
        <f aca="false">IF(OR(U563="",NOT(ISNUMBER(U563))),"",U563*$D$3^2/(2*$H$3))</f>
        <v>0</v>
      </c>
      <c r="AD563" s="20" t="n">
        <f aca="false">IF(OR(U563="",NOT(ISNUMBER(U563))),"",U563*$D$3^2/2*$F$3)</f>
        <v>0</v>
      </c>
      <c r="AE563" s="19" t="n">
        <f aca="false">IF(OR(V563="",NOT(ISNUMBER(V563))),"",V563*$D$3^2/(2*$H$3))</f>
        <v>0.161596917229381</v>
      </c>
      <c r="AF563" s="20" t="n">
        <f aca="false">IF(OR(V563="",NOT(ISNUMBER(V563))),"",V563*$D$3^2/2*$F$3)</f>
        <v>1585.26575802023</v>
      </c>
      <c r="AG563" s="19" t="str">
        <f aca="false">IF(OR(W563="",NOT(ISNUMBER(W563))),"",W563*$D$3^2/(2*$H$3))</f>
        <v/>
      </c>
      <c r="AH563" s="20" t="str">
        <f aca="false">IF(OR(W563="",NOT(ISNUMBER(W563))),"",W563*$D$3^2/2*$F$3)</f>
        <v/>
      </c>
    </row>
    <row r="564" customFormat="false" ht="15" hidden="false" customHeight="false" outlineLevel="0" collapsed="false">
      <c r="A564" s="10" t="s">
        <v>1232</v>
      </c>
      <c r="B564" s="22" t="s">
        <v>924</v>
      </c>
      <c r="C564" s="6" t="s">
        <v>925</v>
      </c>
      <c r="D564" s="6" t="s">
        <v>1233</v>
      </c>
      <c r="E564" s="6" t="s">
        <v>1206</v>
      </c>
      <c r="F564" s="6" t="s">
        <v>334</v>
      </c>
      <c r="G564" s="6" t="n">
        <v>125</v>
      </c>
      <c r="H564" s="6" t="n">
        <v>63</v>
      </c>
      <c r="I564" s="6"/>
      <c r="J564" s="6" t="n">
        <v>16</v>
      </c>
      <c r="K564" s="6" t="s">
        <v>928</v>
      </c>
      <c r="L564" s="6"/>
      <c r="M564" s="6"/>
      <c r="N564" s="12" t="n">
        <v>102.2</v>
      </c>
      <c r="O564" s="12" t="n">
        <v>51.4</v>
      </c>
      <c r="P564" s="12"/>
      <c r="Q564" s="12" t="n">
        <v>51.4</v>
      </c>
      <c r="R564" s="14" t="n">
        <v>0.016</v>
      </c>
      <c r="S564" s="6" t="n">
        <v>0</v>
      </c>
      <c r="T564" s="6"/>
      <c r="U564" s="14" t="n">
        <v>0</v>
      </c>
      <c r="V564" s="15" t="n">
        <f aca="false">60*R564+0.5*(1-(Q564/N564)^2)</f>
        <v>1.33352798128071</v>
      </c>
      <c r="W564" s="14"/>
      <c r="X564" s="10" t="s">
        <v>1207</v>
      </c>
      <c r="Y564" s="16"/>
      <c r="Z564" s="17" t="s">
        <v>48</v>
      </c>
      <c r="AA564" s="6"/>
      <c r="AB564" s="18" t="n">
        <f aca="false">IF(O564="","",$D$3*PI()*(O564/1000)^2/4*3600)</f>
        <v>11.2049488715554</v>
      </c>
      <c r="AC564" s="19" t="n">
        <f aca="false">IF(OR(U564="",NOT(ISNUMBER(U564))),"",U564*$D$3^2/(2*$H$3))</f>
        <v>0</v>
      </c>
      <c r="AD564" s="20" t="n">
        <f aca="false">IF(OR(U564="",NOT(ISNUMBER(U564))),"",U564*$D$3^2/2*$F$3)</f>
        <v>0</v>
      </c>
      <c r="AE564" s="19" t="n">
        <f aca="false">IF(OR(V564="",NOT(ISNUMBER(V564))),"",V564*$D$3^2/(2*$H$3))</f>
        <v>0.152927520789072</v>
      </c>
      <c r="AF564" s="20" t="n">
        <f aca="false">IF(OR(V564="",NOT(ISNUMBER(V564))),"",V564*$D$3^2/2*$F$3)</f>
        <v>1500.2189789408</v>
      </c>
      <c r="AG564" s="19" t="str">
        <f aca="false">IF(OR(W564="",NOT(ISNUMBER(W564))),"",W564*$D$3^2/(2*$H$3))</f>
        <v/>
      </c>
      <c r="AH564" s="20" t="str">
        <f aca="false">IF(OR(W564="",NOT(ISNUMBER(W564))),"",W564*$D$3^2/2*$F$3)</f>
        <v/>
      </c>
    </row>
    <row r="565" customFormat="false" ht="15" hidden="false" customHeight="false" outlineLevel="0" collapsed="false">
      <c r="A565" s="10" t="s">
        <v>1234</v>
      </c>
      <c r="B565" s="22" t="s">
        <v>924</v>
      </c>
      <c r="C565" s="6" t="s">
        <v>925</v>
      </c>
      <c r="D565" s="6" t="s">
        <v>1235</v>
      </c>
      <c r="E565" s="6" t="s">
        <v>1206</v>
      </c>
      <c r="F565" s="6" t="s">
        <v>334</v>
      </c>
      <c r="G565" s="6" t="n">
        <v>160</v>
      </c>
      <c r="H565" s="6" t="n">
        <v>32</v>
      </c>
      <c r="I565" s="6"/>
      <c r="J565" s="6" t="n">
        <v>16</v>
      </c>
      <c r="K565" s="6" t="s">
        <v>928</v>
      </c>
      <c r="L565" s="6"/>
      <c r="M565" s="6"/>
      <c r="N565" s="12" t="n">
        <v>130.8</v>
      </c>
      <c r="O565" s="12" t="n">
        <v>26.2</v>
      </c>
      <c r="P565" s="12"/>
      <c r="Q565" s="12" t="n">
        <v>26.2</v>
      </c>
      <c r="R565" s="14" t="n">
        <v>0.015</v>
      </c>
      <c r="S565" s="6" t="n">
        <v>0</v>
      </c>
      <c r="T565" s="6"/>
      <c r="U565" s="14" t="n">
        <v>0</v>
      </c>
      <c r="V565" s="15" t="n">
        <f aca="false">60*R565+0.5*(1-(Q565/N565)^2)</f>
        <v>1.37993879116049</v>
      </c>
      <c r="W565" s="14"/>
      <c r="X565" s="10" t="s">
        <v>1207</v>
      </c>
      <c r="Y565" s="16"/>
      <c r="Z565" s="17" t="s">
        <v>48</v>
      </c>
      <c r="AA565" s="6"/>
      <c r="AB565" s="18" t="n">
        <f aca="false">IF(O565="","",$D$3*PI()*(O565/1000)^2/4*3600)</f>
        <v>2.91129506252574</v>
      </c>
      <c r="AC565" s="19" t="n">
        <f aca="false">IF(OR(U565="",NOT(ISNUMBER(U565))),"",U565*$D$3^2/(2*$H$3))</f>
        <v>0</v>
      </c>
      <c r="AD565" s="20" t="n">
        <f aca="false">IF(OR(U565="",NOT(ISNUMBER(U565))),"",U565*$D$3^2/2*$F$3)</f>
        <v>0</v>
      </c>
      <c r="AE565" s="19" t="n">
        <f aca="false">IF(OR(V565="",NOT(ISNUMBER(V565))),"",V565*$D$3^2/(2*$H$3))</f>
        <v>0.158249861371616</v>
      </c>
      <c r="AF565" s="20" t="n">
        <f aca="false">IF(OR(V565="",NOT(ISNUMBER(V565))),"",V565*$D$3^2/2*$F$3)</f>
        <v>1552.43114005555</v>
      </c>
      <c r="AG565" s="19" t="str">
        <f aca="false">IF(OR(W565="",NOT(ISNUMBER(W565))),"",W565*$D$3^2/(2*$H$3))</f>
        <v/>
      </c>
      <c r="AH565" s="20" t="str">
        <f aca="false">IF(OR(W565="",NOT(ISNUMBER(W565))),"",W565*$D$3^2/2*$F$3)</f>
        <v/>
      </c>
    </row>
    <row r="566" customFormat="false" ht="15" hidden="false" customHeight="false" outlineLevel="0" collapsed="false">
      <c r="A566" s="10" t="s">
        <v>1236</v>
      </c>
      <c r="B566" s="22" t="s">
        <v>924</v>
      </c>
      <c r="C566" s="6" t="s">
        <v>925</v>
      </c>
      <c r="D566" s="6" t="s">
        <v>1237</v>
      </c>
      <c r="E566" s="6" t="s">
        <v>1206</v>
      </c>
      <c r="F566" s="6" t="s">
        <v>334</v>
      </c>
      <c r="G566" s="6" t="n">
        <v>160</v>
      </c>
      <c r="H566" s="6" t="n">
        <v>63</v>
      </c>
      <c r="I566" s="6"/>
      <c r="J566" s="6" t="n">
        <v>16</v>
      </c>
      <c r="K566" s="6" t="s">
        <v>928</v>
      </c>
      <c r="L566" s="6"/>
      <c r="M566" s="6"/>
      <c r="N566" s="12" t="n">
        <v>130.8</v>
      </c>
      <c r="O566" s="12" t="n">
        <v>51.4</v>
      </c>
      <c r="P566" s="12"/>
      <c r="Q566" s="12" t="n">
        <v>51.4</v>
      </c>
      <c r="R566" s="14" t="n">
        <v>0.015</v>
      </c>
      <c r="S566" s="6" t="n">
        <v>0</v>
      </c>
      <c r="T566" s="6"/>
      <c r="U566" s="14" t="n">
        <v>0</v>
      </c>
      <c r="V566" s="15" t="n">
        <f aca="false">60*R566+0.5*(1-(Q566/N566)^2)</f>
        <v>1.32278871961769</v>
      </c>
      <c r="W566" s="14"/>
      <c r="X566" s="10" t="s">
        <v>1207</v>
      </c>
      <c r="Y566" s="16"/>
      <c r="Z566" s="17" t="s">
        <v>48</v>
      </c>
      <c r="AA566" s="6"/>
      <c r="AB566" s="18" t="n">
        <f aca="false">IF(O566="","",$D$3*PI()*(O566/1000)^2/4*3600)</f>
        <v>11.2049488715554</v>
      </c>
      <c r="AC566" s="19" t="n">
        <f aca="false">IF(OR(U566="",NOT(ISNUMBER(U566))),"",U566*$D$3^2/(2*$H$3))</f>
        <v>0</v>
      </c>
      <c r="AD566" s="20" t="n">
        <f aca="false">IF(OR(U566="",NOT(ISNUMBER(U566))),"",U566*$D$3^2/2*$F$3)</f>
        <v>0</v>
      </c>
      <c r="AE566" s="19" t="n">
        <f aca="false">IF(OR(V566="",NOT(ISNUMBER(V566))),"",V566*$D$3^2/(2*$H$3))</f>
        <v>0.151695954084598</v>
      </c>
      <c r="AF566" s="20" t="n">
        <f aca="false">IF(OR(V566="",NOT(ISNUMBER(V566))),"",V566*$D$3^2/2*$F$3)</f>
        <v>1488.1373095699</v>
      </c>
      <c r="AG566" s="19" t="str">
        <f aca="false">IF(OR(W566="",NOT(ISNUMBER(W566))),"",W566*$D$3^2/(2*$H$3))</f>
        <v/>
      </c>
      <c r="AH566" s="20" t="str">
        <f aca="false">IF(OR(W566="",NOT(ISNUMBER(W566))),"",W566*$D$3^2/2*$F$3)</f>
        <v/>
      </c>
    </row>
    <row r="567" customFormat="false" ht="15" hidden="false" customHeight="false" outlineLevel="0" collapsed="false">
      <c r="A567" s="10" t="s">
        <v>1238</v>
      </c>
      <c r="B567" s="22" t="s">
        <v>924</v>
      </c>
      <c r="C567" s="6" t="s">
        <v>925</v>
      </c>
      <c r="D567" s="6" t="s">
        <v>1239</v>
      </c>
      <c r="E567" s="6" t="s">
        <v>1206</v>
      </c>
      <c r="F567" s="6" t="s">
        <v>334</v>
      </c>
      <c r="G567" s="6" t="n">
        <v>200</v>
      </c>
      <c r="H567" s="6" t="n">
        <v>63</v>
      </c>
      <c r="I567" s="6"/>
      <c r="J567" s="6" t="n">
        <v>16</v>
      </c>
      <c r="K567" s="6" t="s">
        <v>928</v>
      </c>
      <c r="L567" s="6"/>
      <c r="M567" s="6"/>
      <c r="N567" s="12" t="n">
        <v>163.6</v>
      </c>
      <c r="O567" s="12" t="n">
        <v>51.4</v>
      </c>
      <c r="P567" s="12"/>
      <c r="Q567" s="12" t="n">
        <v>51.4</v>
      </c>
      <c r="R567" s="14" t="n">
        <v>0.014</v>
      </c>
      <c r="S567" s="6" t="n">
        <v>0</v>
      </c>
      <c r="T567" s="6"/>
      <c r="U567" s="14" t="n">
        <v>0</v>
      </c>
      <c r="V567" s="15" t="n">
        <f aca="false">60*R567+0.5*(1-(Q567/N567)^2)</f>
        <v>1.29064517189639</v>
      </c>
      <c r="W567" s="14"/>
      <c r="X567" s="10" t="s">
        <v>1207</v>
      </c>
      <c r="Y567" s="16"/>
      <c r="Z567" s="17" t="s">
        <v>48</v>
      </c>
      <c r="AA567" s="6"/>
      <c r="AB567" s="18" t="n">
        <f aca="false">IF(O567="","",$D$3*PI()*(O567/1000)^2/4*3600)</f>
        <v>11.2049488715554</v>
      </c>
      <c r="AC567" s="19" t="n">
        <f aca="false">IF(OR(U567="",NOT(ISNUMBER(U567))),"",U567*$D$3^2/(2*$H$3))</f>
        <v>0</v>
      </c>
      <c r="AD567" s="20" t="n">
        <f aca="false">IF(OR(U567="",NOT(ISNUMBER(U567))),"",U567*$D$3^2/2*$F$3)</f>
        <v>0</v>
      </c>
      <c r="AE567" s="19" t="n">
        <f aca="false">IF(OR(V567="",NOT(ISNUMBER(V567))),"",V567*$D$3^2/(2*$H$3))</f>
        <v>0.148009767419311</v>
      </c>
      <c r="AF567" s="20" t="n">
        <f aca="false">IF(OR(V567="",NOT(ISNUMBER(V567))),"",V567*$D$3^2/2*$F$3)</f>
        <v>1451.97581838344</v>
      </c>
      <c r="AG567" s="19" t="str">
        <f aca="false">IF(OR(W567="",NOT(ISNUMBER(W567))),"",W567*$D$3^2/(2*$H$3))</f>
        <v/>
      </c>
      <c r="AH567" s="20" t="str">
        <f aca="false">IF(OR(W567="",NOT(ISNUMBER(W567))),"",W567*$D$3^2/2*$F$3)</f>
        <v/>
      </c>
    </row>
    <row r="568" customFormat="false" ht="15" hidden="false" customHeight="false" outlineLevel="0" collapsed="false">
      <c r="A568" s="10" t="s">
        <v>1240</v>
      </c>
      <c r="B568" s="22" t="s">
        <v>924</v>
      </c>
      <c r="C568" s="6" t="s">
        <v>925</v>
      </c>
      <c r="D568" s="6" t="s">
        <v>1241</v>
      </c>
      <c r="E568" s="6" t="s">
        <v>1242</v>
      </c>
      <c r="F568" s="6" t="s">
        <v>334</v>
      </c>
      <c r="G568" s="6" t="n">
        <v>40</v>
      </c>
      <c r="H568" s="6" t="n">
        <v>32</v>
      </c>
      <c r="I568" s="6"/>
      <c r="J568" s="6" t="n">
        <v>16</v>
      </c>
      <c r="K568" s="6" t="s">
        <v>928</v>
      </c>
      <c r="L568" s="6"/>
      <c r="M568" s="6"/>
      <c r="N568" s="12" t="n">
        <v>32.6</v>
      </c>
      <c r="O568" s="12" t="n">
        <v>26.2</v>
      </c>
      <c r="P568" s="12"/>
      <c r="Q568" s="12" t="n">
        <v>26.2</v>
      </c>
      <c r="R568" s="14" t="n">
        <v>0.022</v>
      </c>
      <c r="S568" s="6" t="n">
        <v>0</v>
      </c>
      <c r="T568" s="6"/>
      <c r="U568" s="14" t="n">
        <v>0</v>
      </c>
      <c r="V568" s="15" t="n">
        <f aca="false">60*R568+0.5*(1-(Q568/N568)^2)</f>
        <v>1.49704843991117</v>
      </c>
      <c r="W568" s="14"/>
      <c r="X568" s="10" t="s">
        <v>1207</v>
      </c>
      <c r="Y568" s="16"/>
      <c r="Z568" s="17" t="s">
        <v>48</v>
      </c>
      <c r="AA568" s="6"/>
      <c r="AB568" s="18" t="n">
        <f aca="false">IF(O568="","",$D$3*PI()*(O568/1000)^2/4*3600)</f>
        <v>2.91129506252574</v>
      </c>
      <c r="AC568" s="19" t="n">
        <f aca="false">IF(OR(U568="",NOT(ISNUMBER(U568))),"",U568*$D$3^2/(2*$H$3))</f>
        <v>0</v>
      </c>
      <c r="AD568" s="20" t="n">
        <f aca="false">IF(OR(U568="",NOT(ISNUMBER(U568))),"",U568*$D$3^2/2*$F$3)</f>
        <v>0</v>
      </c>
      <c r="AE568" s="19" t="n">
        <f aca="false">IF(OR(V568="",NOT(ISNUMBER(V568))),"",V568*$D$3^2/(2*$H$3))</f>
        <v>0.171679866962291</v>
      </c>
      <c r="AF568" s="20" t="n">
        <f aca="false">IF(OR(V568="",NOT(ISNUMBER(V568))),"",V568*$D$3^2/2*$F$3)</f>
        <v>1684.17949490007</v>
      </c>
      <c r="AG568" s="19" t="str">
        <f aca="false">IF(OR(W568="",NOT(ISNUMBER(W568))),"",W568*$D$3^2/(2*$H$3))</f>
        <v/>
      </c>
      <c r="AH568" s="20" t="str">
        <f aca="false">IF(OR(W568="",NOT(ISNUMBER(W568))),"",W568*$D$3^2/2*$F$3)</f>
        <v/>
      </c>
    </row>
    <row r="569" customFormat="false" ht="15" hidden="false" customHeight="false" outlineLevel="0" collapsed="false">
      <c r="A569" s="10" t="s">
        <v>1243</v>
      </c>
      <c r="B569" s="22" t="s">
        <v>924</v>
      </c>
      <c r="C569" s="6" t="s">
        <v>925</v>
      </c>
      <c r="D569" s="6" t="s">
        <v>1244</v>
      </c>
      <c r="E569" s="6" t="s">
        <v>1242</v>
      </c>
      <c r="F569" s="6" t="s">
        <v>334</v>
      </c>
      <c r="G569" s="6" t="n">
        <v>50</v>
      </c>
      <c r="H569" s="6" t="n">
        <v>32</v>
      </c>
      <c r="I569" s="6"/>
      <c r="J569" s="6" t="n">
        <v>16</v>
      </c>
      <c r="K569" s="6" t="s">
        <v>928</v>
      </c>
      <c r="L569" s="6"/>
      <c r="M569" s="6"/>
      <c r="N569" s="12" t="n">
        <v>40.8</v>
      </c>
      <c r="O569" s="12" t="n">
        <v>26.2</v>
      </c>
      <c r="P569" s="12"/>
      <c r="Q569" s="12" t="n">
        <v>26.2</v>
      </c>
      <c r="R569" s="14" t="n">
        <v>0.021</v>
      </c>
      <c r="S569" s="6" t="n">
        <v>0</v>
      </c>
      <c r="T569" s="6"/>
      <c r="U569" s="14" t="n">
        <v>0</v>
      </c>
      <c r="V569" s="15" t="n">
        <f aca="false">60*R569+0.5*(1-(Q569/N569)^2)</f>
        <v>1.55381728181469</v>
      </c>
      <c r="W569" s="14"/>
      <c r="X569" s="10" t="s">
        <v>1207</v>
      </c>
      <c r="Y569" s="16"/>
      <c r="Z569" s="17" t="s">
        <v>48</v>
      </c>
      <c r="AA569" s="6"/>
      <c r="AB569" s="18" t="n">
        <f aca="false">IF(O569="","",$D$3*PI()*(O569/1000)^2/4*3600)</f>
        <v>2.91129506252574</v>
      </c>
      <c r="AC569" s="19" t="n">
        <f aca="false">IF(OR(U569="",NOT(ISNUMBER(U569))),"",U569*$D$3^2/(2*$H$3))</f>
        <v>0</v>
      </c>
      <c r="AD569" s="20" t="n">
        <f aca="false">IF(OR(U569="",NOT(ISNUMBER(U569))),"",U569*$D$3^2/2*$F$3)</f>
        <v>0</v>
      </c>
      <c r="AE569" s="19" t="n">
        <f aca="false">IF(OR(V569="",NOT(ISNUMBER(V569))),"",V569*$D$3^2/(2*$H$3))</f>
        <v>0.178190055253978</v>
      </c>
      <c r="AF569" s="20" t="n">
        <f aca="false">IF(OR(V569="",NOT(ISNUMBER(V569))),"",V569*$D$3^2/2*$F$3)</f>
        <v>1748.04444204152</v>
      </c>
      <c r="AG569" s="19" t="str">
        <f aca="false">IF(OR(W569="",NOT(ISNUMBER(W569))),"",W569*$D$3^2/(2*$H$3))</f>
        <v/>
      </c>
      <c r="AH569" s="20" t="str">
        <f aca="false">IF(OR(W569="",NOT(ISNUMBER(W569))),"",W569*$D$3^2/2*$F$3)</f>
        <v/>
      </c>
    </row>
    <row r="570" customFormat="false" ht="15" hidden="false" customHeight="false" outlineLevel="0" collapsed="false">
      <c r="A570" s="10" t="s">
        <v>1245</v>
      </c>
      <c r="B570" s="22" t="s">
        <v>924</v>
      </c>
      <c r="C570" s="6" t="s">
        <v>925</v>
      </c>
      <c r="D570" s="6" t="s">
        <v>1246</v>
      </c>
      <c r="E570" s="6" t="s">
        <v>1242</v>
      </c>
      <c r="F570" s="6" t="s">
        <v>334</v>
      </c>
      <c r="G570" s="6" t="n">
        <v>63</v>
      </c>
      <c r="H570" s="6" t="n">
        <v>32</v>
      </c>
      <c r="I570" s="6"/>
      <c r="J570" s="6" t="n">
        <v>16</v>
      </c>
      <c r="K570" s="6" t="s">
        <v>928</v>
      </c>
      <c r="L570" s="6"/>
      <c r="M570" s="6"/>
      <c r="N570" s="12" t="n">
        <v>51.4</v>
      </c>
      <c r="O570" s="12" t="n">
        <v>26.2</v>
      </c>
      <c r="P570" s="12"/>
      <c r="Q570" s="12" t="n">
        <v>26.2</v>
      </c>
      <c r="R570" s="14" t="n">
        <v>0.019</v>
      </c>
      <c r="S570" s="6" t="n">
        <v>0</v>
      </c>
      <c r="T570" s="6"/>
      <c r="U570" s="14" t="n">
        <v>0</v>
      </c>
      <c r="V570" s="15" t="n">
        <f aca="false">60*R570+0.5*(1-(Q570/N570)^2)</f>
        <v>1.51008887341216</v>
      </c>
      <c r="W570" s="14"/>
      <c r="X570" s="10" t="s">
        <v>1207</v>
      </c>
      <c r="Y570" s="16"/>
      <c r="Z570" s="17" t="s">
        <v>48</v>
      </c>
      <c r="AA570" s="6"/>
      <c r="AB570" s="18" t="n">
        <f aca="false">IF(O570="","",$D$3*PI()*(O570/1000)^2/4*3600)</f>
        <v>2.91129506252574</v>
      </c>
      <c r="AC570" s="19" t="n">
        <f aca="false">IF(OR(U570="",NOT(ISNUMBER(U570))),"",U570*$D$3^2/(2*$H$3))</f>
        <v>0</v>
      </c>
      <c r="AD570" s="20" t="n">
        <f aca="false">IF(OR(U570="",NOT(ISNUMBER(U570))),"",U570*$D$3^2/2*$F$3)</f>
        <v>0</v>
      </c>
      <c r="AE570" s="19" t="n">
        <f aca="false">IF(OR(V570="",NOT(ISNUMBER(V570))),"",V570*$D$3^2/(2*$H$3))</f>
        <v>0.173175329519744</v>
      </c>
      <c r="AF570" s="20" t="n">
        <f aca="false">IF(OR(V570="",NOT(ISNUMBER(V570))),"",V570*$D$3^2/2*$F$3)</f>
        <v>1698.84998258868</v>
      </c>
      <c r="AG570" s="19" t="str">
        <f aca="false">IF(OR(W570="",NOT(ISNUMBER(W570))),"",W570*$D$3^2/(2*$H$3))</f>
        <v/>
      </c>
      <c r="AH570" s="20" t="str">
        <f aca="false">IF(OR(W570="",NOT(ISNUMBER(W570))),"",W570*$D$3^2/2*$F$3)</f>
        <v/>
      </c>
    </row>
    <row r="571" customFormat="false" ht="15" hidden="false" customHeight="false" outlineLevel="0" collapsed="false">
      <c r="A571" s="10" t="s">
        <v>1247</v>
      </c>
      <c r="B571" s="22" t="s">
        <v>924</v>
      </c>
      <c r="C571" s="6" t="s">
        <v>925</v>
      </c>
      <c r="D571" s="6" t="s">
        <v>1248</v>
      </c>
      <c r="E571" s="6" t="s">
        <v>1242</v>
      </c>
      <c r="F571" s="6" t="s">
        <v>334</v>
      </c>
      <c r="G571" s="6" t="n">
        <v>75</v>
      </c>
      <c r="H571" s="6" t="n">
        <v>32</v>
      </c>
      <c r="I571" s="6"/>
      <c r="J571" s="6" t="n">
        <v>16</v>
      </c>
      <c r="K571" s="6" t="s">
        <v>928</v>
      </c>
      <c r="L571" s="6"/>
      <c r="M571" s="6"/>
      <c r="N571" s="12" t="n">
        <v>61.4</v>
      </c>
      <c r="O571" s="12" t="n">
        <v>26.2</v>
      </c>
      <c r="P571" s="12"/>
      <c r="Q571" s="12" t="n">
        <v>26.2</v>
      </c>
      <c r="R571" s="14" t="n">
        <v>0.018</v>
      </c>
      <c r="S571" s="6" t="n">
        <v>0</v>
      </c>
      <c r="T571" s="6"/>
      <c r="U571" s="14" t="n">
        <v>0</v>
      </c>
      <c r="V571" s="15" t="n">
        <f aca="false">60*R571+0.5*(1-(Q571/N571)^2)</f>
        <v>1.48895924625195</v>
      </c>
      <c r="W571" s="14"/>
      <c r="X571" s="10" t="s">
        <v>1207</v>
      </c>
      <c r="Y571" s="16"/>
      <c r="Z571" s="17" t="s">
        <v>48</v>
      </c>
      <c r="AA571" s="6"/>
      <c r="AB571" s="18" t="n">
        <f aca="false">IF(O571="","",$D$3*PI()*(O571/1000)^2/4*3600)</f>
        <v>2.91129506252574</v>
      </c>
      <c r="AC571" s="19" t="n">
        <f aca="false">IF(OR(U571="",NOT(ISNUMBER(U571))),"",U571*$D$3^2/(2*$H$3))</f>
        <v>0</v>
      </c>
      <c r="AD571" s="20" t="n">
        <f aca="false">IF(OR(U571="",NOT(ISNUMBER(U571))),"",U571*$D$3^2/2*$F$3)</f>
        <v>0</v>
      </c>
      <c r="AE571" s="19" t="n">
        <f aca="false">IF(OR(V571="",NOT(ISNUMBER(V571))),"",V571*$D$3^2/(2*$H$3))</f>
        <v>0.170752207138985</v>
      </c>
      <c r="AF571" s="20" t="n">
        <f aca="false">IF(OR(V571="",NOT(ISNUMBER(V571))),"",V571*$D$3^2/2*$F$3)</f>
        <v>1675.07915203344</v>
      </c>
      <c r="AG571" s="19" t="str">
        <f aca="false">IF(OR(W571="",NOT(ISNUMBER(W571))),"",W571*$D$3^2/(2*$H$3))</f>
        <v/>
      </c>
      <c r="AH571" s="20" t="str">
        <f aca="false">IF(OR(W571="",NOT(ISNUMBER(W571))),"",W571*$D$3^2/2*$F$3)</f>
        <v/>
      </c>
    </row>
    <row r="572" customFormat="false" ht="15" hidden="false" customHeight="false" outlineLevel="0" collapsed="false">
      <c r="A572" s="10" t="s">
        <v>1249</v>
      </c>
      <c r="B572" s="22" t="s">
        <v>924</v>
      </c>
      <c r="C572" s="6" t="s">
        <v>925</v>
      </c>
      <c r="D572" s="6" t="s">
        <v>1250</v>
      </c>
      <c r="E572" s="6" t="s">
        <v>1242</v>
      </c>
      <c r="F572" s="6" t="s">
        <v>334</v>
      </c>
      <c r="G572" s="6" t="n">
        <v>90</v>
      </c>
      <c r="H572" s="6" t="n">
        <v>32</v>
      </c>
      <c r="I572" s="6"/>
      <c r="J572" s="6" t="n">
        <v>16</v>
      </c>
      <c r="K572" s="6" t="s">
        <v>928</v>
      </c>
      <c r="L572" s="6"/>
      <c r="M572" s="6"/>
      <c r="N572" s="12" t="n">
        <v>73.6</v>
      </c>
      <c r="O572" s="12" t="n">
        <v>26.2</v>
      </c>
      <c r="P572" s="12"/>
      <c r="Q572" s="12" t="n">
        <v>26.2</v>
      </c>
      <c r="R572" s="14" t="n">
        <v>0.018</v>
      </c>
      <c r="S572" s="6" t="n">
        <v>0</v>
      </c>
      <c r="T572" s="6"/>
      <c r="U572" s="14" t="n">
        <v>0</v>
      </c>
      <c r="V572" s="15" t="n">
        <f aca="false">60*R572+0.5*(1-(Q572/N572)^2)</f>
        <v>1.51663973889414</v>
      </c>
      <c r="W572" s="14"/>
      <c r="X572" s="10" t="s">
        <v>1207</v>
      </c>
      <c r="Y572" s="16"/>
      <c r="Z572" s="17" t="s">
        <v>48</v>
      </c>
      <c r="AA572" s="6"/>
      <c r="AB572" s="18" t="n">
        <f aca="false">IF(O572="","",$D$3*PI()*(O572/1000)^2/4*3600)</f>
        <v>2.91129506252574</v>
      </c>
      <c r="AC572" s="19" t="n">
        <f aca="false">IF(OR(U572="",NOT(ISNUMBER(U572))),"",U572*$D$3^2/(2*$H$3))</f>
        <v>0</v>
      </c>
      <c r="AD572" s="20" t="n">
        <f aca="false">IF(OR(U572="",NOT(ISNUMBER(U572))),"",U572*$D$3^2/2*$F$3)</f>
        <v>0</v>
      </c>
      <c r="AE572" s="19" t="n">
        <f aca="false">IF(OR(V572="",NOT(ISNUMBER(V572))),"",V572*$D$3^2/(2*$H$3))</f>
        <v>0.173926575561255</v>
      </c>
      <c r="AF572" s="20" t="n">
        <f aca="false">IF(OR(V572="",NOT(ISNUMBER(V572))),"",V572*$D$3^2/2*$F$3)</f>
        <v>1706.21970625591</v>
      </c>
      <c r="AG572" s="19" t="str">
        <f aca="false">IF(OR(W572="",NOT(ISNUMBER(W572))),"",W572*$D$3^2/(2*$H$3))</f>
        <v/>
      </c>
      <c r="AH572" s="20" t="str">
        <f aca="false">IF(OR(W572="",NOT(ISNUMBER(W572))),"",W572*$D$3^2/2*$F$3)</f>
        <v/>
      </c>
    </row>
    <row r="573" customFormat="false" ht="15" hidden="false" customHeight="false" outlineLevel="0" collapsed="false">
      <c r="A573" s="10" t="s">
        <v>1251</v>
      </c>
      <c r="B573" s="22" t="s">
        <v>924</v>
      </c>
      <c r="C573" s="6" t="s">
        <v>925</v>
      </c>
      <c r="D573" s="6" t="s">
        <v>1252</v>
      </c>
      <c r="E573" s="6" t="s">
        <v>1242</v>
      </c>
      <c r="F573" s="6" t="s">
        <v>334</v>
      </c>
      <c r="G573" s="6" t="n">
        <v>90</v>
      </c>
      <c r="H573" s="6" t="n">
        <v>63</v>
      </c>
      <c r="I573" s="6"/>
      <c r="J573" s="6" t="n">
        <v>16</v>
      </c>
      <c r="K573" s="6" t="s">
        <v>928</v>
      </c>
      <c r="L573" s="6"/>
      <c r="M573" s="6"/>
      <c r="N573" s="12" t="n">
        <v>73.6</v>
      </c>
      <c r="O573" s="12" t="n">
        <v>51.4</v>
      </c>
      <c r="P573" s="12"/>
      <c r="Q573" s="12" t="n">
        <v>51.4</v>
      </c>
      <c r="R573" s="14" t="n">
        <v>0.018</v>
      </c>
      <c r="S573" s="6" t="n">
        <v>0</v>
      </c>
      <c r="T573" s="6"/>
      <c r="U573" s="14" t="n">
        <v>0</v>
      </c>
      <c r="V573" s="15" t="n">
        <f aca="false">60*R573+0.5*(1-(Q573/N573)^2)</f>
        <v>1.33613997518904</v>
      </c>
      <c r="W573" s="14"/>
      <c r="X573" s="10" t="s">
        <v>1207</v>
      </c>
      <c r="Y573" s="16"/>
      <c r="Z573" s="17" t="s">
        <v>48</v>
      </c>
      <c r="AA573" s="6"/>
      <c r="AB573" s="18" t="n">
        <f aca="false">IF(O573="","",$D$3*PI()*(O573/1000)^2/4*3600)</f>
        <v>11.2049488715554</v>
      </c>
      <c r="AC573" s="19" t="n">
        <f aca="false">IF(OR(U573="",NOT(ISNUMBER(U573))),"",U573*$D$3^2/(2*$H$3))</f>
        <v>0</v>
      </c>
      <c r="AD573" s="20" t="n">
        <f aca="false">IF(OR(U573="",NOT(ISNUMBER(U573))),"",U573*$D$3^2/2*$F$3)</f>
        <v>0</v>
      </c>
      <c r="AE573" s="19" t="n">
        <f aca="false">IF(OR(V573="",NOT(ISNUMBER(V573))),"",V573*$D$3^2/(2*$H$3))</f>
        <v>0.153227061374889</v>
      </c>
      <c r="AF573" s="20" t="n">
        <f aca="false">IF(OR(V573="",NOT(ISNUMBER(V573))),"",V573*$D$3^2/2*$F$3)</f>
        <v>1503.15747208767</v>
      </c>
      <c r="AG573" s="19" t="str">
        <f aca="false">IF(OR(W573="",NOT(ISNUMBER(W573))),"",W573*$D$3^2/(2*$H$3))</f>
        <v/>
      </c>
      <c r="AH573" s="20" t="str">
        <f aca="false">IF(OR(W573="",NOT(ISNUMBER(W573))),"",W573*$D$3^2/2*$F$3)</f>
        <v/>
      </c>
    </row>
    <row r="574" customFormat="false" ht="15" hidden="false" customHeight="false" outlineLevel="0" collapsed="false">
      <c r="A574" s="10" t="s">
        <v>1253</v>
      </c>
      <c r="B574" s="22" t="s">
        <v>924</v>
      </c>
      <c r="C574" s="6" t="s">
        <v>925</v>
      </c>
      <c r="D574" s="6" t="s">
        <v>1254</v>
      </c>
      <c r="E574" s="6" t="s">
        <v>1242</v>
      </c>
      <c r="F574" s="6" t="s">
        <v>334</v>
      </c>
      <c r="G574" s="6" t="n">
        <v>110</v>
      </c>
      <c r="H574" s="6" t="n">
        <v>32</v>
      </c>
      <c r="I574" s="6"/>
      <c r="J574" s="6" t="n">
        <v>16</v>
      </c>
      <c r="K574" s="6" t="s">
        <v>928</v>
      </c>
      <c r="L574" s="6"/>
      <c r="M574" s="6"/>
      <c r="N574" s="12" t="n">
        <v>90</v>
      </c>
      <c r="O574" s="12" t="n">
        <v>26.2</v>
      </c>
      <c r="P574" s="12"/>
      <c r="Q574" s="12" t="n">
        <v>26.2</v>
      </c>
      <c r="R574" s="14" t="n">
        <v>0.017</v>
      </c>
      <c r="S574" s="6" t="n">
        <v>0</v>
      </c>
      <c r="T574" s="6"/>
      <c r="U574" s="14" t="n">
        <v>0</v>
      </c>
      <c r="V574" s="15" t="n">
        <f aca="false">60*R574+0.5*(1-(Q574/N574)^2)</f>
        <v>1.47762716049383</v>
      </c>
      <c r="W574" s="14"/>
      <c r="X574" s="10" t="s">
        <v>1207</v>
      </c>
      <c r="Y574" s="16"/>
      <c r="Z574" s="17" t="s">
        <v>48</v>
      </c>
      <c r="AA574" s="6"/>
      <c r="AB574" s="18" t="n">
        <f aca="false">IF(O574="","",$D$3*PI()*(O574/1000)^2/4*3600)</f>
        <v>2.91129506252574</v>
      </c>
      <c r="AC574" s="19" t="n">
        <f aca="false">IF(OR(U574="",NOT(ISNUMBER(U574))),"",U574*$D$3^2/(2*$H$3))</f>
        <v>0</v>
      </c>
      <c r="AD574" s="20" t="n">
        <f aca="false">IF(OR(U574="",NOT(ISNUMBER(U574))),"",U574*$D$3^2/2*$F$3)</f>
        <v>0</v>
      </c>
      <c r="AE574" s="19" t="n">
        <f aca="false">IF(OR(V574="",NOT(ISNUMBER(V574))),"",V574*$D$3^2/(2*$H$3))</f>
        <v>0.169452656019934</v>
      </c>
      <c r="AF574" s="20" t="n">
        <f aca="false">IF(OR(V574="",NOT(ISNUMBER(V574))),"",V574*$D$3^2/2*$F$3)</f>
        <v>1662.33055555556</v>
      </c>
      <c r="AG574" s="19" t="str">
        <f aca="false">IF(OR(W574="",NOT(ISNUMBER(W574))),"",W574*$D$3^2/(2*$H$3))</f>
        <v/>
      </c>
      <c r="AH574" s="20" t="str">
        <f aca="false">IF(OR(W574="",NOT(ISNUMBER(W574))),"",W574*$D$3^2/2*$F$3)</f>
        <v/>
      </c>
    </row>
    <row r="575" customFormat="false" ht="15" hidden="false" customHeight="false" outlineLevel="0" collapsed="false">
      <c r="A575" s="10" t="s">
        <v>1255</v>
      </c>
      <c r="B575" s="22" t="s">
        <v>924</v>
      </c>
      <c r="C575" s="6" t="s">
        <v>925</v>
      </c>
      <c r="D575" s="6" t="s">
        <v>1256</v>
      </c>
      <c r="E575" s="6" t="s">
        <v>1242</v>
      </c>
      <c r="F575" s="6" t="s">
        <v>334</v>
      </c>
      <c r="G575" s="6" t="n">
        <v>110</v>
      </c>
      <c r="H575" s="6" t="n">
        <v>63</v>
      </c>
      <c r="I575" s="6"/>
      <c r="J575" s="6" t="n">
        <v>16</v>
      </c>
      <c r="K575" s="6" t="s">
        <v>928</v>
      </c>
      <c r="L575" s="6"/>
      <c r="M575" s="6"/>
      <c r="N575" s="12" t="n">
        <v>90</v>
      </c>
      <c r="O575" s="12" t="n">
        <v>51.4</v>
      </c>
      <c r="P575" s="12"/>
      <c r="Q575" s="12" t="n">
        <v>51.4</v>
      </c>
      <c r="R575" s="14" t="n">
        <v>0.017</v>
      </c>
      <c r="S575" s="6" t="n">
        <v>0</v>
      </c>
      <c r="T575" s="6"/>
      <c r="U575" s="14" t="n">
        <v>0</v>
      </c>
      <c r="V575" s="15" t="n">
        <f aca="false">60*R575+0.5*(1-(Q575/N575)^2)</f>
        <v>1.35691604938272</v>
      </c>
      <c r="W575" s="14"/>
      <c r="X575" s="10" t="s">
        <v>1207</v>
      </c>
      <c r="Y575" s="16"/>
      <c r="Z575" s="17" t="s">
        <v>48</v>
      </c>
      <c r="AA575" s="6"/>
      <c r="AB575" s="18" t="n">
        <f aca="false">IF(O575="","",$D$3*PI()*(O575/1000)^2/4*3600)</f>
        <v>11.2049488715554</v>
      </c>
      <c r="AC575" s="19" t="n">
        <f aca="false">IF(OR(U575="",NOT(ISNUMBER(U575))),"",U575*$D$3^2/(2*$H$3))</f>
        <v>0</v>
      </c>
      <c r="AD575" s="20" t="n">
        <f aca="false">IF(OR(U575="",NOT(ISNUMBER(U575))),"",U575*$D$3^2/2*$F$3)</f>
        <v>0</v>
      </c>
      <c r="AE575" s="19" t="n">
        <f aca="false">IF(OR(V575="",NOT(ISNUMBER(V575))),"",V575*$D$3^2/(2*$H$3))</f>
        <v>0.155609638690678</v>
      </c>
      <c r="AF575" s="20" t="n">
        <f aca="false">IF(OR(V575="",NOT(ISNUMBER(V575))),"",V575*$D$3^2/2*$F$3)</f>
        <v>1526.53055555556</v>
      </c>
      <c r="AG575" s="19" t="str">
        <f aca="false">IF(OR(W575="",NOT(ISNUMBER(W575))),"",W575*$D$3^2/(2*$H$3))</f>
        <v/>
      </c>
      <c r="AH575" s="20" t="str">
        <f aca="false">IF(OR(W575="",NOT(ISNUMBER(W575))),"",W575*$D$3^2/2*$F$3)</f>
        <v/>
      </c>
    </row>
    <row r="576" customFormat="false" ht="15" hidden="false" customHeight="false" outlineLevel="0" collapsed="false">
      <c r="A576" s="10" t="s">
        <v>1257</v>
      </c>
      <c r="B576" s="22" t="s">
        <v>924</v>
      </c>
      <c r="C576" s="6" t="s">
        <v>925</v>
      </c>
      <c r="D576" s="6" t="s">
        <v>1258</v>
      </c>
      <c r="E576" s="6" t="s">
        <v>1242</v>
      </c>
      <c r="F576" s="6" t="s">
        <v>334</v>
      </c>
      <c r="G576" s="6" t="n">
        <v>125</v>
      </c>
      <c r="H576" s="6" t="n">
        <v>32</v>
      </c>
      <c r="I576" s="6"/>
      <c r="J576" s="6" t="n">
        <v>16</v>
      </c>
      <c r="K576" s="6" t="s">
        <v>928</v>
      </c>
      <c r="L576" s="6"/>
      <c r="M576" s="6"/>
      <c r="N576" s="12" t="n">
        <v>102.2</v>
      </c>
      <c r="O576" s="12" t="n">
        <v>26.2</v>
      </c>
      <c r="P576" s="12"/>
      <c r="Q576" s="12" t="n">
        <v>26.2</v>
      </c>
      <c r="R576" s="14" t="n">
        <v>0.016</v>
      </c>
      <c r="S576" s="6" t="n">
        <v>0</v>
      </c>
      <c r="T576" s="6"/>
      <c r="U576" s="14" t="n">
        <v>0</v>
      </c>
      <c r="V576" s="15" t="n">
        <f aca="false">60*R576+0.5*(1-(Q576/N576)^2)</f>
        <v>1.42713975513268</v>
      </c>
      <c r="W576" s="14"/>
      <c r="X576" s="10" t="s">
        <v>1207</v>
      </c>
      <c r="Y576" s="16"/>
      <c r="Z576" s="17" t="s">
        <v>48</v>
      </c>
      <c r="AA576" s="6"/>
      <c r="AB576" s="18" t="n">
        <f aca="false">IF(O576="","",$D$3*PI()*(O576/1000)^2/4*3600)</f>
        <v>2.91129506252574</v>
      </c>
      <c r="AC576" s="19" t="n">
        <f aca="false">IF(OR(U576="",NOT(ISNUMBER(U576))),"",U576*$D$3^2/(2*$H$3))</f>
        <v>0</v>
      </c>
      <c r="AD576" s="20" t="n">
        <f aca="false">IF(OR(U576="",NOT(ISNUMBER(U576))),"",U576*$D$3^2/2*$F$3)</f>
        <v>0</v>
      </c>
      <c r="AE576" s="19" t="n">
        <f aca="false">IF(OR(V576="",NOT(ISNUMBER(V576))),"",V576*$D$3^2/(2*$H$3))</f>
        <v>0.163662815955582</v>
      </c>
      <c r="AF576" s="20" t="n">
        <f aca="false">IF(OR(V576="",NOT(ISNUMBER(V576))),"",V576*$D$3^2/2*$F$3)</f>
        <v>1605.53222452426</v>
      </c>
      <c r="AG576" s="19" t="str">
        <f aca="false">IF(OR(W576="",NOT(ISNUMBER(W576))),"",W576*$D$3^2/(2*$H$3))</f>
        <v/>
      </c>
      <c r="AH576" s="20" t="str">
        <f aca="false">IF(OR(W576="",NOT(ISNUMBER(W576))),"",W576*$D$3^2/2*$F$3)</f>
        <v/>
      </c>
    </row>
    <row r="577" customFormat="false" ht="15" hidden="false" customHeight="false" outlineLevel="0" collapsed="false">
      <c r="A577" s="10" t="s">
        <v>1259</v>
      </c>
      <c r="B577" s="22" t="s">
        <v>924</v>
      </c>
      <c r="C577" s="6" t="s">
        <v>925</v>
      </c>
      <c r="D577" s="6" t="s">
        <v>1260</v>
      </c>
      <c r="E577" s="6" t="s">
        <v>1242</v>
      </c>
      <c r="F577" s="6" t="s">
        <v>334</v>
      </c>
      <c r="G577" s="6" t="n">
        <v>125</v>
      </c>
      <c r="H577" s="6" t="n">
        <v>63</v>
      </c>
      <c r="I577" s="6"/>
      <c r="J577" s="6" t="n">
        <v>16</v>
      </c>
      <c r="K577" s="6" t="s">
        <v>928</v>
      </c>
      <c r="L577" s="6"/>
      <c r="M577" s="6"/>
      <c r="N577" s="12" t="n">
        <v>102.2</v>
      </c>
      <c r="O577" s="12" t="n">
        <v>51.4</v>
      </c>
      <c r="P577" s="12"/>
      <c r="Q577" s="12" t="n">
        <v>51.4</v>
      </c>
      <c r="R577" s="14" t="n">
        <v>0.016</v>
      </c>
      <c r="S577" s="6" t="n">
        <v>0</v>
      </c>
      <c r="T577" s="6"/>
      <c r="U577" s="14" t="n">
        <v>0</v>
      </c>
      <c r="V577" s="15" t="n">
        <f aca="false">60*R577+0.5*(1-(Q577/N577)^2)</f>
        <v>1.33352798128071</v>
      </c>
      <c r="W577" s="14"/>
      <c r="X577" s="10" t="s">
        <v>1207</v>
      </c>
      <c r="Y577" s="16"/>
      <c r="Z577" s="17" t="s">
        <v>48</v>
      </c>
      <c r="AA577" s="6"/>
      <c r="AB577" s="18" t="n">
        <f aca="false">IF(O577="","",$D$3*PI()*(O577/1000)^2/4*3600)</f>
        <v>11.2049488715554</v>
      </c>
      <c r="AC577" s="19" t="n">
        <f aca="false">IF(OR(U577="",NOT(ISNUMBER(U577))),"",U577*$D$3^2/(2*$H$3))</f>
        <v>0</v>
      </c>
      <c r="AD577" s="20" t="n">
        <f aca="false">IF(OR(U577="",NOT(ISNUMBER(U577))),"",U577*$D$3^2/2*$F$3)</f>
        <v>0</v>
      </c>
      <c r="AE577" s="19" t="n">
        <f aca="false">IF(OR(V577="",NOT(ISNUMBER(V577))),"",V577*$D$3^2/(2*$H$3))</f>
        <v>0.152927520789072</v>
      </c>
      <c r="AF577" s="20" t="n">
        <f aca="false">IF(OR(V577="",NOT(ISNUMBER(V577))),"",V577*$D$3^2/2*$F$3)</f>
        <v>1500.2189789408</v>
      </c>
      <c r="AG577" s="19" t="str">
        <f aca="false">IF(OR(W577="",NOT(ISNUMBER(W577))),"",W577*$D$3^2/(2*$H$3))</f>
        <v/>
      </c>
      <c r="AH577" s="20" t="str">
        <f aca="false">IF(OR(W577="",NOT(ISNUMBER(W577))),"",W577*$D$3^2/2*$F$3)</f>
        <v/>
      </c>
    </row>
    <row r="578" customFormat="false" ht="15" hidden="false" customHeight="false" outlineLevel="0" collapsed="false">
      <c r="A578" s="10" t="s">
        <v>1261</v>
      </c>
      <c r="B578" s="22" t="s">
        <v>924</v>
      </c>
      <c r="C578" s="6" t="s">
        <v>925</v>
      </c>
      <c r="D578" s="6" t="s">
        <v>1262</v>
      </c>
      <c r="E578" s="6" t="s">
        <v>1242</v>
      </c>
      <c r="F578" s="6" t="s">
        <v>334</v>
      </c>
      <c r="G578" s="6" t="n">
        <v>160</v>
      </c>
      <c r="H578" s="6" t="n">
        <v>32</v>
      </c>
      <c r="I578" s="6"/>
      <c r="J578" s="6" t="n">
        <v>16</v>
      </c>
      <c r="K578" s="6" t="s">
        <v>928</v>
      </c>
      <c r="L578" s="6"/>
      <c r="M578" s="6"/>
      <c r="N578" s="12" t="n">
        <v>130.8</v>
      </c>
      <c r="O578" s="12" t="n">
        <v>26.2</v>
      </c>
      <c r="P578" s="12"/>
      <c r="Q578" s="12" t="n">
        <v>26.2</v>
      </c>
      <c r="R578" s="14" t="n">
        <v>0.015</v>
      </c>
      <c r="S578" s="6" t="n">
        <v>0</v>
      </c>
      <c r="T578" s="6"/>
      <c r="U578" s="14" t="n">
        <v>0</v>
      </c>
      <c r="V578" s="15" t="n">
        <f aca="false">60*R578+0.5*(1-(Q578/N578)^2)</f>
        <v>1.37993879116049</v>
      </c>
      <c r="W578" s="14"/>
      <c r="X578" s="10" t="s">
        <v>1207</v>
      </c>
      <c r="Y578" s="16"/>
      <c r="Z578" s="17" t="s">
        <v>48</v>
      </c>
      <c r="AA578" s="6"/>
      <c r="AB578" s="18" t="n">
        <f aca="false">IF(O578="","",$D$3*PI()*(O578/1000)^2/4*3600)</f>
        <v>2.91129506252574</v>
      </c>
      <c r="AC578" s="19" t="n">
        <f aca="false">IF(OR(U578="",NOT(ISNUMBER(U578))),"",U578*$D$3^2/(2*$H$3))</f>
        <v>0</v>
      </c>
      <c r="AD578" s="20" t="n">
        <f aca="false">IF(OR(U578="",NOT(ISNUMBER(U578))),"",U578*$D$3^2/2*$F$3)</f>
        <v>0</v>
      </c>
      <c r="AE578" s="19" t="n">
        <f aca="false">IF(OR(V578="",NOT(ISNUMBER(V578))),"",V578*$D$3^2/(2*$H$3))</f>
        <v>0.158249861371616</v>
      </c>
      <c r="AF578" s="20" t="n">
        <f aca="false">IF(OR(V578="",NOT(ISNUMBER(V578))),"",V578*$D$3^2/2*$F$3)</f>
        <v>1552.43114005555</v>
      </c>
      <c r="AG578" s="19" t="str">
        <f aca="false">IF(OR(W578="",NOT(ISNUMBER(W578))),"",W578*$D$3^2/(2*$H$3))</f>
        <v/>
      </c>
      <c r="AH578" s="20" t="str">
        <f aca="false">IF(OR(W578="",NOT(ISNUMBER(W578))),"",W578*$D$3^2/2*$F$3)</f>
        <v/>
      </c>
    </row>
    <row r="579" customFormat="false" ht="15" hidden="false" customHeight="false" outlineLevel="0" collapsed="false">
      <c r="A579" s="10" t="s">
        <v>1263</v>
      </c>
      <c r="B579" s="22" t="s">
        <v>924</v>
      </c>
      <c r="C579" s="6" t="s">
        <v>925</v>
      </c>
      <c r="D579" s="6" t="s">
        <v>1264</v>
      </c>
      <c r="E579" s="6" t="s">
        <v>1242</v>
      </c>
      <c r="F579" s="6" t="s">
        <v>334</v>
      </c>
      <c r="G579" s="6" t="n">
        <v>160</v>
      </c>
      <c r="H579" s="6" t="n">
        <v>63</v>
      </c>
      <c r="I579" s="6"/>
      <c r="J579" s="6" t="n">
        <v>16</v>
      </c>
      <c r="K579" s="6" t="s">
        <v>928</v>
      </c>
      <c r="L579" s="6"/>
      <c r="M579" s="6"/>
      <c r="N579" s="12" t="n">
        <v>130.8</v>
      </c>
      <c r="O579" s="12" t="n">
        <v>51.4</v>
      </c>
      <c r="P579" s="12"/>
      <c r="Q579" s="12" t="n">
        <v>51.4</v>
      </c>
      <c r="R579" s="14" t="n">
        <v>0.015</v>
      </c>
      <c r="S579" s="6" t="n">
        <v>0</v>
      </c>
      <c r="T579" s="6"/>
      <c r="U579" s="14" t="n">
        <v>0</v>
      </c>
      <c r="V579" s="15" t="n">
        <f aca="false">60*R579+0.5*(1-(Q579/N579)^2)</f>
        <v>1.32278871961769</v>
      </c>
      <c r="W579" s="14"/>
      <c r="X579" s="10" t="s">
        <v>1207</v>
      </c>
      <c r="Y579" s="16"/>
      <c r="Z579" s="17" t="s">
        <v>48</v>
      </c>
      <c r="AA579" s="6" t="s">
        <v>1265</v>
      </c>
      <c r="AB579" s="18" t="n">
        <f aca="false">IF(O579="","",$D$3*PI()*(O579/1000)^2/4*3600)</f>
        <v>11.2049488715554</v>
      </c>
      <c r="AC579" s="19" t="n">
        <f aca="false">IF(OR(U579="",NOT(ISNUMBER(U579))),"",U579*$D$3^2/(2*$H$3))</f>
        <v>0</v>
      </c>
      <c r="AD579" s="20" t="n">
        <f aca="false">IF(OR(U579="",NOT(ISNUMBER(U579))),"",U579*$D$3^2/2*$F$3)</f>
        <v>0</v>
      </c>
      <c r="AE579" s="19" t="n">
        <f aca="false">IF(OR(V579="",NOT(ISNUMBER(V579))),"",V579*$D$3^2/(2*$H$3))</f>
        <v>0.151695954084598</v>
      </c>
      <c r="AF579" s="20" t="n">
        <f aca="false">IF(OR(V579="",NOT(ISNUMBER(V579))),"",V579*$D$3^2/2*$F$3)</f>
        <v>1488.1373095699</v>
      </c>
      <c r="AG579" s="19" t="str">
        <f aca="false">IF(OR(W579="",NOT(ISNUMBER(W579))),"",W579*$D$3^2/(2*$H$3))</f>
        <v/>
      </c>
      <c r="AH579" s="20" t="str">
        <f aca="false">IF(OR(W579="",NOT(ISNUMBER(W579))),"",W579*$D$3^2/2*$F$3)</f>
        <v/>
      </c>
    </row>
    <row r="580" customFormat="false" ht="15" hidden="false" customHeight="false" outlineLevel="0" collapsed="false">
      <c r="A580" s="10" t="s">
        <v>1266</v>
      </c>
      <c r="B580" s="22" t="s">
        <v>924</v>
      </c>
      <c r="C580" s="6" t="s">
        <v>925</v>
      </c>
      <c r="D580" s="6" t="s">
        <v>1267</v>
      </c>
      <c r="E580" s="6" t="s">
        <v>1242</v>
      </c>
      <c r="F580" s="6" t="s">
        <v>334</v>
      </c>
      <c r="G580" s="6" t="n">
        <v>200</v>
      </c>
      <c r="H580" s="6" t="n">
        <v>63</v>
      </c>
      <c r="I580" s="6"/>
      <c r="J580" s="6" t="n">
        <v>16</v>
      </c>
      <c r="K580" s="6" t="s">
        <v>928</v>
      </c>
      <c r="L580" s="6"/>
      <c r="M580" s="6"/>
      <c r="N580" s="12" t="n">
        <v>163.6</v>
      </c>
      <c r="O580" s="12" t="n">
        <v>51.4</v>
      </c>
      <c r="P580" s="12"/>
      <c r="Q580" s="12" t="n">
        <v>51.4</v>
      </c>
      <c r="R580" s="14" t="n">
        <v>0.014</v>
      </c>
      <c r="S580" s="6" t="n">
        <v>0</v>
      </c>
      <c r="T580" s="6"/>
      <c r="U580" s="14" t="n">
        <v>0</v>
      </c>
      <c r="V580" s="15" t="n">
        <f aca="false">60*R580+0.5*(1-(Q580/N580)^2)</f>
        <v>1.29064517189639</v>
      </c>
      <c r="W580" s="14"/>
      <c r="X580" s="10" t="s">
        <v>1207</v>
      </c>
      <c r="Y580" s="16"/>
      <c r="Z580" s="17" t="s">
        <v>48</v>
      </c>
      <c r="AA580" s="6"/>
      <c r="AB580" s="18" t="n">
        <f aca="false">IF(O580="","",$D$3*PI()*(O580/1000)^2/4*3600)</f>
        <v>11.2049488715554</v>
      </c>
      <c r="AC580" s="19" t="n">
        <f aca="false">IF(OR(U580="",NOT(ISNUMBER(U580))),"",U580*$D$3^2/(2*$H$3))</f>
        <v>0</v>
      </c>
      <c r="AD580" s="20" t="n">
        <f aca="false">IF(OR(U580="",NOT(ISNUMBER(U580))),"",U580*$D$3^2/2*$F$3)</f>
        <v>0</v>
      </c>
      <c r="AE580" s="19" t="n">
        <f aca="false">IF(OR(V580="",NOT(ISNUMBER(V580))),"",V580*$D$3^2/(2*$H$3))</f>
        <v>0.148009767419311</v>
      </c>
      <c r="AF580" s="20" t="n">
        <f aca="false">IF(OR(V580="",NOT(ISNUMBER(V580))),"",V580*$D$3^2/2*$F$3)</f>
        <v>1451.97581838344</v>
      </c>
      <c r="AG580" s="19" t="str">
        <f aca="false">IF(OR(W580="",NOT(ISNUMBER(W580))),"",W580*$D$3^2/(2*$H$3))</f>
        <v/>
      </c>
      <c r="AH580" s="20" t="str">
        <f aca="false">IF(OR(W580="",NOT(ISNUMBER(W580))),"",W580*$D$3^2/2*$F$3)</f>
        <v/>
      </c>
    </row>
    <row r="581" customFormat="false" ht="15" hidden="false" customHeight="false" outlineLevel="0" collapsed="false">
      <c r="A581" s="10" t="s">
        <v>1268</v>
      </c>
      <c r="B581" s="22" t="s">
        <v>924</v>
      </c>
      <c r="C581" s="6" t="s">
        <v>925</v>
      </c>
      <c r="D581" s="6" t="s">
        <v>1269</v>
      </c>
      <c r="E581" s="6" t="s">
        <v>1242</v>
      </c>
      <c r="F581" s="6" t="s">
        <v>334</v>
      </c>
      <c r="G581" s="6" t="n">
        <v>200</v>
      </c>
      <c r="H581" s="6" t="n">
        <v>90</v>
      </c>
      <c r="I581" s="6"/>
      <c r="J581" s="6" t="n">
        <v>16</v>
      </c>
      <c r="K581" s="6" t="s">
        <v>928</v>
      </c>
      <c r="L581" s="6"/>
      <c r="M581" s="6"/>
      <c r="N581" s="12" t="n">
        <v>163.6</v>
      </c>
      <c r="O581" s="12" t="n">
        <v>73.6</v>
      </c>
      <c r="P581" s="12"/>
      <c r="Q581" s="12" t="n">
        <v>73.6</v>
      </c>
      <c r="R581" s="14" t="n">
        <v>0.014</v>
      </c>
      <c r="S581" s="6" t="n">
        <v>0</v>
      </c>
      <c r="T581" s="6"/>
      <c r="U581" s="14" t="n">
        <v>0</v>
      </c>
      <c r="V581" s="15" t="n">
        <f aca="false">60*R581+0.5*(1-(Q581/N581)^2)</f>
        <v>1.23880500475248</v>
      </c>
      <c r="W581" s="14"/>
      <c r="X581" s="10" t="s">
        <v>1207</v>
      </c>
      <c r="Y581" s="16"/>
      <c r="Z581" s="17" t="s">
        <v>48</v>
      </c>
      <c r="AA581" s="6"/>
      <c r="AB581" s="18" t="n">
        <f aca="false">IF(O581="","",$D$3*PI()*(O581/1000)^2/4*3600)</f>
        <v>22.9741403500662</v>
      </c>
      <c r="AC581" s="19" t="n">
        <f aca="false">IF(OR(U581="",NOT(ISNUMBER(U581))),"",U581*$D$3^2/(2*$H$3))</f>
        <v>0</v>
      </c>
      <c r="AD581" s="20" t="n">
        <f aca="false">IF(OR(U581="",NOT(ISNUMBER(U581))),"",U581*$D$3^2/2*$F$3)</f>
        <v>0</v>
      </c>
      <c r="AE581" s="19" t="n">
        <f aca="false">IF(OR(V581="",NOT(ISNUMBER(V581))),"",V581*$D$3^2/(2*$H$3))</f>
        <v>0.142064794122991</v>
      </c>
      <c r="AF581" s="20" t="n">
        <f aca="false">IF(OR(V581="",NOT(ISNUMBER(V581))),"",V581*$D$3^2/2*$F$3)</f>
        <v>1393.65563034654</v>
      </c>
      <c r="AG581" s="19" t="str">
        <f aca="false">IF(OR(W581="",NOT(ISNUMBER(W581))),"",W581*$D$3^2/(2*$H$3))</f>
        <v/>
      </c>
      <c r="AH581" s="20" t="str">
        <f aca="false">IF(OR(W581="",NOT(ISNUMBER(W581))),"",W581*$D$3^2/2*$F$3)</f>
        <v/>
      </c>
    </row>
    <row r="582" customFormat="false" ht="15" hidden="false" customHeight="false" outlineLevel="0" collapsed="false">
      <c r="A582" s="10" t="s">
        <v>1270</v>
      </c>
      <c r="B582" s="22" t="s">
        <v>924</v>
      </c>
      <c r="C582" s="6" t="s">
        <v>925</v>
      </c>
      <c r="D582" s="6" t="s">
        <v>1271</v>
      </c>
      <c r="E582" s="6" t="s">
        <v>1242</v>
      </c>
      <c r="F582" s="6" t="s">
        <v>334</v>
      </c>
      <c r="G582" s="6" t="n">
        <v>250</v>
      </c>
      <c r="H582" s="6" t="n">
        <v>63</v>
      </c>
      <c r="I582" s="6"/>
      <c r="J582" s="6" t="n">
        <v>16</v>
      </c>
      <c r="K582" s="6" t="s">
        <v>928</v>
      </c>
      <c r="L582" s="6"/>
      <c r="M582" s="6"/>
      <c r="N582" s="12" t="n">
        <v>204.6</v>
      </c>
      <c r="O582" s="12" t="n">
        <v>51.4</v>
      </c>
      <c r="P582" s="12"/>
      <c r="Q582" s="12" t="n">
        <v>51.4</v>
      </c>
      <c r="R582" s="14" t="n">
        <v>0.014</v>
      </c>
      <c r="S582" s="6" t="n">
        <v>0</v>
      </c>
      <c r="T582" s="6"/>
      <c r="U582" s="14" t="n">
        <v>0</v>
      </c>
      <c r="V582" s="15" t="n">
        <f aca="false">60*R582+0.5*(1-(Q582/N582)^2)</f>
        <v>1.30844377938882</v>
      </c>
      <c r="W582" s="14"/>
      <c r="X582" s="10" t="s">
        <v>1207</v>
      </c>
      <c r="Y582" s="16"/>
      <c r="Z582" s="17" t="s">
        <v>48</v>
      </c>
      <c r="AA582" s="6"/>
      <c r="AB582" s="18" t="n">
        <f aca="false">IF(O582="","",$D$3*PI()*(O582/1000)^2/4*3600)</f>
        <v>11.2049488715554</v>
      </c>
      <c r="AC582" s="19" t="n">
        <f aca="false">IF(OR(U582="",NOT(ISNUMBER(U582))),"",U582*$D$3^2/(2*$H$3))</f>
        <v>0</v>
      </c>
      <c r="AD582" s="20" t="n">
        <f aca="false">IF(OR(U582="",NOT(ISNUMBER(U582))),"",U582*$D$3^2/2*$F$3)</f>
        <v>0</v>
      </c>
      <c r="AE582" s="19" t="n">
        <f aca="false">IF(OR(V582="",NOT(ISNUMBER(V582))),"",V582*$D$3^2/(2*$H$3))</f>
        <v>0.150050892131745</v>
      </c>
      <c r="AF582" s="20" t="n">
        <f aca="false">IF(OR(V582="",NOT(ISNUMBER(V582))),"",V582*$D$3^2/2*$F$3)</f>
        <v>1471.99925181242</v>
      </c>
      <c r="AG582" s="19" t="str">
        <f aca="false">IF(OR(W582="",NOT(ISNUMBER(W582))),"",W582*$D$3^2/(2*$H$3))</f>
        <v/>
      </c>
      <c r="AH582" s="20" t="str">
        <f aca="false">IF(OR(W582="",NOT(ISNUMBER(W582))),"",W582*$D$3^2/2*$F$3)</f>
        <v/>
      </c>
    </row>
    <row r="583" customFormat="false" ht="15" hidden="false" customHeight="false" outlineLevel="0" collapsed="false">
      <c r="A583" s="10" t="s">
        <v>1272</v>
      </c>
      <c r="B583" s="23" t="s">
        <v>1273</v>
      </c>
      <c r="C583" s="6" t="s">
        <v>925</v>
      </c>
      <c r="D583" s="6" t="s">
        <v>1274</v>
      </c>
      <c r="E583" s="6" t="s">
        <v>1275</v>
      </c>
      <c r="F583" s="6" t="s">
        <v>181</v>
      </c>
      <c r="G583" s="6" t="n">
        <v>63</v>
      </c>
      <c r="H583" s="6"/>
      <c r="I583" s="6"/>
      <c r="J583" s="6" t="n">
        <v>10</v>
      </c>
      <c r="K583" s="6" t="s">
        <v>1276</v>
      </c>
      <c r="L583" s="6"/>
      <c r="M583" s="6"/>
      <c r="N583" s="12" t="n">
        <v>51.4</v>
      </c>
      <c r="O583" s="12" t="n">
        <v>51.4</v>
      </c>
      <c r="P583" s="12"/>
      <c r="Q583" s="12"/>
      <c r="R583" s="14" t="n">
        <v>0.019</v>
      </c>
      <c r="S583" s="6" t="n">
        <v>30</v>
      </c>
      <c r="T583" s="6"/>
      <c r="U583" s="15" t="n">
        <f aca="false">S583*R583</f>
        <v>0.57</v>
      </c>
      <c r="V583" s="14"/>
      <c r="W583" s="14"/>
      <c r="X583" s="10" t="s">
        <v>1062</v>
      </c>
      <c r="Y583" s="16"/>
      <c r="Z583" s="17" t="s">
        <v>48</v>
      </c>
      <c r="AA583" s="6"/>
      <c r="AB583" s="18" t="n">
        <f aca="false">IF(O583="","",$D$3*PI()*(O583/1000)^2/4*3600)</f>
        <v>11.2049488715554</v>
      </c>
      <c r="AC583" s="19" t="n">
        <f aca="false">IF(OR(U583="",NOT(ISNUMBER(U583))),"",U583*$D$3^2/(2*$H$3))</f>
        <v>0.0653669724770642</v>
      </c>
      <c r="AD583" s="20" t="n">
        <f aca="false">IF(OR(U583="",NOT(ISNUMBER(U583))),"",U583*$D$3^2/2*$F$3)</f>
        <v>641.25</v>
      </c>
      <c r="AE583" s="19" t="str">
        <f aca="false">IF(OR(V583="",NOT(ISNUMBER(V583))),"",V583*$D$3^2/(2*$H$3))</f>
        <v/>
      </c>
      <c r="AF583" s="20" t="str">
        <f aca="false">IF(OR(V583="",NOT(ISNUMBER(V583))),"",V583*$D$3^2/2*$F$3)</f>
        <v/>
      </c>
      <c r="AG583" s="19" t="str">
        <f aca="false">IF(OR(W583="",NOT(ISNUMBER(W583))),"",W583*$D$3^2/(2*$H$3))</f>
        <v/>
      </c>
      <c r="AH583" s="20" t="str">
        <f aca="false">IF(OR(W583="",NOT(ISNUMBER(W583))),"",W583*$D$3^2/2*$F$3)</f>
        <v/>
      </c>
    </row>
    <row r="584" customFormat="false" ht="15" hidden="false" customHeight="false" outlineLevel="0" collapsed="false">
      <c r="A584" s="10" t="s">
        <v>1277</v>
      </c>
      <c r="B584" s="23" t="s">
        <v>1273</v>
      </c>
      <c r="C584" s="6" t="s">
        <v>925</v>
      </c>
      <c r="D584" s="6" t="s">
        <v>1278</v>
      </c>
      <c r="E584" s="6" t="s">
        <v>1275</v>
      </c>
      <c r="F584" s="6" t="s">
        <v>181</v>
      </c>
      <c r="G584" s="6" t="n">
        <v>75</v>
      </c>
      <c r="H584" s="6"/>
      <c r="I584" s="6"/>
      <c r="J584" s="6" t="n">
        <v>10</v>
      </c>
      <c r="K584" s="6" t="s">
        <v>1276</v>
      </c>
      <c r="L584" s="6"/>
      <c r="M584" s="6"/>
      <c r="N584" s="12" t="n">
        <v>61.4</v>
      </c>
      <c r="O584" s="12" t="n">
        <v>61.4</v>
      </c>
      <c r="P584" s="12"/>
      <c r="Q584" s="12"/>
      <c r="R584" s="14" t="n">
        <v>0.018</v>
      </c>
      <c r="S584" s="6" t="n">
        <v>30</v>
      </c>
      <c r="T584" s="6"/>
      <c r="U584" s="15" t="n">
        <f aca="false">S584*R584</f>
        <v>0.54</v>
      </c>
      <c r="V584" s="14"/>
      <c r="W584" s="14"/>
      <c r="X584" s="10" t="s">
        <v>1062</v>
      </c>
      <c r="Y584" s="16"/>
      <c r="Z584" s="17" t="s">
        <v>48</v>
      </c>
      <c r="AA584" s="6"/>
      <c r="AB584" s="18" t="n">
        <f aca="false">IF(O584="","",$D$3*PI()*(O584/1000)^2/4*3600)</f>
        <v>15.988966164442</v>
      </c>
      <c r="AC584" s="19" t="n">
        <f aca="false">IF(OR(U584="",NOT(ISNUMBER(U584))),"",U584*$D$3^2/(2*$H$3))</f>
        <v>0.0619266055045871</v>
      </c>
      <c r="AD584" s="20" t="n">
        <f aca="false">IF(OR(U584="",NOT(ISNUMBER(U584))),"",U584*$D$3^2/2*$F$3)</f>
        <v>607.5</v>
      </c>
      <c r="AE584" s="19" t="str">
        <f aca="false">IF(OR(V584="",NOT(ISNUMBER(V584))),"",V584*$D$3^2/(2*$H$3))</f>
        <v/>
      </c>
      <c r="AF584" s="20" t="str">
        <f aca="false">IF(OR(V584="",NOT(ISNUMBER(V584))),"",V584*$D$3^2/2*$F$3)</f>
        <v/>
      </c>
      <c r="AG584" s="19" t="str">
        <f aca="false">IF(OR(W584="",NOT(ISNUMBER(W584))),"",W584*$D$3^2/(2*$H$3))</f>
        <v/>
      </c>
      <c r="AH584" s="20" t="str">
        <f aca="false">IF(OR(W584="",NOT(ISNUMBER(W584))),"",W584*$D$3^2/2*$F$3)</f>
        <v/>
      </c>
    </row>
    <row r="585" customFormat="false" ht="15" hidden="false" customHeight="false" outlineLevel="0" collapsed="false">
      <c r="A585" s="10" t="s">
        <v>1279</v>
      </c>
      <c r="B585" s="23" t="s">
        <v>1273</v>
      </c>
      <c r="C585" s="6" t="s">
        <v>925</v>
      </c>
      <c r="D585" s="6" t="s">
        <v>1280</v>
      </c>
      <c r="E585" s="6" t="s">
        <v>1275</v>
      </c>
      <c r="F585" s="6" t="s">
        <v>181</v>
      </c>
      <c r="G585" s="6" t="n">
        <v>90</v>
      </c>
      <c r="H585" s="6"/>
      <c r="I585" s="6"/>
      <c r="J585" s="6" t="n">
        <v>10</v>
      </c>
      <c r="K585" s="6" t="s">
        <v>1276</v>
      </c>
      <c r="L585" s="6"/>
      <c r="M585" s="6"/>
      <c r="N585" s="12" t="n">
        <v>73.6</v>
      </c>
      <c r="O585" s="12" t="n">
        <v>73.6</v>
      </c>
      <c r="P585" s="12"/>
      <c r="Q585" s="12"/>
      <c r="R585" s="14" t="n">
        <v>0.018</v>
      </c>
      <c r="S585" s="6" t="n">
        <v>30</v>
      </c>
      <c r="T585" s="6"/>
      <c r="U585" s="15" t="n">
        <f aca="false">S585*R585</f>
        <v>0.54</v>
      </c>
      <c r="V585" s="14"/>
      <c r="W585" s="14"/>
      <c r="X585" s="10" t="s">
        <v>1062</v>
      </c>
      <c r="Y585" s="16"/>
      <c r="Z585" s="17" t="s">
        <v>48</v>
      </c>
      <c r="AA585" s="6"/>
      <c r="AB585" s="18" t="n">
        <f aca="false">IF(O585="","",$D$3*PI()*(O585/1000)^2/4*3600)</f>
        <v>22.9741403500662</v>
      </c>
      <c r="AC585" s="19" t="n">
        <f aca="false">IF(OR(U585="",NOT(ISNUMBER(U585))),"",U585*$D$3^2/(2*$H$3))</f>
        <v>0.0619266055045871</v>
      </c>
      <c r="AD585" s="20" t="n">
        <f aca="false">IF(OR(U585="",NOT(ISNUMBER(U585))),"",U585*$D$3^2/2*$F$3)</f>
        <v>607.5</v>
      </c>
      <c r="AE585" s="19" t="str">
        <f aca="false">IF(OR(V585="",NOT(ISNUMBER(V585))),"",V585*$D$3^2/(2*$H$3))</f>
        <v/>
      </c>
      <c r="AF585" s="20" t="str">
        <f aca="false">IF(OR(V585="",NOT(ISNUMBER(V585))),"",V585*$D$3^2/2*$F$3)</f>
        <v/>
      </c>
      <c r="AG585" s="19" t="str">
        <f aca="false">IF(OR(W585="",NOT(ISNUMBER(W585))),"",W585*$D$3^2/(2*$H$3))</f>
        <v/>
      </c>
      <c r="AH585" s="20" t="str">
        <f aca="false">IF(OR(W585="",NOT(ISNUMBER(W585))),"",W585*$D$3^2/2*$F$3)</f>
        <v/>
      </c>
    </row>
    <row r="586" customFormat="false" ht="15" hidden="false" customHeight="false" outlineLevel="0" collapsed="false">
      <c r="A586" s="10" t="s">
        <v>1281</v>
      </c>
      <c r="B586" s="23" t="s">
        <v>1273</v>
      </c>
      <c r="C586" s="6" t="s">
        <v>925</v>
      </c>
      <c r="D586" s="6" t="s">
        <v>1282</v>
      </c>
      <c r="E586" s="6" t="s">
        <v>1275</v>
      </c>
      <c r="F586" s="6" t="s">
        <v>181</v>
      </c>
      <c r="G586" s="6" t="n">
        <v>110</v>
      </c>
      <c r="H586" s="6"/>
      <c r="I586" s="6"/>
      <c r="J586" s="6" t="n">
        <v>10</v>
      </c>
      <c r="K586" s="6" t="s">
        <v>1276</v>
      </c>
      <c r="L586" s="6"/>
      <c r="M586" s="6"/>
      <c r="N586" s="12" t="n">
        <v>90</v>
      </c>
      <c r="O586" s="12" t="n">
        <v>90</v>
      </c>
      <c r="P586" s="12"/>
      <c r="Q586" s="12"/>
      <c r="R586" s="14" t="n">
        <v>0.017</v>
      </c>
      <c r="S586" s="6" t="n">
        <v>30</v>
      </c>
      <c r="T586" s="6"/>
      <c r="U586" s="15" t="n">
        <f aca="false">S586*R586</f>
        <v>0.51</v>
      </c>
      <c r="V586" s="14"/>
      <c r="W586" s="14"/>
      <c r="X586" s="10" t="s">
        <v>1062</v>
      </c>
      <c r="Y586" s="16"/>
      <c r="Z586" s="17" t="s">
        <v>48</v>
      </c>
      <c r="AA586" s="6"/>
      <c r="AB586" s="18" t="n">
        <f aca="false">IF(O586="","",$D$3*PI()*(O586/1000)^2/4*3600)</f>
        <v>34.3533156670044</v>
      </c>
      <c r="AC586" s="19" t="n">
        <f aca="false">IF(OR(U586="",NOT(ISNUMBER(U586))),"",U586*$D$3^2/(2*$H$3))</f>
        <v>0.0584862385321101</v>
      </c>
      <c r="AD586" s="20" t="n">
        <f aca="false">IF(OR(U586="",NOT(ISNUMBER(U586))),"",U586*$D$3^2/2*$F$3)</f>
        <v>573.75</v>
      </c>
      <c r="AE586" s="19" t="str">
        <f aca="false">IF(OR(V586="",NOT(ISNUMBER(V586))),"",V586*$D$3^2/(2*$H$3))</f>
        <v/>
      </c>
      <c r="AF586" s="20" t="str">
        <f aca="false">IF(OR(V586="",NOT(ISNUMBER(V586))),"",V586*$D$3^2/2*$F$3)</f>
        <v/>
      </c>
      <c r="AG586" s="19" t="str">
        <f aca="false">IF(OR(W586="",NOT(ISNUMBER(W586))),"",W586*$D$3^2/(2*$H$3))</f>
        <v/>
      </c>
      <c r="AH586" s="20" t="str">
        <f aca="false">IF(OR(W586="",NOT(ISNUMBER(W586))),"",W586*$D$3^2/2*$F$3)</f>
        <v/>
      </c>
    </row>
    <row r="587" customFormat="false" ht="15" hidden="false" customHeight="false" outlineLevel="0" collapsed="false">
      <c r="A587" s="10" t="s">
        <v>1283</v>
      </c>
      <c r="B587" s="23" t="s">
        <v>1273</v>
      </c>
      <c r="C587" s="6" t="s">
        <v>925</v>
      </c>
      <c r="D587" s="6" t="s">
        <v>1284</v>
      </c>
      <c r="E587" s="6" t="s">
        <v>1275</v>
      </c>
      <c r="F587" s="6" t="s">
        <v>181</v>
      </c>
      <c r="G587" s="6" t="n">
        <v>125</v>
      </c>
      <c r="H587" s="6"/>
      <c r="I587" s="6"/>
      <c r="J587" s="6" t="n">
        <v>10</v>
      </c>
      <c r="K587" s="6" t="s">
        <v>1276</v>
      </c>
      <c r="L587" s="6"/>
      <c r="M587" s="6"/>
      <c r="N587" s="12" t="n">
        <v>102.2</v>
      </c>
      <c r="O587" s="12" t="n">
        <v>102.2</v>
      </c>
      <c r="P587" s="12"/>
      <c r="Q587" s="12"/>
      <c r="R587" s="14" t="n">
        <v>0.016</v>
      </c>
      <c r="S587" s="6" t="n">
        <v>30</v>
      </c>
      <c r="T587" s="6"/>
      <c r="U587" s="15" t="n">
        <f aca="false">S587*R587</f>
        <v>0.48</v>
      </c>
      <c r="V587" s="14"/>
      <c r="W587" s="14"/>
      <c r="X587" s="10" t="s">
        <v>1062</v>
      </c>
      <c r="Y587" s="16"/>
      <c r="Z587" s="17" t="s">
        <v>48</v>
      </c>
      <c r="AA587" s="6"/>
      <c r="AB587" s="18" t="n">
        <f aca="false">IF(O587="","",$D$3*PI()*(O587/1000)^2/4*3600)</f>
        <v>44.2981340260931</v>
      </c>
      <c r="AC587" s="19" t="n">
        <f aca="false">IF(OR(U587="",NOT(ISNUMBER(U587))),"",U587*$D$3^2/(2*$H$3))</f>
        <v>0.055045871559633</v>
      </c>
      <c r="AD587" s="20" t="n">
        <f aca="false">IF(OR(U587="",NOT(ISNUMBER(U587))),"",U587*$D$3^2/2*$F$3)</f>
        <v>540</v>
      </c>
      <c r="AE587" s="19" t="str">
        <f aca="false">IF(OR(V587="",NOT(ISNUMBER(V587))),"",V587*$D$3^2/(2*$H$3))</f>
        <v/>
      </c>
      <c r="AF587" s="20" t="str">
        <f aca="false">IF(OR(V587="",NOT(ISNUMBER(V587))),"",V587*$D$3^2/2*$F$3)</f>
        <v/>
      </c>
      <c r="AG587" s="19" t="str">
        <f aca="false">IF(OR(W587="",NOT(ISNUMBER(W587))),"",W587*$D$3^2/(2*$H$3))</f>
        <v/>
      </c>
      <c r="AH587" s="20" t="str">
        <f aca="false">IF(OR(W587="",NOT(ISNUMBER(W587))),"",W587*$D$3^2/2*$F$3)</f>
        <v/>
      </c>
    </row>
    <row r="588" customFormat="false" ht="15" hidden="false" customHeight="false" outlineLevel="0" collapsed="false">
      <c r="A588" s="10" t="s">
        <v>1285</v>
      </c>
      <c r="B588" s="23" t="s">
        <v>1273</v>
      </c>
      <c r="C588" s="6" t="s">
        <v>925</v>
      </c>
      <c r="D588" s="6" t="s">
        <v>1286</v>
      </c>
      <c r="E588" s="6" t="s">
        <v>1275</v>
      </c>
      <c r="F588" s="6" t="s">
        <v>181</v>
      </c>
      <c r="G588" s="6" t="n">
        <v>140</v>
      </c>
      <c r="H588" s="6"/>
      <c r="I588" s="6"/>
      <c r="J588" s="6" t="n">
        <v>10</v>
      </c>
      <c r="K588" s="6" t="s">
        <v>1276</v>
      </c>
      <c r="L588" s="6"/>
      <c r="M588" s="6"/>
      <c r="N588" s="12" t="n">
        <v>114.6</v>
      </c>
      <c r="O588" s="12" t="n">
        <v>114.6</v>
      </c>
      <c r="P588" s="12"/>
      <c r="Q588" s="12"/>
      <c r="R588" s="14" t="n">
        <v>0.016</v>
      </c>
      <c r="S588" s="6" t="n">
        <v>30</v>
      </c>
      <c r="T588" s="6"/>
      <c r="U588" s="15" t="n">
        <f aca="false">S588*R588</f>
        <v>0.48</v>
      </c>
      <c r="V588" s="14"/>
      <c r="W588" s="14"/>
      <c r="X588" s="10" t="s">
        <v>1062</v>
      </c>
      <c r="Y588" s="16"/>
      <c r="Z588" s="17" t="s">
        <v>48</v>
      </c>
      <c r="AA588" s="6"/>
      <c r="AB588" s="18" t="n">
        <f aca="false">IF(O588="","",$D$3*PI()*(O588/1000)^2/4*3600)</f>
        <v>55.6997026154661</v>
      </c>
      <c r="AC588" s="19" t="n">
        <f aca="false">IF(OR(U588="",NOT(ISNUMBER(U588))),"",U588*$D$3^2/(2*$H$3))</f>
        <v>0.055045871559633</v>
      </c>
      <c r="AD588" s="20" t="n">
        <f aca="false">IF(OR(U588="",NOT(ISNUMBER(U588))),"",U588*$D$3^2/2*$F$3)</f>
        <v>540</v>
      </c>
      <c r="AE588" s="19" t="str">
        <f aca="false">IF(OR(V588="",NOT(ISNUMBER(V588))),"",V588*$D$3^2/(2*$H$3))</f>
        <v/>
      </c>
      <c r="AF588" s="20" t="str">
        <f aca="false">IF(OR(V588="",NOT(ISNUMBER(V588))),"",V588*$D$3^2/2*$F$3)</f>
        <v/>
      </c>
      <c r="AG588" s="19" t="str">
        <f aca="false">IF(OR(W588="",NOT(ISNUMBER(W588))),"",W588*$D$3^2/(2*$H$3))</f>
        <v/>
      </c>
      <c r="AH588" s="20" t="str">
        <f aca="false">IF(OR(W588="",NOT(ISNUMBER(W588))),"",W588*$D$3^2/2*$F$3)</f>
        <v/>
      </c>
    </row>
    <row r="589" customFormat="false" ht="15" hidden="false" customHeight="false" outlineLevel="0" collapsed="false">
      <c r="A589" s="10" t="s">
        <v>1287</v>
      </c>
      <c r="B589" s="23" t="s">
        <v>1273</v>
      </c>
      <c r="C589" s="6" t="s">
        <v>925</v>
      </c>
      <c r="D589" s="6" t="s">
        <v>1288</v>
      </c>
      <c r="E589" s="6" t="s">
        <v>1275</v>
      </c>
      <c r="F589" s="6" t="s">
        <v>181</v>
      </c>
      <c r="G589" s="6" t="n">
        <v>160</v>
      </c>
      <c r="H589" s="6"/>
      <c r="I589" s="6"/>
      <c r="J589" s="6" t="n">
        <v>10</v>
      </c>
      <c r="K589" s="6" t="s">
        <v>1276</v>
      </c>
      <c r="L589" s="6"/>
      <c r="M589" s="6"/>
      <c r="N589" s="12" t="n">
        <v>130.8</v>
      </c>
      <c r="O589" s="12" t="n">
        <v>130.8</v>
      </c>
      <c r="P589" s="12"/>
      <c r="Q589" s="12"/>
      <c r="R589" s="14" t="n">
        <v>0.015</v>
      </c>
      <c r="S589" s="6" t="n">
        <v>30</v>
      </c>
      <c r="T589" s="6"/>
      <c r="U589" s="15" t="n">
        <f aca="false">S589*R589</f>
        <v>0.45</v>
      </c>
      <c r="V589" s="14"/>
      <c r="W589" s="14"/>
      <c r="X589" s="10" t="s">
        <v>1062</v>
      </c>
      <c r="Y589" s="16"/>
      <c r="Z589" s="17" t="s">
        <v>48</v>
      </c>
      <c r="AA589" s="6"/>
      <c r="AB589" s="18" t="n">
        <f aca="false">IF(O589="","",$D$3*PI()*(O589/1000)^2/4*3600)</f>
        <v>72.5603099448318</v>
      </c>
      <c r="AC589" s="19" t="n">
        <f aca="false">IF(OR(U589="",NOT(ISNUMBER(U589))),"",U589*$D$3^2/(2*$H$3))</f>
        <v>0.051605504587156</v>
      </c>
      <c r="AD589" s="20" t="n">
        <f aca="false">IF(OR(U589="",NOT(ISNUMBER(U589))),"",U589*$D$3^2/2*$F$3)</f>
        <v>506.25</v>
      </c>
      <c r="AE589" s="19" t="str">
        <f aca="false">IF(OR(V589="",NOT(ISNUMBER(V589))),"",V589*$D$3^2/(2*$H$3))</f>
        <v/>
      </c>
      <c r="AF589" s="20" t="str">
        <f aca="false">IF(OR(V589="",NOT(ISNUMBER(V589))),"",V589*$D$3^2/2*$F$3)</f>
        <v/>
      </c>
      <c r="AG589" s="19" t="str">
        <f aca="false">IF(OR(W589="",NOT(ISNUMBER(W589))),"",W589*$D$3^2/(2*$H$3))</f>
        <v/>
      </c>
      <c r="AH589" s="20" t="str">
        <f aca="false">IF(OR(W589="",NOT(ISNUMBER(W589))),"",W589*$D$3^2/2*$F$3)</f>
        <v/>
      </c>
    </row>
    <row r="590" customFormat="false" ht="15" hidden="false" customHeight="false" outlineLevel="0" collapsed="false">
      <c r="A590" s="10" t="s">
        <v>1289</v>
      </c>
      <c r="B590" s="23" t="s">
        <v>1273</v>
      </c>
      <c r="C590" s="6" t="s">
        <v>925</v>
      </c>
      <c r="D590" s="6" t="s">
        <v>1290</v>
      </c>
      <c r="E590" s="6" t="s">
        <v>1275</v>
      </c>
      <c r="F590" s="6" t="s">
        <v>181</v>
      </c>
      <c r="G590" s="6" t="n">
        <v>180</v>
      </c>
      <c r="H590" s="6"/>
      <c r="I590" s="6"/>
      <c r="J590" s="6" t="n">
        <v>10</v>
      </c>
      <c r="K590" s="6" t="s">
        <v>1276</v>
      </c>
      <c r="L590" s="6"/>
      <c r="M590" s="6"/>
      <c r="N590" s="12" t="n">
        <v>147.2</v>
      </c>
      <c r="O590" s="12" t="n">
        <v>147.2</v>
      </c>
      <c r="P590" s="12"/>
      <c r="Q590" s="12"/>
      <c r="R590" s="14" t="n">
        <v>0.015</v>
      </c>
      <c r="S590" s="6" t="n">
        <v>30</v>
      </c>
      <c r="T590" s="6"/>
      <c r="U590" s="15" t="n">
        <f aca="false">S590*R590</f>
        <v>0.45</v>
      </c>
      <c r="V590" s="14"/>
      <c r="W590" s="14"/>
      <c r="X590" s="10" t="s">
        <v>1062</v>
      </c>
      <c r="Y590" s="16"/>
      <c r="Z590" s="17" t="s">
        <v>48</v>
      </c>
      <c r="AA590" s="6"/>
      <c r="AB590" s="18" t="n">
        <f aca="false">IF(O590="","",$D$3*PI()*(O590/1000)^2/4*3600)</f>
        <v>91.8965614002647</v>
      </c>
      <c r="AC590" s="19" t="n">
        <f aca="false">IF(OR(U590="",NOT(ISNUMBER(U590))),"",U590*$D$3^2/(2*$H$3))</f>
        <v>0.051605504587156</v>
      </c>
      <c r="AD590" s="20" t="n">
        <f aca="false">IF(OR(U590="",NOT(ISNUMBER(U590))),"",U590*$D$3^2/2*$F$3)</f>
        <v>506.25</v>
      </c>
      <c r="AE590" s="19" t="str">
        <f aca="false">IF(OR(V590="",NOT(ISNUMBER(V590))),"",V590*$D$3^2/(2*$H$3))</f>
        <v/>
      </c>
      <c r="AF590" s="20" t="str">
        <f aca="false">IF(OR(V590="",NOT(ISNUMBER(V590))),"",V590*$D$3^2/2*$F$3)</f>
        <v/>
      </c>
      <c r="AG590" s="19" t="str">
        <f aca="false">IF(OR(W590="",NOT(ISNUMBER(W590))),"",W590*$D$3^2/(2*$H$3))</f>
        <v/>
      </c>
      <c r="AH590" s="20" t="str">
        <f aca="false">IF(OR(W590="",NOT(ISNUMBER(W590))),"",W590*$D$3^2/2*$F$3)</f>
        <v/>
      </c>
    </row>
    <row r="591" customFormat="false" ht="15" hidden="false" customHeight="false" outlineLevel="0" collapsed="false">
      <c r="A591" s="10" t="s">
        <v>1291</v>
      </c>
      <c r="B591" s="23" t="s">
        <v>1273</v>
      </c>
      <c r="C591" s="6" t="s">
        <v>925</v>
      </c>
      <c r="D591" s="6" t="s">
        <v>1292</v>
      </c>
      <c r="E591" s="6" t="s">
        <v>1275</v>
      </c>
      <c r="F591" s="6" t="s">
        <v>181</v>
      </c>
      <c r="G591" s="6" t="n">
        <v>200</v>
      </c>
      <c r="H591" s="6"/>
      <c r="I591" s="6"/>
      <c r="J591" s="6" t="n">
        <v>10</v>
      </c>
      <c r="K591" s="6" t="s">
        <v>1276</v>
      </c>
      <c r="L591" s="6"/>
      <c r="M591" s="6"/>
      <c r="N591" s="12" t="n">
        <v>163.6</v>
      </c>
      <c r="O591" s="12" t="n">
        <v>163.6</v>
      </c>
      <c r="P591" s="12"/>
      <c r="Q591" s="12"/>
      <c r="R591" s="14" t="n">
        <v>0.014</v>
      </c>
      <c r="S591" s="6" t="n">
        <v>30</v>
      </c>
      <c r="T591" s="6"/>
      <c r="U591" s="15" t="n">
        <f aca="false">S591*R591</f>
        <v>0.42</v>
      </c>
      <c r="V591" s="14"/>
      <c r="W591" s="14"/>
      <c r="X591" s="10" t="s">
        <v>1062</v>
      </c>
      <c r="Y591" s="16"/>
      <c r="Z591" s="17" t="s">
        <v>48</v>
      </c>
      <c r="AA591" s="6"/>
      <c r="AB591" s="18" t="n">
        <f aca="false">IF(O591="","",$D$3*PI()*(O591/1000)^2/4*3600)</f>
        <v>113.514212307993</v>
      </c>
      <c r="AC591" s="19" t="n">
        <f aca="false">IF(OR(U591="",NOT(ISNUMBER(U591))),"",U591*$D$3^2/(2*$H$3))</f>
        <v>0.0481651376146789</v>
      </c>
      <c r="AD591" s="20" t="n">
        <f aca="false">IF(OR(U591="",NOT(ISNUMBER(U591))),"",U591*$D$3^2/2*$F$3)</f>
        <v>472.5</v>
      </c>
      <c r="AE591" s="19" t="str">
        <f aca="false">IF(OR(V591="",NOT(ISNUMBER(V591))),"",V591*$D$3^2/(2*$H$3))</f>
        <v/>
      </c>
      <c r="AF591" s="20" t="str">
        <f aca="false">IF(OR(V591="",NOT(ISNUMBER(V591))),"",V591*$D$3^2/2*$F$3)</f>
        <v/>
      </c>
      <c r="AG591" s="19" t="str">
        <f aca="false">IF(OR(W591="",NOT(ISNUMBER(W591))),"",W591*$D$3^2/(2*$H$3))</f>
        <v/>
      </c>
      <c r="AH591" s="20" t="str">
        <f aca="false">IF(OR(W591="",NOT(ISNUMBER(W591))),"",W591*$D$3^2/2*$F$3)</f>
        <v/>
      </c>
    </row>
    <row r="592" customFormat="false" ht="15" hidden="false" customHeight="false" outlineLevel="0" collapsed="false">
      <c r="A592" s="10" t="s">
        <v>1293</v>
      </c>
      <c r="B592" s="23" t="s">
        <v>1273</v>
      </c>
      <c r="C592" s="6" t="s">
        <v>925</v>
      </c>
      <c r="D592" s="6" t="s">
        <v>1294</v>
      </c>
      <c r="E592" s="6" t="s">
        <v>1275</v>
      </c>
      <c r="F592" s="6" t="s">
        <v>181</v>
      </c>
      <c r="G592" s="6" t="n">
        <v>225</v>
      </c>
      <c r="H592" s="6"/>
      <c r="I592" s="6"/>
      <c r="J592" s="6" t="n">
        <v>10</v>
      </c>
      <c r="K592" s="6" t="s">
        <v>1276</v>
      </c>
      <c r="L592" s="6"/>
      <c r="M592" s="6"/>
      <c r="N592" s="12" t="n">
        <v>184</v>
      </c>
      <c r="O592" s="12" t="n">
        <v>184</v>
      </c>
      <c r="P592" s="12"/>
      <c r="Q592" s="12"/>
      <c r="R592" s="14" t="n">
        <v>0.014</v>
      </c>
      <c r="S592" s="6" t="n">
        <v>30</v>
      </c>
      <c r="T592" s="6"/>
      <c r="U592" s="15" t="n">
        <f aca="false">S592*R592</f>
        <v>0.42</v>
      </c>
      <c r="V592" s="14"/>
      <c r="W592" s="14"/>
      <c r="X592" s="10" t="s">
        <v>1062</v>
      </c>
      <c r="Y592" s="16"/>
      <c r="Z592" s="17" t="s">
        <v>48</v>
      </c>
      <c r="AA592" s="6"/>
      <c r="AB592" s="18" t="n">
        <f aca="false">IF(O592="","",$D$3*PI()*(O592/1000)^2/4*3600)</f>
        <v>143.588377187914</v>
      </c>
      <c r="AC592" s="19" t="n">
        <f aca="false">IF(OR(U592="",NOT(ISNUMBER(U592))),"",U592*$D$3^2/(2*$H$3))</f>
        <v>0.0481651376146789</v>
      </c>
      <c r="AD592" s="20" t="n">
        <f aca="false">IF(OR(U592="",NOT(ISNUMBER(U592))),"",U592*$D$3^2/2*$F$3)</f>
        <v>472.5</v>
      </c>
      <c r="AE592" s="19" t="str">
        <f aca="false">IF(OR(V592="",NOT(ISNUMBER(V592))),"",V592*$D$3^2/(2*$H$3))</f>
        <v/>
      </c>
      <c r="AF592" s="20" t="str">
        <f aca="false">IF(OR(V592="",NOT(ISNUMBER(V592))),"",V592*$D$3^2/2*$F$3)</f>
        <v/>
      </c>
      <c r="AG592" s="19" t="str">
        <f aca="false">IF(OR(W592="",NOT(ISNUMBER(W592))),"",W592*$D$3^2/(2*$H$3))</f>
        <v/>
      </c>
      <c r="AH592" s="20" t="str">
        <f aca="false">IF(OR(W592="",NOT(ISNUMBER(W592))),"",W592*$D$3^2/2*$F$3)</f>
        <v/>
      </c>
    </row>
    <row r="593" customFormat="false" ht="15" hidden="false" customHeight="false" outlineLevel="0" collapsed="false">
      <c r="A593" s="10" t="s">
        <v>1295</v>
      </c>
      <c r="B593" s="23" t="s">
        <v>1273</v>
      </c>
      <c r="C593" s="6" t="s">
        <v>925</v>
      </c>
      <c r="D593" s="6" t="s">
        <v>1296</v>
      </c>
      <c r="E593" s="6" t="s">
        <v>1275</v>
      </c>
      <c r="F593" s="6" t="s">
        <v>181</v>
      </c>
      <c r="G593" s="6" t="n">
        <v>250</v>
      </c>
      <c r="H593" s="6"/>
      <c r="I593" s="6"/>
      <c r="J593" s="6" t="n">
        <v>10</v>
      </c>
      <c r="K593" s="6" t="s">
        <v>1276</v>
      </c>
      <c r="L593" s="6"/>
      <c r="M593" s="6"/>
      <c r="N593" s="12" t="n">
        <v>204.6</v>
      </c>
      <c r="O593" s="12" t="n">
        <v>204.6</v>
      </c>
      <c r="P593" s="12"/>
      <c r="Q593" s="12"/>
      <c r="R593" s="14" t="n">
        <v>0.014</v>
      </c>
      <c r="S593" s="6" t="n">
        <v>30</v>
      </c>
      <c r="T593" s="6"/>
      <c r="U593" s="15" t="n">
        <f aca="false">S593*R593</f>
        <v>0.42</v>
      </c>
      <c r="V593" s="14"/>
      <c r="W593" s="14"/>
      <c r="X593" s="10" t="s">
        <v>1062</v>
      </c>
      <c r="Y593" s="16"/>
      <c r="Z593" s="17" t="s">
        <v>48</v>
      </c>
      <c r="AA593" s="6"/>
      <c r="AB593" s="18" t="n">
        <f aca="false">IF(O593="","",$D$3*PI()*(O593/1000)^2/4*3600)</f>
        <v>177.539462181108</v>
      </c>
      <c r="AC593" s="19" t="n">
        <f aca="false">IF(OR(U593="",NOT(ISNUMBER(U593))),"",U593*$D$3^2/(2*$H$3))</f>
        <v>0.0481651376146789</v>
      </c>
      <c r="AD593" s="20" t="n">
        <f aca="false">IF(OR(U593="",NOT(ISNUMBER(U593))),"",U593*$D$3^2/2*$F$3)</f>
        <v>472.5</v>
      </c>
      <c r="AE593" s="19" t="str">
        <f aca="false">IF(OR(V593="",NOT(ISNUMBER(V593))),"",V593*$D$3^2/(2*$H$3))</f>
        <v/>
      </c>
      <c r="AF593" s="20" t="str">
        <f aca="false">IF(OR(V593="",NOT(ISNUMBER(V593))),"",V593*$D$3^2/2*$F$3)</f>
        <v/>
      </c>
      <c r="AG593" s="19" t="str">
        <f aca="false">IF(OR(W593="",NOT(ISNUMBER(W593))),"",W593*$D$3^2/(2*$H$3))</f>
        <v/>
      </c>
      <c r="AH593" s="20" t="str">
        <f aca="false">IF(OR(W593="",NOT(ISNUMBER(W593))),"",W593*$D$3^2/2*$F$3)</f>
        <v/>
      </c>
    </row>
    <row r="594" customFormat="false" ht="15" hidden="false" customHeight="false" outlineLevel="0" collapsed="false">
      <c r="A594" s="10" t="s">
        <v>1297</v>
      </c>
      <c r="B594" s="23" t="s">
        <v>1273</v>
      </c>
      <c r="C594" s="6" t="s">
        <v>925</v>
      </c>
      <c r="D594" s="6" t="s">
        <v>1298</v>
      </c>
      <c r="E594" s="6" t="s">
        <v>1275</v>
      </c>
      <c r="F594" s="6" t="s">
        <v>181</v>
      </c>
      <c r="G594" s="6" t="n">
        <v>280</v>
      </c>
      <c r="H594" s="6"/>
      <c r="I594" s="6"/>
      <c r="J594" s="6" t="n">
        <v>10</v>
      </c>
      <c r="K594" s="6" t="s">
        <v>1276</v>
      </c>
      <c r="L594" s="6"/>
      <c r="M594" s="6"/>
      <c r="N594" s="12" t="n">
        <v>229.2</v>
      </c>
      <c r="O594" s="12" t="n">
        <v>229.2</v>
      </c>
      <c r="P594" s="12"/>
      <c r="Q594" s="12"/>
      <c r="R594" s="14" t="n">
        <v>0.014</v>
      </c>
      <c r="S594" s="6" t="n">
        <v>30</v>
      </c>
      <c r="T594" s="6"/>
      <c r="U594" s="15" t="n">
        <f aca="false">S594*R594</f>
        <v>0.42</v>
      </c>
      <c r="V594" s="14"/>
      <c r="W594" s="14"/>
      <c r="X594" s="10" t="s">
        <v>1062</v>
      </c>
      <c r="Y594" s="16"/>
      <c r="Z594" s="17" t="s">
        <v>48</v>
      </c>
      <c r="AA594" s="6"/>
      <c r="AB594" s="18" t="n">
        <f aca="false">IF(O594="","",$D$3*PI()*(O594/1000)^2/4*3600)</f>
        <v>222.798810461864</v>
      </c>
      <c r="AC594" s="19" t="n">
        <f aca="false">IF(OR(U594="",NOT(ISNUMBER(U594))),"",U594*$D$3^2/(2*$H$3))</f>
        <v>0.0481651376146789</v>
      </c>
      <c r="AD594" s="20" t="n">
        <f aca="false">IF(OR(U594="",NOT(ISNUMBER(U594))),"",U594*$D$3^2/2*$F$3)</f>
        <v>472.5</v>
      </c>
      <c r="AE594" s="19" t="str">
        <f aca="false">IF(OR(V594="",NOT(ISNUMBER(V594))),"",V594*$D$3^2/(2*$H$3))</f>
        <v/>
      </c>
      <c r="AF594" s="20" t="str">
        <f aca="false">IF(OR(V594="",NOT(ISNUMBER(V594))),"",V594*$D$3^2/2*$F$3)</f>
        <v/>
      </c>
      <c r="AG594" s="19" t="str">
        <f aca="false">IF(OR(W594="",NOT(ISNUMBER(W594))),"",W594*$D$3^2/(2*$H$3))</f>
        <v/>
      </c>
      <c r="AH594" s="20" t="str">
        <f aca="false">IF(OR(W594="",NOT(ISNUMBER(W594))),"",W594*$D$3^2/2*$F$3)</f>
        <v/>
      </c>
    </row>
    <row r="595" customFormat="false" ht="15" hidden="false" customHeight="false" outlineLevel="0" collapsed="false">
      <c r="A595" s="10" t="s">
        <v>1299</v>
      </c>
      <c r="B595" s="23" t="s">
        <v>1273</v>
      </c>
      <c r="C595" s="6" t="s">
        <v>925</v>
      </c>
      <c r="D595" s="6" t="s">
        <v>1300</v>
      </c>
      <c r="E595" s="6" t="s">
        <v>1275</v>
      </c>
      <c r="F595" s="6" t="s">
        <v>181</v>
      </c>
      <c r="G595" s="6" t="n">
        <v>315</v>
      </c>
      <c r="H595" s="6"/>
      <c r="I595" s="6"/>
      <c r="J595" s="6" t="n">
        <v>10</v>
      </c>
      <c r="K595" s="6" t="s">
        <v>1276</v>
      </c>
      <c r="L595" s="6"/>
      <c r="M595" s="6"/>
      <c r="N595" s="12" t="n">
        <v>257.8</v>
      </c>
      <c r="O595" s="12" t="n">
        <v>257.8</v>
      </c>
      <c r="P595" s="12"/>
      <c r="Q595" s="12"/>
      <c r="R595" s="14" t="n">
        <v>0.013</v>
      </c>
      <c r="S595" s="6" t="n">
        <v>30</v>
      </c>
      <c r="T595" s="6"/>
      <c r="U595" s="15" t="n">
        <f aca="false">S595*R595</f>
        <v>0.39</v>
      </c>
      <c r="V595" s="14"/>
      <c r="W595" s="14"/>
      <c r="X595" s="10" t="s">
        <v>1062</v>
      </c>
      <c r="Y595" s="16"/>
      <c r="Z595" s="17" t="s">
        <v>48</v>
      </c>
      <c r="AA595" s="6"/>
      <c r="AB595" s="18" t="n">
        <f aca="false">IF(O595="","",$D$3*PI()*(O595/1000)^2/4*3600)</f>
        <v>281.870397038799</v>
      </c>
      <c r="AC595" s="19" t="n">
        <f aca="false">IF(OR(U595="",NOT(ISNUMBER(U595))),"",U595*$D$3^2/(2*$H$3))</f>
        <v>0.0447247706422018</v>
      </c>
      <c r="AD595" s="20" t="n">
        <f aca="false">IF(OR(U595="",NOT(ISNUMBER(U595))),"",U595*$D$3^2/2*$F$3)</f>
        <v>438.75</v>
      </c>
      <c r="AE595" s="19" t="str">
        <f aca="false">IF(OR(V595="",NOT(ISNUMBER(V595))),"",V595*$D$3^2/(2*$H$3))</f>
        <v/>
      </c>
      <c r="AF595" s="20" t="str">
        <f aca="false">IF(OR(V595="",NOT(ISNUMBER(V595))),"",V595*$D$3^2/2*$F$3)</f>
        <v/>
      </c>
      <c r="AG595" s="19" t="str">
        <f aca="false">IF(OR(W595="",NOT(ISNUMBER(W595))),"",W595*$D$3^2/(2*$H$3))</f>
        <v/>
      </c>
      <c r="AH595" s="20" t="str">
        <f aca="false">IF(OR(W595="",NOT(ISNUMBER(W595))),"",W595*$D$3^2/2*$F$3)</f>
        <v/>
      </c>
    </row>
    <row r="596" customFormat="false" ht="15" hidden="false" customHeight="false" outlineLevel="0" collapsed="false">
      <c r="A596" s="10" t="s">
        <v>1301</v>
      </c>
      <c r="B596" s="23" t="s">
        <v>1273</v>
      </c>
      <c r="C596" s="6" t="s">
        <v>925</v>
      </c>
      <c r="D596" s="6" t="s">
        <v>1302</v>
      </c>
      <c r="E596" s="6" t="s">
        <v>1303</v>
      </c>
      <c r="F596" s="6" t="s">
        <v>181</v>
      </c>
      <c r="G596" s="6" t="n">
        <v>40</v>
      </c>
      <c r="H596" s="6"/>
      <c r="I596" s="6"/>
      <c r="J596" s="6" t="n">
        <v>16</v>
      </c>
      <c r="K596" s="6" t="s">
        <v>1276</v>
      </c>
      <c r="L596" s="6"/>
      <c r="M596" s="6"/>
      <c r="N596" s="12" t="n">
        <v>32.6</v>
      </c>
      <c r="O596" s="12" t="n">
        <v>32.6</v>
      </c>
      <c r="P596" s="12"/>
      <c r="Q596" s="12"/>
      <c r="R596" s="14" t="n">
        <v>0.022</v>
      </c>
      <c r="S596" s="6" t="n">
        <v>30</v>
      </c>
      <c r="T596" s="6"/>
      <c r="U596" s="15" t="n">
        <f aca="false">S596*R596</f>
        <v>0.66</v>
      </c>
      <c r="V596" s="14"/>
      <c r="W596" s="14"/>
      <c r="X596" s="10" t="s">
        <v>1062</v>
      </c>
      <c r="Y596" s="16"/>
      <c r="Z596" s="17" t="s">
        <v>48</v>
      </c>
      <c r="AA596" s="6"/>
      <c r="AB596" s="18" t="n">
        <f aca="false">IF(O596="","",$D$3*PI()*(O596/1000)^2/4*3600)</f>
        <v>4.50732466151427</v>
      </c>
      <c r="AC596" s="19" t="n">
        <f aca="false">IF(OR(U596="",NOT(ISNUMBER(U596))),"",U596*$D$3^2/(2*$H$3))</f>
        <v>0.0756880733944954</v>
      </c>
      <c r="AD596" s="20" t="n">
        <f aca="false">IF(OR(U596="",NOT(ISNUMBER(U596))),"",U596*$D$3^2/2*$F$3)</f>
        <v>742.5</v>
      </c>
      <c r="AE596" s="19" t="str">
        <f aca="false">IF(OR(V596="",NOT(ISNUMBER(V596))),"",V596*$D$3^2/(2*$H$3))</f>
        <v/>
      </c>
      <c r="AF596" s="20" t="str">
        <f aca="false">IF(OR(V596="",NOT(ISNUMBER(V596))),"",V596*$D$3^2/2*$F$3)</f>
        <v/>
      </c>
      <c r="AG596" s="19" t="str">
        <f aca="false">IF(OR(W596="",NOT(ISNUMBER(W596))),"",W596*$D$3^2/(2*$H$3))</f>
        <v/>
      </c>
      <c r="AH596" s="20" t="str">
        <f aca="false">IF(OR(W596="",NOT(ISNUMBER(W596))),"",W596*$D$3^2/2*$F$3)</f>
        <v/>
      </c>
    </row>
    <row r="597" customFormat="false" ht="15" hidden="false" customHeight="false" outlineLevel="0" collapsed="false">
      <c r="A597" s="10" t="s">
        <v>1304</v>
      </c>
      <c r="B597" s="23" t="s">
        <v>1273</v>
      </c>
      <c r="C597" s="6" t="s">
        <v>925</v>
      </c>
      <c r="D597" s="6" t="s">
        <v>1305</v>
      </c>
      <c r="E597" s="6" t="s">
        <v>1303</v>
      </c>
      <c r="F597" s="6" t="s">
        <v>181</v>
      </c>
      <c r="G597" s="6" t="n">
        <v>50</v>
      </c>
      <c r="H597" s="6"/>
      <c r="I597" s="6"/>
      <c r="J597" s="6" t="n">
        <v>16</v>
      </c>
      <c r="K597" s="6" t="s">
        <v>1276</v>
      </c>
      <c r="L597" s="6"/>
      <c r="M597" s="6"/>
      <c r="N597" s="12" t="n">
        <v>40.8</v>
      </c>
      <c r="O597" s="12" t="n">
        <v>40.8</v>
      </c>
      <c r="P597" s="12"/>
      <c r="Q597" s="12"/>
      <c r="R597" s="14" t="n">
        <v>0.021</v>
      </c>
      <c r="S597" s="6" t="n">
        <v>30</v>
      </c>
      <c r="T597" s="6"/>
      <c r="U597" s="15" t="n">
        <f aca="false">S597*R597</f>
        <v>0.63</v>
      </c>
      <c r="V597" s="14"/>
      <c r="W597" s="14"/>
      <c r="X597" s="10" t="s">
        <v>1062</v>
      </c>
      <c r="Y597" s="16"/>
      <c r="Z597" s="17" t="s">
        <v>48</v>
      </c>
      <c r="AA597" s="6"/>
      <c r="AB597" s="18" t="n">
        <f aca="false">IF(O597="","",$D$3*PI()*(O597/1000)^2/4*3600)</f>
        <v>7.05998807307681</v>
      </c>
      <c r="AC597" s="19" t="n">
        <f aca="false">IF(OR(U597="",NOT(ISNUMBER(U597))),"",U597*$D$3^2/(2*$H$3))</f>
        <v>0.0722477064220184</v>
      </c>
      <c r="AD597" s="20" t="n">
        <f aca="false">IF(OR(U597="",NOT(ISNUMBER(U597))),"",U597*$D$3^2/2*$F$3)</f>
        <v>708.75</v>
      </c>
      <c r="AE597" s="19" t="str">
        <f aca="false">IF(OR(V597="",NOT(ISNUMBER(V597))),"",V597*$D$3^2/(2*$H$3))</f>
        <v/>
      </c>
      <c r="AF597" s="20" t="str">
        <f aca="false">IF(OR(V597="",NOT(ISNUMBER(V597))),"",V597*$D$3^2/2*$F$3)</f>
        <v/>
      </c>
      <c r="AG597" s="19" t="str">
        <f aca="false">IF(OR(W597="",NOT(ISNUMBER(W597))),"",W597*$D$3^2/(2*$H$3))</f>
        <v/>
      </c>
      <c r="AH597" s="20" t="str">
        <f aca="false">IF(OR(W597="",NOT(ISNUMBER(W597))),"",W597*$D$3^2/2*$F$3)</f>
        <v/>
      </c>
    </row>
    <row r="598" customFormat="false" ht="15" hidden="false" customHeight="false" outlineLevel="0" collapsed="false">
      <c r="A598" s="10" t="s">
        <v>1306</v>
      </c>
      <c r="B598" s="23" t="s">
        <v>1273</v>
      </c>
      <c r="C598" s="6" t="s">
        <v>925</v>
      </c>
      <c r="D598" s="6" t="s">
        <v>1307</v>
      </c>
      <c r="E598" s="6" t="s">
        <v>1303</v>
      </c>
      <c r="F598" s="6" t="s">
        <v>181</v>
      </c>
      <c r="G598" s="6" t="n">
        <v>63</v>
      </c>
      <c r="H598" s="6"/>
      <c r="I598" s="6"/>
      <c r="J598" s="6" t="n">
        <v>16</v>
      </c>
      <c r="K598" s="6" t="s">
        <v>1276</v>
      </c>
      <c r="L598" s="6"/>
      <c r="M598" s="6"/>
      <c r="N598" s="12" t="n">
        <v>51.4</v>
      </c>
      <c r="O598" s="12" t="n">
        <v>51.4</v>
      </c>
      <c r="P598" s="12"/>
      <c r="Q598" s="12"/>
      <c r="R598" s="14" t="n">
        <v>0.019</v>
      </c>
      <c r="S598" s="6" t="n">
        <v>30</v>
      </c>
      <c r="T598" s="6"/>
      <c r="U598" s="15" t="n">
        <f aca="false">S598*R598</f>
        <v>0.57</v>
      </c>
      <c r="V598" s="14"/>
      <c r="W598" s="14"/>
      <c r="X598" s="10" t="s">
        <v>1062</v>
      </c>
      <c r="Y598" s="16"/>
      <c r="Z598" s="17" t="s">
        <v>48</v>
      </c>
      <c r="AA598" s="6"/>
      <c r="AB598" s="18" t="n">
        <f aca="false">IF(O598="","",$D$3*PI()*(O598/1000)^2/4*3600)</f>
        <v>11.2049488715554</v>
      </c>
      <c r="AC598" s="19" t="n">
        <f aca="false">IF(OR(U598="",NOT(ISNUMBER(U598))),"",U598*$D$3^2/(2*$H$3))</f>
        <v>0.0653669724770642</v>
      </c>
      <c r="AD598" s="20" t="n">
        <f aca="false">IF(OR(U598="",NOT(ISNUMBER(U598))),"",U598*$D$3^2/2*$F$3)</f>
        <v>641.25</v>
      </c>
      <c r="AE598" s="19" t="str">
        <f aca="false">IF(OR(V598="",NOT(ISNUMBER(V598))),"",V598*$D$3^2/(2*$H$3))</f>
        <v/>
      </c>
      <c r="AF598" s="20" t="str">
        <f aca="false">IF(OR(V598="",NOT(ISNUMBER(V598))),"",V598*$D$3^2/2*$F$3)</f>
        <v/>
      </c>
      <c r="AG598" s="19" t="str">
        <f aca="false">IF(OR(W598="",NOT(ISNUMBER(W598))),"",W598*$D$3^2/(2*$H$3))</f>
        <v/>
      </c>
      <c r="AH598" s="20" t="str">
        <f aca="false">IF(OR(W598="",NOT(ISNUMBER(W598))),"",W598*$D$3^2/2*$F$3)</f>
        <v/>
      </c>
    </row>
    <row r="599" customFormat="false" ht="15" hidden="false" customHeight="false" outlineLevel="0" collapsed="false">
      <c r="A599" s="10" t="s">
        <v>1308</v>
      </c>
      <c r="B599" s="23" t="s">
        <v>1273</v>
      </c>
      <c r="C599" s="6" t="s">
        <v>925</v>
      </c>
      <c r="D599" s="6" t="s">
        <v>1309</v>
      </c>
      <c r="E599" s="6" t="s">
        <v>1303</v>
      </c>
      <c r="F599" s="6" t="s">
        <v>181</v>
      </c>
      <c r="G599" s="6" t="n">
        <v>75</v>
      </c>
      <c r="H599" s="6"/>
      <c r="I599" s="6"/>
      <c r="J599" s="6" t="n">
        <v>16</v>
      </c>
      <c r="K599" s="6" t="s">
        <v>1276</v>
      </c>
      <c r="L599" s="6"/>
      <c r="M599" s="6"/>
      <c r="N599" s="12" t="n">
        <v>61.4</v>
      </c>
      <c r="O599" s="12" t="n">
        <v>61.4</v>
      </c>
      <c r="P599" s="12"/>
      <c r="Q599" s="12"/>
      <c r="R599" s="14" t="n">
        <v>0.018</v>
      </c>
      <c r="S599" s="6" t="n">
        <v>30</v>
      </c>
      <c r="T599" s="6"/>
      <c r="U599" s="15" t="n">
        <f aca="false">S599*R599</f>
        <v>0.54</v>
      </c>
      <c r="V599" s="14"/>
      <c r="W599" s="14"/>
      <c r="X599" s="10" t="s">
        <v>1062</v>
      </c>
      <c r="Y599" s="16"/>
      <c r="Z599" s="17" t="s">
        <v>48</v>
      </c>
      <c r="AA599" s="6"/>
      <c r="AB599" s="18" t="n">
        <f aca="false">IF(O599="","",$D$3*PI()*(O599/1000)^2/4*3600)</f>
        <v>15.988966164442</v>
      </c>
      <c r="AC599" s="19" t="n">
        <f aca="false">IF(OR(U599="",NOT(ISNUMBER(U599))),"",U599*$D$3^2/(2*$H$3))</f>
        <v>0.0619266055045871</v>
      </c>
      <c r="AD599" s="20" t="n">
        <f aca="false">IF(OR(U599="",NOT(ISNUMBER(U599))),"",U599*$D$3^2/2*$F$3)</f>
        <v>607.5</v>
      </c>
      <c r="AE599" s="19" t="str">
        <f aca="false">IF(OR(V599="",NOT(ISNUMBER(V599))),"",V599*$D$3^2/(2*$H$3))</f>
        <v/>
      </c>
      <c r="AF599" s="20" t="str">
        <f aca="false">IF(OR(V599="",NOT(ISNUMBER(V599))),"",V599*$D$3^2/2*$F$3)</f>
        <v/>
      </c>
      <c r="AG599" s="19" t="str">
        <f aca="false">IF(OR(W599="",NOT(ISNUMBER(W599))),"",W599*$D$3^2/(2*$H$3))</f>
        <v/>
      </c>
      <c r="AH599" s="20" t="str">
        <f aca="false">IF(OR(W599="",NOT(ISNUMBER(W599))),"",W599*$D$3^2/2*$F$3)</f>
        <v/>
      </c>
    </row>
    <row r="600" customFormat="false" ht="15" hidden="false" customHeight="false" outlineLevel="0" collapsed="false">
      <c r="A600" s="10" t="s">
        <v>1310</v>
      </c>
      <c r="B600" s="23" t="s">
        <v>1273</v>
      </c>
      <c r="C600" s="6" t="s">
        <v>925</v>
      </c>
      <c r="D600" s="6" t="s">
        <v>1311</v>
      </c>
      <c r="E600" s="6" t="s">
        <v>1303</v>
      </c>
      <c r="F600" s="6" t="s">
        <v>181</v>
      </c>
      <c r="G600" s="6" t="n">
        <v>90</v>
      </c>
      <c r="H600" s="6"/>
      <c r="I600" s="6"/>
      <c r="J600" s="6" t="n">
        <v>16</v>
      </c>
      <c r="K600" s="6" t="s">
        <v>1276</v>
      </c>
      <c r="L600" s="6"/>
      <c r="M600" s="6"/>
      <c r="N600" s="12" t="n">
        <v>73.6</v>
      </c>
      <c r="O600" s="12" t="n">
        <v>73.6</v>
      </c>
      <c r="P600" s="12"/>
      <c r="Q600" s="12"/>
      <c r="R600" s="14" t="n">
        <v>0.018</v>
      </c>
      <c r="S600" s="6" t="n">
        <v>30</v>
      </c>
      <c r="T600" s="6"/>
      <c r="U600" s="15" t="n">
        <f aca="false">S600*R600</f>
        <v>0.54</v>
      </c>
      <c r="V600" s="14"/>
      <c r="W600" s="14"/>
      <c r="X600" s="10" t="s">
        <v>1062</v>
      </c>
      <c r="Y600" s="16"/>
      <c r="Z600" s="17" t="s">
        <v>48</v>
      </c>
      <c r="AA600" s="6"/>
      <c r="AB600" s="18" t="n">
        <f aca="false">IF(O600="","",$D$3*PI()*(O600/1000)^2/4*3600)</f>
        <v>22.9741403500662</v>
      </c>
      <c r="AC600" s="19" t="n">
        <f aca="false">IF(OR(U600="",NOT(ISNUMBER(U600))),"",U600*$D$3^2/(2*$H$3))</f>
        <v>0.0619266055045871</v>
      </c>
      <c r="AD600" s="20" t="n">
        <f aca="false">IF(OR(U600="",NOT(ISNUMBER(U600))),"",U600*$D$3^2/2*$F$3)</f>
        <v>607.5</v>
      </c>
      <c r="AE600" s="19" t="str">
        <f aca="false">IF(OR(V600="",NOT(ISNUMBER(V600))),"",V600*$D$3^2/(2*$H$3))</f>
        <v/>
      </c>
      <c r="AF600" s="20" t="str">
        <f aca="false">IF(OR(V600="",NOT(ISNUMBER(V600))),"",V600*$D$3^2/2*$F$3)</f>
        <v/>
      </c>
      <c r="AG600" s="19" t="str">
        <f aca="false">IF(OR(W600="",NOT(ISNUMBER(W600))),"",W600*$D$3^2/(2*$H$3))</f>
        <v/>
      </c>
      <c r="AH600" s="20" t="str">
        <f aca="false">IF(OR(W600="",NOT(ISNUMBER(W600))),"",W600*$D$3^2/2*$F$3)</f>
        <v/>
      </c>
    </row>
    <row r="601" customFormat="false" ht="15" hidden="false" customHeight="false" outlineLevel="0" collapsed="false">
      <c r="A601" s="10" t="s">
        <v>1312</v>
      </c>
      <c r="B601" s="23" t="s">
        <v>1273</v>
      </c>
      <c r="C601" s="6" t="s">
        <v>925</v>
      </c>
      <c r="D601" s="6" t="s">
        <v>1313</v>
      </c>
      <c r="E601" s="6" t="s">
        <v>1303</v>
      </c>
      <c r="F601" s="6" t="s">
        <v>181</v>
      </c>
      <c r="G601" s="6" t="n">
        <v>110</v>
      </c>
      <c r="H601" s="6"/>
      <c r="I601" s="6"/>
      <c r="J601" s="6" t="n">
        <v>16</v>
      </c>
      <c r="K601" s="6" t="s">
        <v>1276</v>
      </c>
      <c r="L601" s="6"/>
      <c r="M601" s="6"/>
      <c r="N601" s="12" t="n">
        <v>90</v>
      </c>
      <c r="O601" s="12" t="n">
        <v>90</v>
      </c>
      <c r="P601" s="12"/>
      <c r="Q601" s="12"/>
      <c r="R601" s="14" t="n">
        <v>0.017</v>
      </c>
      <c r="S601" s="6" t="n">
        <v>30</v>
      </c>
      <c r="T601" s="6"/>
      <c r="U601" s="15" t="n">
        <f aca="false">S601*R601</f>
        <v>0.51</v>
      </c>
      <c r="V601" s="14"/>
      <c r="W601" s="14"/>
      <c r="X601" s="10" t="s">
        <v>1062</v>
      </c>
      <c r="Y601" s="16"/>
      <c r="Z601" s="17" t="s">
        <v>48</v>
      </c>
      <c r="AA601" s="6"/>
      <c r="AB601" s="18" t="n">
        <f aca="false">IF(O601="","",$D$3*PI()*(O601/1000)^2/4*3600)</f>
        <v>34.3533156670044</v>
      </c>
      <c r="AC601" s="19" t="n">
        <f aca="false">IF(OR(U601="",NOT(ISNUMBER(U601))),"",U601*$D$3^2/(2*$H$3))</f>
        <v>0.0584862385321101</v>
      </c>
      <c r="AD601" s="20" t="n">
        <f aca="false">IF(OR(U601="",NOT(ISNUMBER(U601))),"",U601*$D$3^2/2*$F$3)</f>
        <v>573.75</v>
      </c>
      <c r="AE601" s="19" t="str">
        <f aca="false">IF(OR(V601="",NOT(ISNUMBER(V601))),"",V601*$D$3^2/(2*$H$3))</f>
        <v/>
      </c>
      <c r="AF601" s="20" t="str">
        <f aca="false">IF(OR(V601="",NOT(ISNUMBER(V601))),"",V601*$D$3^2/2*$F$3)</f>
        <v/>
      </c>
      <c r="AG601" s="19" t="str">
        <f aca="false">IF(OR(W601="",NOT(ISNUMBER(W601))),"",W601*$D$3^2/(2*$H$3))</f>
        <v/>
      </c>
      <c r="AH601" s="20" t="str">
        <f aca="false">IF(OR(W601="",NOT(ISNUMBER(W601))),"",W601*$D$3^2/2*$F$3)</f>
        <v/>
      </c>
    </row>
    <row r="602" customFormat="false" ht="15" hidden="false" customHeight="false" outlineLevel="0" collapsed="false">
      <c r="A602" s="10" t="s">
        <v>1314</v>
      </c>
      <c r="B602" s="23" t="s">
        <v>1273</v>
      </c>
      <c r="C602" s="6" t="s">
        <v>925</v>
      </c>
      <c r="D602" s="6" t="s">
        <v>1315</v>
      </c>
      <c r="E602" s="6" t="s">
        <v>1303</v>
      </c>
      <c r="F602" s="6" t="s">
        <v>181</v>
      </c>
      <c r="G602" s="6" t="n">
        <v>125</v>
      </c>
      <c r="H602" s="6"/>
      <c r="I602" s="6"/>
      <c r="J602" s="6" t="n">
        <v>16</v>
      </c>
      <c r="K602" s="6" t="s">
        <v>1276</v>
      </c>
      <c r="L602" s="6"/>
      <c r="M602" s="6"/>
      <c r="N602" s="12" t="n">
        <v>102.2</v>
      </c>
      <c r="O602" s="12" t="n">
        <v>102.2</v>
      </c>
      <c r="P602" s="12"/>
      <c r="Q602" s="12"/>
      <c r="R602" s="14" t="n">
        <v>0.016</v>
      </c>
      <c r="S602" s="6" t="n">
        <v>30</v>
      </c>
      <c r="T602" s="6"/>
      <c r="U602" s="15" t="n">
        <f aca="false">S602*R602</f>
        <v>0.48</v>
      </c>
      <c r="V602" s="14"/>
      <c r="W602" s="14"/>
      <c r="X602" s="10" t="s">
        <v>1062</v>
      </c>
      <c r="Y602" s="16"/>
      <c r="Z602" s="17" t="s">
        <v>48</v>
      </c>
      <c r="AA602" s="6"/>
      <c r="AB602" s="18" t="n">
        <f aca="false">IF(O602="","",$D$3*PI()*(O602/1000)^2/4*3600)</f>
        <v>44.2981340260931</v>
      </c>
      <c r="AC602" s="19" t="n">
        <f aca="false">IF(OR(U602="",NOT(ISNUMBER(U602))),"",U602*$D$3^2/(2*$H$3))</f>
        <v>0.055045871559633</v>
      </c>
      <c r="AD602" s="20" t="n">
        <f aca="false">IF(OR(U602="",NOT(ISNUMBER(U602))),"",U602*$D$3^2/2*$F$3)</f>
        <v>540</v>
      </c>
      <c r="AE602" s="19" t="str">
        <f aca="false">IF(OR(V602="",NOT(ISNUMBER(V602))),"",V602*$D$3^2/(2*$H$3))</f>
        <v/>
      </c>
      <c r="AF602" s="20" t="str">
        <f aca="false">IF(OR(V602="",NOT(ISNUMBER(V602))),"",V602*$D$3^2/2*$F$3)</f>
        <v/>
      </c>
      <c r="AG602" s="19" t="str">
        <f aca="false">IF(OR(W602="",NOT(ISNUMBER(W602))),"",W602*$D$3^2/(2*$H$3))</f>
        <v/>
      </c>
      <c r="AH602" s="20" t="str">
        <f aca="false">IF(OR(W602="",NOT(ISNUMBER(W602))),"",W602*$D$3^2/2*$F$3)</f>
        <v/>
      </c>
    </row>
    <row r="603" customFormat="false" ht="15" hidden="false" customHeight="false" outlineLevel="0" collapsed="false">
      <c r="A603" s="10" t="s">
        <v>1316</v>
      </c>
      <c r="B603" s="23" t="s">
        <v>1273</v>
      </c>
      <c r="C603" s="6" t="s">
        <v>925</v>
      </c>
      <c r="D603" s="6" t="s">
        <v>1317</v>
      </c>
      <c r="E603" s="6" t="s">
        <v>1303</v>
      </c>
      <c r="F603" s="6" t="s">
        <v>181</v>
      </c>
      <c r="G603" s="6" t="n">
        <v>140</v>
      </c>
      <c r="H603" s="6"/>
      <c r="I603" s="6"/>
      <c r="J603" s="6" t="n">
        <v>16</v>
      </c>
      <c r="K603" s="6" t="s">
        <v>1276</v>
      </c>
      <c r="L603" s="6"/>
      <c r="M603" s="6"/>
      <c r="N603" s="12" t="n">
        <v>114.6</v>
      </c>
      <c r="O603" s="12" t="n">
        <v>114.6</v>
      </c>
      <c r="P603" s="12"/>
      <c r="Q603" s="12"/>
      <c r="R603" s="14" t="n">
        <v>0.016</v>
      </c>
      <c r="S603" s="6" t="n">
        <v>30</v>
      </c>
      <c r="T603" s="6"/>
      <c r="U603" s="15" t="n">
        <f aca="false">S603*R603</f>
        <v>0.48</v>
      </c>
      <c r="V603" s="14"/>
      <c r="W603" s="14"/>
      <c r="X603" s="10" t="s">
        <v>1062</v>
      </c>
      <c r="Y603" s="16"/>
      <c r="Z603" s="17" t="s">
        <v>48</v>
      </c>
      <c r="AA603" s="6"/>
      <c r="AB603" s="18" t="n">
        <f aca="false">IF(O603="","",$D$3*PI()*(O603/1000)^2/4*3600)</f>
        <v>55.6997026154661</v>
      </c>
      <c r="AC603" s="19" t="n">
        <f aca="false">IF(OR(U603="",NOT(ISNUMBER(U603))),"",U603*$D$3^2/(2*$H$3))</f>
        <v>0.055045871559633</v>
      </c>
      <c r="AD603" s="20" t="n">
        <f aca="false">IF(OR(U603="",NOT(ISNUMBER(U603))),"",U603*$D$3^2/2*$F$3)</f>
        <v>540</v>
      </c>
      <c r="AE603" s="19" t="str">
        <f aca="false">IF(OR(V603="",NOT(ISNUMBER(V603))),"",V603*$D$3^2/(2*$H$3))</f>
        <v/>
      </c>
      <c r="AF603" s="20" t="str">
        <f aca="false">IF(OR(V603="",NOT(ISNUMBER(V603))),"",V603*$D$3^2/2*$F$3)</f>
        <v/>
      </c>
      <c r="AG603" s="19" t="str">
        <f aca="false">IF(OR(W603="",NOT(ISNUMBER(W603))),"",W603*$D$3^2/(2*$H$3))</f>
        <v/>
      </c>
      <c r="AH603" s="20" t="str">
        <f aca="false">IF(OR(W603="",NOT(ISNUMBER(W603))),"",W603*$D$3^2/2*$F$3)</f>
        <v/>
      </c>
    </row>
    <row r="604" customFormat="false" ht="15" hidden="false" customHeight="false" outlineLevel="0" collapsed="false">
      <c r="A604" s="10" t="s">
        <v>1318</v>
      </c>
      <c r="B604" s="23" t="s">
        <v>1273</v>
      </c>
      <c r="C604" s="6" t="s">
        <v>925</v>
      </c>
      <c r="D604" s="6" t="s">
        <v>1319</v>
      </c>
      <c r="E604" s="6" t="s">
        <v>1303</v>
      </c>
      <c r="F604" s="6" t="s">
        <v>181</v>
      </c>
      <c r="G604" s="6" t="n">
        <v>160</v>
      </c>
      <c r="H604" s="6"/>
      <c r="I604" s="6"/>
      <c r="J604" s="6" t="n">
        <v>16</v>
      </c>
      <c r="K604" s="6" t="s">
        <v>1276</v>
      </c>
      <c r="L604" s="6"/>
      <c r="M604" s="6"/>
      <c r="N604" s="12" t="n">
        <v>130.8</v>
      </c>
      <c r="O604" s="12" t="n">
        <v>130.8</v>
      </c>
      <c r="P604" s="12"/>
      <c r="Q604" s="12"/>
      <c r="R604" s="14" t="n">
        <v>0.015</v>
      </c>
      <c r="S604" s="6" t="n">
        <v>30</v>
      </c>
      <c r="T604" s="6"/>
      <c r="U604" s="15" t="n">
        <f aca="false">S604*R604</f>
        <v>0.45</v>
      </c>
      <c r="V604" s="14"/>
      <c r="W604" s="14"/>
      <c r="X604" s="10" t="s">
        <v>1062</v>
      </c>
      <c r="Y604" s="16"/>
      <c r="Z604" s="17" t="s">
        <v>48</v>
      </c>
      <c r="AA604" s="6"/>
      <c r="AB604" s="18" t="n">
        <f aca="false">IF(O604="","",$D$3*PI()*(O604/1000)^2/4*3600)</f>
        <v>72.5603099448318</v>
      </c>
      <c r="AC604" s="19" t="n">
        <f aca="false">IF(OR(U604="",NOT(ISNUMBER(U604))),"",U604*$D$3^2/(2*$H$3))</f>
        <v>0.051605504587156</v>
      </c>
      <c r="AD604" s="20" t="n">
        <f aca="false">IF(OR(U604="",NOT(ISNUMBER(U604))),"",U604*$D$3^2/2*$F$3)</f>
        <v>506.25</v>
      </c>
      <c r="AE604" s="19" t="str">
        <f aca="false">IF(OR(V604="",NOT(ISNUMBER(V604))),"",V604*$D$3^2/(2*$H$3))</f>
        <v/>
      </c>
      <c r="AF604" s="20" t="str">
        <f aca="false">IF(OR(V604="",NOT(ISNUMBER(V604))),"",V604*$D$3^2/2*$F$3)</f>
        <v/>
      </c>
      <c r="AG604" s="19" t="str">
        <f aca="false">IF(OR(W604="",NOT(ISNUMBER(W604))),"",W604*$D$3^2/(2*$H$3))</f>
        <v/>
      </c>
      <c r="AH604" s="20" t="str">
        <f aca="false">IF(OR(W604="",NOT(ISNUMBER(W604))),"",W604*$D$3^2/2*$F$3)</f>
        <v/>
      </c>
    </row>
    <row r="605" customFormat="false" ht="15" hidden="false" customHeight="false" outlineLevel="0" collapsed="false">
      <c r="A605" s="10" t="s">
        <v>1320</v>
      </c>
      <c r="B605" s="23" t="s">
        <v>1273</v>
      </c>
      <c r="C605" s="6" t="s">
        <v>925</v>
      </c>
      <c r="D605" s="6" t="s">
        <v>1321</v>
      </c>
      <c r="E605" s="6" t="s">
        <v>1303</v>
      </c>
      <c r="F605" s="6" t="s">
        <v>181</v>
      </c>
      <c r="G605" s="6" t="n">
        <v>180</v>
      </c>
      <c r="H605" s="6"/>
      <c r="I605" s="6"/>
      <c r="J605" s="6" t="n">
        <v>16</v>
      </c>
      <c r="K605" s="6" t="s">
        <v>1276</v>
      </c>
      <c r="L605" s="6"/>
      <c r="M605" s="6"/>
      <c r="N605" s="12" t="n">
        <v>147.2</v>
      </c>
      <c r="O605" s="12" t="n">
        <v>147.2</v>
      </c>
      <c r="P605" s="12"/>
      <c r="Q605" s="12"/>
      <c r="R605" s="14" t="n">
        <v>0.015</v>
      </c>
      <c r="S605" s="6" t="n">
        <v>30</v>
      </c>
      <c r="T605" s="6"/>
      <c r="U605" s="15" t="n">
        <f aca="false">S605*R605</f>
        <v>0.45</v>
      </c>
      <c r="V605" s="14"/>
      <c r="W605" s="14"/>
      <c r="X605" s="10" t="s">
        <v>1062</v>
      </c>
      <c r="Y605" s="16"/>
      <c r="Z605" s="17" t="s">
        <v>48</v>
      </c>
      <c r="AA605" s="6"/>
      <c r="AB605" s="18" t="n">
        <f aca="false">IF(O605="","",$D$3*PI()*(O605/1000)^2/4*3600)</f>
        <v>91.8965614002647</v>
      </c>
      <c r="AC605" s="19" t="n">
        <f aca="false">IF(OR(U605="",NOT(ISNUMBER(U605))),"",U605*$D$3^2/(2*$H$3))</f>
        <v>0.051605504587156</v>
      </c>
      <c r="AD605" s="20" t="n">
        <f aca="false">IF(OR(U605="",NOT(ISNUMBER(U605))),"",U605*$D$3^2/2*$F$3)</f>
        <v>506.25</v>
      </c>
      <c r="AE605" s="19" t="str">
        <f aca="false">IF(OR(V605="",NOT(ISNUMBER(V605))),"",V605*$D$3^2/(2*$H$3))</f>
        <v/>
      </c>
      <c r="AF605" s="20" t="str">
        <f aca="false">IF(OR(V605="",NOT(ISNUMBER(V605))),"",V605*$D$3^2/2*$F$3)</f>
        <v/>
      </c>
      <c r="AG605" s="19" t="str">
        <f aca="false">IF(OR(W605="",NOT(ISNUMBER(W605))),"",W605*$D$3^2/(2*$H$3))</f>
        <v/>
      </c>
      <c r="AH605" s="20" t="str">
        <f aca="false">IF(OR(W605="",NOT(ISNUMBER(W605))),"",W605*$D$3^2/2*$F$3)</f>
        <v/>
      </c>
    </row>
    <row r="606" customFormat="false" ht="15" hidden="false" customHeight="false" outlineLevel="0" collapsed="false">
      <c r="A606" s="10" t="s">
        <v>1322</v>
      </c>
      <c r="B606" s="23" t="s">
        <v>1273</v>
      </c>
      <c r="C606" s="6" t="s">
        <v>925</v>
      </c>
      <c r="D606" s="6" t="s">
        <v>1323</v>
      </c>
      <c r="E606" s="6" t="s">
        <v>1303</v>
      </c>
      <c r="F606" s="6" t="s">
        <v>181</v>
      </c>
      <c r="G606" s="6" t="n">
        <v>200</v>
      </c>
      <c r="H606" s="6"/>
      <c r="I606" s="6"/>
      <c r="J606" s="6" t="n">
        <v>16</v>
      </c>
      <c r="K606" s="6" t="s">
        <v>1276</v>
      </c>
      <c r="L606" s="6"/>
      <c r="M606" s="6"/>
      <c r="N606" s="12" t="n">
        <v>163.6</v>
      </c>
      <c r="O606" s="12" t="n">
        <v>163.6</v>
      </c>
      <c r="P606" s="12"/>
      <c r="Q606" s="12"/>
      <c r="R606" s="14" t="n">
        <v>0.014</v>
      </c>
      <c r="S606" s="6" t="n">
        <v>30</v>
      </c>
      <c r="T606" s="6"/>
      <c r="U606" s="15" t="n">
        <f aca="false">S606*R606</f>
        <v>0.42</v>
      </c>
      <c r="V606" s="14"/>
      <c r="W606" s="14"/>
      <c r="X606" s="10" t="s">
        <v>1062</v>
      </c>
      <c r="Y606" s="16"/>
      <c r="Z606" s="17" t="s">
        <v>48</v>
      </c>
      <c r="AA606" s="6"/>
      <c r="AB606" s="18" t="n">
        <f aca="false">IF(O606="","",$D$3*PI()*(O606/1000)^2/4*3600)</f>
        <v>113.514212307993</v>
      </c>
      <c r="AC606" s="19" t="n">
        <f aca="false">IF(OR(U606="",NOT(ISNUMBER(U606))),"",U606*$D$3^2/(2*$H$3))</f>
        <v>0.0481651376146789</v>
      </c>
      <c r="AD606" s="20" t="n">
        <f aca="false">IF(OR(U606="",NOT(ISNUMBER(U606))),"",U606*$D$3^2/2*$F$3)</f>
        <v>472.5</v>
      </c>
      <c r="AE606" s="19" t="str">
        <f aca="false">IF(OR(V606="",NOT(ISNUMBER(V606))),"",V606*$D$3^2/(2*$H$3))</f>
        <v/>
      </c>
      <c r="AF606" s="20" t="str">
        <f aca="false">IF(OR(V606="",NOT(ISNUMBER(V606))),"",V606*$D$3^2/2*$F$3)</f>
        <v/>
      </c>
      <c r="AG606" s="19" t="str">
        <f aca="false">IF(OR(W606="",NOT(ISNUMBER(W606))),"",W606*$D$3^2/(2*$H$3))</f>
        <v/>
      </c>
      <c r="AH606" s="20" t="str">
        <f aca="false">IF(OR(W606="",NOT(ISNUMBER(W606))),"",W606*$D$3^2/2*$F$3)</f>
        <v/>
      </c>
    </row>
    <row r="607" customFormat="false" ht="15" hidden="false" customHeight="false" outlineLevel="0" collapsed="false">
      <c r="A607" s="10" t="s">
        <v>1324</v>
      </c>
      <c r="B607" s="23" t="s">
        <v>1273</v>
      </c>
      <c r="C607" s="6" t="s">
        <v>925</v>
      </c>
      <c r="D607" s="6" t="s">
        <v>1325</v>
      </c>
      <c r="E607" s="6" t="s">
        <v>1303</v>
      </c>
      <c r="F607" s="6" t="s">
        <v>181</v>
      </c>
      <c r="G607" s="6" t="n">
        <v>225</v>
      </c>
      <c r="H607" s="6"/>
      <c r="I607" s="6"/>
      <c r="J607" s="6" t="n">
        <v>16</v>
      </c>
      <c r="K607" s="6" t="s">
        <v>1276</v>
      </c>
      <c r="L607" s="6"/>
      <c r="M607" s="6"/>
      <c r="N607" s="12" t="n">
        <v>184</v>
      </c>
      <c r="O607" s="12" t="n">
        <v>184</v>
      </c>
      <c r="P607" s="12"/>
      <c r="Q607" s="12"/>
      <c r="R607" s="14" t="n">
        <v>0.014</v>
      </c>
      <c r="S607" s="6" t="n">
        <v>30</v>
      </c>
      <c r="T607" s="6"/>
      <c r="U607" s="15" t="n">
        <f aca="false">S607*R607</f>
        <v>0.42</v>
      </c>
      <c r="V607" s="14"/>
      <c r="W607" s="14"/>
      <c r="X607" s="10" t="s">
        <v>1062</v>
      </c>
      <c r="Y607" s="16"/>
      <c r="Z607" s="17" t="s">
        <v>48</v>
      </c>
      <c r="AA607" s="6"/>
      <c r="AB607" s="18" t="n">
        <f aca="false">IF(O607="","",$D$3*PI()*(O607/1000)^2/4*3600)</f>
        <v>143.588377187914</v>
      </c>
      <c r="AC607" s="19" t="n">
        <f aca="false">IF(OR(U607="",NOT(ISNUMBER(U607))),"",U607*$D$3^2/(2*$H$3))</f>
        <v>0.0481651376146789</v>
      </c>
      <c r="AD607" s="20" t="n">
        <f aca="false">IF(OR(U607="",NOT(ISNUMBER(U607))),"",U607*$D$3^2/2*$F$3)</f>
        <v>472.5</v>
      </c>
      <c r="AE607" s="19" t="str">
        <f aca="false">IF(OR(V607="",NOT(ISNUMBER(V607))),"",V607*$D$3^2/(2*$H$3))</f>
        <v/>
      </c>
      <c r="AF607" s="20" t="str">
        <f aca="false">IF(OR(V607="",NOT(ISNUMBER(V607))),"",V607*$D$3^2/2*$F$3)</f>
        <v/>
      </c>
      <c r="AG607" s="19" t="str">
        <f aca="false">IF(OR(W607="",NOT(ISNUMBER(W607))),"",W607*$D$3^2/(2*$H$3))</f>
        <v/>
      </c>
      <c r="AH607" s="20" t="str">
        <f aca="false">IF(OR(W607="",NOT(ISNUMBER(W607))),"",W607*$D$3^2/2*$F$3)</f>
        <v/>
      </c>
    </row>
    <row r="608" customFormat="false" ht="15" hidden="false" customHeight="false" outlineLevel="0" collapsed="false">
      <c r="A608" s="10" t="s">
        <v>1326</v>
      </c>
      <c r="B608" s="23" t="s">
        <v>1273</v>
      </c>
      <c r="C608" s="6" t="s">
        <v>925</v>
      </c>
      <c r="D608" s="6" t="s">
        <v>1327</v>
      </c>
      <c r="E608" s="6" t="s">
        <v>1303</v>
      </c>
      <c r="F608" s="6" t="s">
        <v>181</v>
      </c>
      <c r="G608" s="6" t="n">
        <v>250</v>
      </c>
      <c r="H608" s="6"/>
      <c r="I608" s="6"/>
      <c r="J608" s="6" t="n">
        <v>16</v>
      </c>
      <c r="K608" s="6" t="s">
        <v>1276</v>
      </c>
      <c r="L608" s="6"/>
      <c r="M608" s="6"/>
      <c r="N608" s="12" t="n">
        <v>204.6</v>
      </c>
      <c r="O608" s="12" t="n">
        <v>204.6</v>
      </c>
      <c r="P608" s="12"/>
      <c r="Q608" s="12"/>
      <c r="R608" s="14" t="n">
        <v>0.014</v>
      </c>
      <c r="S608" s="6" t="n">
        <v>30</v>
      </c>
      <c r="T608" s="6"/>
      <c r="U608" s="15" t="n">
        <f aca="false">S608*R608</f>
        <v>0.42</v>
      </c>
      <c r="V608" s="14"/>
      <c r="W608" s="14"/>
      <c r="X608" s="10" t="s">
        <v>1062</v>
      </c>
      <c r="Y608" s="16"/>
      <c r="Z608" s="17" t="s">
        <v>48</v>
      </c>
      <c r="AA608" s="6"/>
      <c r="AB608" s="18" t="n">
        <f aca="false">IF(O608="","",$D$3*PI()*(O608/1000)^2/4*3600)</f>
        <v>177.539462181108</v>
      </c>
      <c r="AC608" s="19" t="n">
        <f aca="false">IF(OR(U608="",NOT(ISNUMBER(U608))),"",U608*$D$3^2/(2*$H$3))</f>
        <v>0.0481651376146789</v>
      </c>
      <c r="AD608" s="20" t="n">
        <f aca="false">IF(OR(U608="",NOT(ISNUMBER(U608))),"",U608*$D$3^2/2*$F$3)</f>
        <v>472.5</v>
      </c>
      <c r="AE608" s="19" t="str">
        <f aca="false">IF(OR(V608="",NOT(ISNUMBER(V608))),"",V608*$D$3^2/(2*$H$3))</f>
        <v/>
      </c>
      <c r="AF608" s="20" t="str">
        <f aca="false">IF(OR(V608="",NOT(ISNUMBER(V608))),"",V608*$D$3^2/2*$F$3)</f>
        <v/>
      </c>
      <c r="AG608" s="19" t="str">
        <f aca="false">IF(OR(W608="",NOT(ISNUMBER(W608))),"",W608*$D$3^2/(2*$H$3))</f>
        <v/>
      </c>
      <c r="AH608" s="20" t="str">
        <f aca="false">IF(OR(W608="",NOT(ISNUMBER(W608))),"",W608*$D$3^2/2*$F$3)</f>
        <v/>
      </c>
    </row>
    <row r="609" customFormat="false" ht="15" hidden="false" customHeight="false" outlineLevel="0" collapsed="false">
      <c r="A609" s="10" t="s">
        <v>1328</v>
      </c>
      <c r="B609" s="23" t="s">
        <v>1273</v>
      </c>
      <c r="C609" s="6" t="s">
        <v>925</v>
      </c>
      <c r="D609" s="6" t="s">
        <v>1329</v>
      </c>
      <c r="E609" s="6" t="s">
        <v>1303</v>
      </c>
      <c r="F609" s="6" t="s">
        <v>181</v>
      </c>
      <c r="G609" s="6" t="n">
        <v>280</v>
      </c>
      <c r="H609" s="6"/>
      <c r="I609" s="6"/>
      <c r="J609" s="6" t="n">
        <v>16</v>
      </c>
      <c r="K609" s="6" t="s">
        <v>1276</v>
      </c>
      <c r="L609" s="6"/>
      <c r="M609" s="6"/>
      <c r="N609" s="12" t="n">
        <v>229.2</v>
      </c>
      <c r="O609" s="12" t="n">
        <v>229.2</v>
      </c>
      <c r="P609" s="12"/>
      <c r="Q609" s="12"/>
      <c r="R609" s="14" t="n">
        <v>0.014</v>
      </c>
      <c r="S609" s="6" t="n">
        <v>30</v>
      </c>
      <c r="T609" s="6"/>
      <c r="U609" s="15" t="n">
        <f aca="false">S609*R609</f>
        <v>0.42</v>
      </c>
      <c r="V609" s="14"/>
      <c r="W609" s="14"/>
      <c r="X609" s="10" t="s">
        <v>1062</v>
      </c>
      <c r="Y609" s="16"/>
      <c r="Z609" s="17" t="s">
        <v>48</v>
      </c>
      <c r="AA609" s="6"/>
      <c r="AB609" s="18" t="n">
        <f aca="false">IF(O609="","",$D$3*PI()*(O609/1000)^2/4*3600)</f>
        <v>222.798810461864</v>
      </c>
      <c r="AC609" s="19" t="n">
        <f aca="false">IF(OR(U609="",NOT(ISNUMBER(U609))),"",U609*$D$3^2/(2*$H$3))</f>
        <v>0.0481651376146789</v>
      </c>
      <c r="AD609" s="20" t="n">
        <f aca="false">IF(OR(U609="",NOT(ISNUMBER(U609))),"",U609*$D$3^2/2*$F$3)</f>
        <v>472.5</v>
      </c>
      <c r="AE609" s="19" t="str">
        <f aca="false">IF(OR(V609="",NOT(ISNUMBER(V609))),"",V609*$D$3^2/(2*$H$3))</f>
        <v/>
      </c>
      <c r="AF609" s="20" t="str">
        <f aca="false">IF(OR(V609="",NOT(ISNUMBER(V609))),"",V609*$D$3^2/2*$F$3)</f>
        <v/>
      </c>
      <c r="AG609" s="19" t="str">
        <f aca="false">IF(OR(W609="",NOT(ISNUMBER(W609))),"",W609*$D$3^2/(2*$H$3))</f>
        <v/>
      </c>
      <c r="AH609" s="20" t="str">
        <f aca="false">IF(OR(W609="",NOT(ISNUMBER(W609))),"",W609*$D$3^2/2*$F$3)</f>
        <v/>
      </c>
    </row>
    <row r="610" customFormat="false" ht="15" hidden="false" customHeight="false" outlineLevel="0" collapsed="false">
      <c r="A610" s="10" t="s">
        <v>1330</v>
      </c>
      <c r="B610" s="23" t="s">
        <v>1273</v>
      </c>
      <c r="C610" s="6" t="s">
        <v>925</v>
      </c>
      <c r="D610" s="6" t="s">
        <v>1331</v>
      </c>
      <c r="E610" s="6" t="s">
        <v>1303</v>
      </c>
      <c r="F610" s="6" t="s">
        <v>181</v>
      </c>
      <c r="G610" s="6" t="n">
        <v>315</v>
      </c>
      <c r="H610" s="6"/>
      <c r="I610" s="6"/>
      <c r="J610" s="6" t="n">
        <v>16</v>
      </c>
      <c r="K610" s="6" t="s">
        <v>1276</v>
      </c>
      <c r="L610" s="6"/>
      <c r="M610" s="6"/>
      <c r="N610" s="12" t="n">
        <v>257.8</v>
      </c>
      <c r="O610" s="12" t="n">
        <v>257.8</v>
      </c>
      <c r="P610" s="12"/>
      <c r="Q610" s="12"/>
      <c r="R610" s="14" t="n">
        <v>0.013</v>
      </c>
      <c r="S610" s="6" t="n">
        <v>30</v>
      </c>
      <c r="T610" s="6"/>
      <c r="U610" s="15" t="n">
        <f aca="false">S610*R610</f>
        <v>0.39</v>
      </c>
      <c r="V610" s="14"/>
      <c r="W610" s="14"/>
      <c r="X610" s="10" t="s">
        <v>1062</v>
      </c>
      <c r="Y610" s="16"/>
      <c r="Z610" s="17" t="s">
        <v>48</v>
      </c>
      <c r="AA610" s="6"/>
      <c r="AB610" s="18" t="n">
        <f aca="false">IF(O610="","",$D$3*PI()*(O610/1000)^2/4*3600)</f>
        <v>281.870397038799</v>
      </c>
      <c r="AC610" s="19" t="n">
        <f aca="false">IF(OR(U610="",NOT(ISNUMBER(U610))),"",U610*$D$3^2/(2*$H$3))</f>
        <v>0.0447247706422018</v>
      </c>
      <c r="AD610" s="20" t="n">
        <f aca="false">IF(OR(U610="",NOT(ISNUMBER(U610))),"",U610*$D$3^2/2*$F$3)</f>
        <v>438.75</v>
      </c>
      <c r="AE610" s="19" t="str">
        <f aca="false">IF(OR(V610="",NOT(ISNUMBER(V610))),"",V610*$D$3^2/(2*$H$3))</f>
        <v/>
      </c>
      <c r="AF610" s="20" t="str">
        <f aca="false">IF(OR(V610="",NOT(ISNUMBER(V610))),"",V610*$D$3^2/2*$F$3)</f>
        <v/>
      </c>
      <c r="AG610" s="19" t="str">
        <f aca="false">IF(OR(W610="",NOT(ISNUMBER(W610))),"",W610*$D$3^2/(2*$H$3))</f>
        <v/>
      </c>
      <c r="AH610" s="20" t="str">
        <f aca="false">IF(OR(W610="",NOT(ISNUMBER(W610))),"",W610*$D$3^2/2*$F$3)</f>
        <v/>
      </c>
    </row>
    <row r="611" customFormat="false" ht="15" hidden="false" customHeight="false" outlineLevel="0" collapsed="false">
      <c r="A611" s="10" t="s">
        <v>1332</v>
      </c>
      <c r="B611" s="23" t="s">
        <v>1273</v>
      </c>
      <c r="C611" s="6" t="s">
        <v>925</v>
      </c>
      <c r="D611" s="6" t="s">
        <v>1333</v>
      </c>
      <c r="E611" s="6" t="s">
        <v>1334</v>
      </c>
      <c r="F611" s="6" t="s">
        <v>1090</v>
      </c>
      <c r="G611" s="6" t="n">
        <v>63</v>
      </c>
      <c r="H611" s="6"/>
      <c r="I611" s="6"/>
      <c r="J611" s="6" t="n">
        <v>10</v>
      </c>
      <c r="K611" s="6" t="s">
        <v>1276</v>
      </c>
      <c r="L611" s="6"/>
      <c r="M611" s="6"/>
      <c r="N611" s="12" t="n">
        <v>51.4</v>
      </c>
      <c r="O611" s="12" t="n">
        <v>51.4</v>
      </c>
      <c r="P611" s="12"/>
      <c r="Q611" s="12"/>
      <c r="R611" s="14" t="n">
        <v>0.019</v>
      </c>
      <c r="S611" s="6" t="n">
        <v>16</v>
      </c>
      <c r="T611" s="6"/>
      <c r="U611" s="15" t="n">
        <f aca="false">S611*R611</f>
        <v>0.304</v>
      </c>
      <c r="V611" s="14"/>
      <c r="W611" s="14"/>
      <c r="X611" s="10" t="s">
        <v>1062</v>
      </c>
      <c r="Y611" s="16"/>
      <c r="Z611" s="17" t="s">
        <v>48</v>
      </c>
      <c r="AA611" s="6"/>
      <c r="AB611" s="18" t="n">
        <f aca="false">IF(O611="","",$D$3*PI()*(O611/1000)^2/4*3600)</f>
        <v>11.2049488715554</v>
      </c>
      <c r="AC611" s="19" t="n">
        <f aca="false">IF(OR(U611="",NOT(ISNUMBER(U611))),"",U611*$D$3^2/(2*$H$3))</f>
        <v>0.0348623853211009</v>
      </c>
      <c r="AD611" s="20" t="n">
        <f aca="false">IF(OR(U611="",NOT(ISNUMBER(U611))),"",U611*$D$3^2/2*$F$3)</f>
        <v>342</v>
      </c>
      <c r="AE611" s="19" t="str">
        <f aca="false">IF(OR(V611="",NOT(ISNUMBER(V611))),"",V611*$D$3^2/(2*$H$3))</f>
        <v/>
      </c>
      <c r="AF611" s="20" t="str">
        <f aca="false">IF(OR(V611="",NOT(ISNUMBER(V611))),"",V611*$D$3^2/2*$F$3)</f>
        <v/>
      </c>
      <c r="AG611" s="19" t="str">
        <f aca="false">IF(OR(W611="",NOT(ISNUMBER(W611))),"",W611*$D$3^2/(2*$H$3))</f>
        <v/>
      </c>
      <c r="AH611" s="20" t="str">
        <f aca="false">IF(OR(W611="",NOT(ISNUMBER(W611))),"",W611*$D$3^2/2*$F$3)</f>
        <v/>
      </c>
    </row>
    <row r="612" customFormat="false" ht="15" hidden="false" customHeight="false" outlineLevel="0" collapsed="false">
      <c r="A612" s="10" t="s">
        <v>1335</v>
      </c>
      <c r="B612" s="23" t="s">
        <v>1273</v>
      </c>
      <c r="C612" s="6" t="s">
        <v>925</v>
      </c>
      <c r="D612" s="6" t="s">
        <v>1336</v>
      </c>
      <c r="E612" s="6" t="s">
        <v>1334</v>
      </c>
      <c r="F612" s="6" t="s">
        <v>1090</v>
      </c>
      <c r="G612" s="6" t="n">
        <v>75</v>
      </c>
      <c r="H612" s="6"/>
      <c r="I612" s="6"/>
      <c r="J612" s="6" t="n">
        <v>10</v>
      </c>
      <c r="K612" s="6" t="s">
        <v>1276</v>
      </c>
      <c r="L612" s="6"/>
      <c r="M612" s="6"/>
      <c r="N612" s="12" t="n">
        <v>61.4</v>
      </c>
      <c r="O612" s="12" t="n">
        <v>61.4</v>
      </c>
      <c r="P612" s="12"/>
      <c r="Q612" s="12"/>
      <c r="R612" s="14" t="n">
        <v>0.018</v>
      </c>
      <c r="S612" s="6" t="n">
        <v>16</v>
      </c>
      <c r="T612" s="6"/>
      <c r="U612" s="15" t="n">
        <f aca="false">S612*R612</f>
        <v>0.288</v>
      </c>
      <c r="V612" s="14"/>
      <c r="W612" s="14"/>
      <c r="X612" s="10" t="s">
        <v>1062</v>
      </c>
      <c r="Y612" s="16"/>
      <c r="Z612" s="17" t="s">
        <v>48</v>
      </c>
      <c r="AA612" s="6"/>
      <c r="AB612" s="18" t="n">
        <f aca="false">IF(O612="","",$D$3*PI()*(O612/1000)^2/4*3600)</f>
        <v>15.988966164442</v>
      </c>
      <c r="AC612" s="19" t="n">
        <f aca="false">IF(OR(U612="",NOT(ISNUMBER(U612))),"",U612*$D$3^2/(2*$H$3))</f>
        <v>0.0330275229357798</v>
      </c>
      <c r="AD612" s="20" t="n">
        <f aca="false">IF(OR(U612="",NOT(ISNUMBER(U612))),"",U612*$D$3^2/2*$F$3)</f>
        <v>324</v>
      </c>
      <c r="AE612" s="19" t="str">
        <f aca="false">IF(OR(V612="",NOT(ISNUMBER(V612))),"",V612*$D$3^2/(2*$H$3))</f>
        <v/>
      </c>
      <c r="AF612" s="20" t="str">
        <f aca="false">IF(OR(V612="",NOT(ISNUMBER(V612))),"",V612*$D$3^2/2*$F$3)</f>
        <v/>
      </c>
      <c r="AG612" s="19" t="str">
        <f aca="false">IF(OR(W612="",NOT(ISNUMBER(W612))),"",W612*$D$3^2/(2*$H$3))</f>
        <v/>
      </c>
      <c r="AH612" s="20" t="str">
        <f aca="false">IF(OR(W612="",NOT(ISNUMBER(W612))),"",W612*$D$3^2/2*$F$3)</f>
        <v/>
      </c>
    </row>
    <row r="613" customFormat="false" ht="15" hidden="false" customHeight="false" outlineLevel="0" collapsed="false">
      <c r="A613" s="10" t="s">
        <v>1337</v>
      </c>
      <c r="B613" s="23" t="s">
        <v>1273</v>
      </c>
      <c r="C613" s="6" t="s">
        <v>925</v>
      </c>
      <c r="D613" s="6" t="s">
        <v>1338</v>
      </c>
      <c r="E613" s="6" t="s">
        <v>1334</v>
      </c>
      <c r="F613" s="6" t="s">
        <v>1090</v>
      </c>
      <c r="G613" s="6" t="n">
        <v>90</v>
      </c>
      <c r="H613" s="6"/>
      <c r="I613" s="6"/>
      <c r="J613" s="6" t="n">
        <v>10</v>
      </c>
      <c r="K613" s="6" t="s">
        <v>1276</v>
      </c>
      <c r="L613" s="6"/>
      <c r="M613" s="6"/>
      <c r="N613" s="12" t="n">
        <v>73.6</v>
      </c>
      <c r="O613" s="12" t="n">
        <v>73.6</v>
      </c>
      <c r="P613" s="12"/>
      <c r="Q613" s="12"/>
      <c r="R613" s="14" t="n">
        <v>0.018</v>
      </c>
      <c r="S613" s="6" t="n">
        <v>16</v>
      </c>
      <c r="T613" s="6"/>
      <c r="U613" s="15" t="n">
        <f aca="false">S613*R613</f>
        <v>0.288</v>
      </c>
      <c r="V613" s="14"/>
      <c r="W613" s="14"/>
      <c r="X613" s="10" t="s">
        <v>1062</v>
      </c>
      <c r="Y613" s="16"/>
      <c r="Z613" s="17" t="s">
        <v>48</v>
      </c>
      <c r="AA613" s="6"/>
      <c r="AB613" s="18" t="n">
        <f aca="false">IF(O613="","",$D$3*PI()*(O613/1000)^2/4*3600)</f>
        <v>22.9741403500662</v>
      </c>
      <c r="AC613" s="19" t="n">
        <f aca="false">IF(OR(U613="",NOT(ISNUMBER(U613))),"",U613*$D$3^2/(2*$H$3))</f>
        <v>0.0330275229357798</v>
      </c>
      <c r="AD613" s="20" t="n">
        <f aca="false">IF(OR(U613="",NOT(ISNUMBER(U613))),"",U613*$D$3^2/2*$F$3)</f>
        <v>324</v>
      </c>
      <c r="AE613" s="19" t="str">
        <f aca="false">IF(OR(V613="",NOT(ISNUMBER(V613))),"",V613*$D$3^2/(2*$H$3))</f>
        <v/>
      </c>
      <c r="AF613" s="20" t="str">
        <f aca="false">IF(OR(V613="",NOT(ISNUMBER(V613))),"",V613*$D$3^2/2*$F$3)</f>
        <v/>
      </c>
      <c r="AG613" s="19" t="str">
        <f aca="false">IF(OR(W613="",NOT(ISNUMBER(W613))),"",W613*$D$3^2/(2*$H$3))</f>
        <v/>
      </c>
      <c r="AH613" s="20" t="str">
        <f aca="false">IF(OR(W613="",NOT(ISNUMBER(W613))),"",W613*$D$3^2/2*$F$3)</f>
        <v/>
      </c>
    </row>
    <row r="614" customFormat="false" ht="15" hidden="false" customHeight="false" outlineLevel="0" collapsed="false">
      <c r="A614" s="10" t="s">
        <v>1339</v>
      </c>
      <c r="B614" s="23" t="s">
        <v>1273</v>
      </c>
      <c r="C614" s="6" t="s">
        <v>925</v>
      </c>
      <c r="D614" s="6" t="s">
        <v>1340</v>
      </c>
      <c r="E614" s="6" t="s">
        <v>1334</v>
      </c>
      <c r="F614" s="6" t="s">
        <v>1090</v>
      </c>
      <c r="G614" s="6" t="n">
        <v>110</v>
      </c>
      <c r="H614" s="6"/>
      <c r="I614" s="6"/>
      <c r="J614" s="6" t="n">
        <v>10</v>
      </c>
      <c r="K614" s="6" t="s">
        <v>1276</v>
      </c>
      <c r="L614" s="6"/>
      <c r="M614" s="6"/>
      <c r="N614" s="12" t="n">
        <v>90</v>
      </c>
      <c r="O614" s="12" t="n">
        <v>90</v>
      </c>
      <c r="P614" s="12"/>
      <c r="Q614" s="12"/>
      <c r="R614" s="14" t="n">
        <v>0.017</v>
      </c>
      <c r="S614" s="6" t="n">
        <v>16</v>
      </c>
      <c r="T614" s="6"/>
      <c r="U614" s="15" t="n">
        <f aca="false">S614*R614</f>
        <v>0.272</v>
      </c>
      <c r="V614" s="14"/>
      <c r="W614" s="14"/>
      <c r="X614" s="10" t="s">
        <v>1062</v>
      </c>
      <c r="Y614" s="16"/>
      <c r="Z614" s="17" t="s">
        <v>48</v>
      </c>
      <c r="AA614" s="6"/>
      <c r="AB614" s="18" t="n">
        <f aca="false">IF(O614="","",$D$3*PI()*(O614/1000)^2/4*3600)</f>
        <v>34.3533156670044</v>
      </c>
      <c r="AC614" s="19" t="n">
        <f aca="false">IF(OR(U614="",NOT(ISNUMBER(U614))),"",U614*$D$3^2/(2*$H$3))</f>
        <v>0.0311926605504587</v>
      </c>
      <c r="AD614" s="20" t="n">
        <f aca="false">IF(OR(U614="",NOT(ISNUMBER(U614))),"",U614*$D$3^2/2*$F$3)</f>
        <v>306</v>
      </c>
      <c r="AE614" s="19" t="str">
        <f aca="false">IF(OR(V614="",NOT(ISNUMBER(V614))),"",V614*$D$3^2/(2*$H$3))</f>
        <v/>
      </c>
      <c r="AF614" s="20" t="str">
        <f aca="false">IF(OR(V614="",NOT(ISNUMBER(V614))),"",V614*$D$3^2/2*$F$3)</f>
        <v/>
      </c>
      <c r="AG614" s="19" t="str">
        <f aca="false">IF(OR(W614="",NOT(ISNUMBER(W614))),"",W614*$D$3^2/(2*$H$3))</f>
        <v/>
      </c>
      <c r="AH614" s="20" t="str">
        <f aca="false">IF(OR(W614="",NOT(ISNUMBER(W614))),"",W614*$D$3^2/2*$F$3)</f>
        <v/>
      </c>
    </row>
    <row r="615" customFormat="false" ht="15" hidden="false" customHeight="false" outlineLevel="0" collapsed="false">
      <c r="A615" s="10" t="s">
        <v>1341</v>
      </c>
      <c r="B615" s="23" t="s">
        <v>1273</v>
      </c>
      <c r="C615" s="6" t="s">
        <v>925</v>
      </c>
      <c r="D615" s="6" t="s">
        <v>1342</v>
      </c>
      <c r="E615" s="6" t="s">
        <v>1334</v>
      </c>
      <c r="F615" s="6" t="s">
        <v>1090</v>
      </c>
      <c r="G615" s="6" t="n">
        <v>125</v>
      </c>
      <c r="H615" s="6"/>
      <c r="I615" s="6"/>
      <c r="J615" s="6" t="n">
        <v>10</v>
      </c>
      <c r="K615" s="6" t="s">
        <v>1276</v>
      </c>
      <c r="L615" s="6"/>
      <c r="M615" s="6"/>
      <c r="N615" s="12" t="n">
        <v>102.2</v>
      </c>
      <c r="O615" s="12" t="n">
        <v>102.2</v>
      </c>
      <c r="P615" s="12"/>
      <c r="Q615" s="12"/>
      <c r="R615" s="14" t="n">
        <v>0.016</v>
      </c>
      <c r="S615" s="6" t="n">
        <v>16</v>
      </c>
      <c r="T615" s="6"/>
      <c r="U615" s="15" t="n">
        <f aca="false">S615*R615</f>
        <v>0.256</v>
      </c>
      <c r="V615" s="14"/>
      <c r="W615" s="14"/>
      <c r="X615" s="10" t="s">
        <v>1062</v>
      </c>
      <c r="Y615" s="16"/>
      <c r="Z615" s="17" t="s">
        <v>48</v>
      </c>
      <c r="AA615" s="6"/>
      <c r="AB615" s="18" t="n">
        <f aca="false">IF(O615="","",$D$3*PI()*(O615/1000)^2/4*3600)</f>
        <v>44.2981340260931</v>
      </c>
      <c r="AC615" s="19" t="n">
        <f aca="false">IF(OR(U615="",NOT(ISNUMBER(U615))),"",U615*$D$3^2/(2*$H$3))</f>
        <v>0.0293577981651376</v>
      </c>
      <c r="AD615" s="20" t="n">
        <f aca="false">IF(OR(U615="",NOT(ISNUMBER(U615))),"",U615*$D$3^2/2*$F$3)</f>
        <v>288</v>
      </c>
      <c r="AE615" s="19" t="str">
        <f aca="false">IF(OR(V615="",NOT(ISNUMBER(V615))),"",V615*$D$3^2/(2*$H$3))</f>
        <v/>
      </c>
      <c r="AF615" s="20" t="str">
        <f aca="false">IF(OR(V615="",NOT(ISNUMBER(V615))),"",V615*$D$3^2/2*$F$3)</f>
        <v/>
      </c>
      <c r="AG615" s="19" t="str">
        <f aca="false">IF(OR(W615="",NOT(ISNUMBER(W615))),"",W615*$D$3^2/(2*$H$3))</f>
        <v/>
      </c>
      <c r="AH615" s="20" t="str">
        <f aca="false">IF(OR(W615="",NOT(ISNUMBER(W615))),"",W615*$D$3^2/2*$F$3)</f>
        <v/>
      </c>
    </row>
    <row r="616" customFormat="false" ht="15" hidden="false" customHeight="false" outlineLevel="0" collapsed="false">
      <c r="A616" s="10" t="s">
        <v>1343</v>
      </c>
      <c r="B616" s="23" t="s">
        <v>1273</v>
      </c>
      <c r="C616" s="6" t="s">
        <v>925</v>
      </c>
      <c r="D616" s="6" t="s">
        <v>1344</v>
      </c>
      <c r="E616" s="6" t="s">
        <v>1334</v>
      </c>
      <c r="F616" s="6" t="s">
        <v>1090</v>
      </c>
      <c r="G616" s="6" t="n">
        <v>140</v>
      </c>
      <c r="H616" s="6"/>
      <c r="I616" s="6"/>
      <c r="J616" s="6" t="n">
        <v>10</v>
      </c>
      <c r="K616" s="6" t="s">
        <v>1276</v>
      </c>
      <c r="L616" s="6"/>
      <c r="M616" s="6"/>
      <c r="N616" s="12" t="n">
        <v>114.6</v>
      </c>
      <c r="O616" s="12" t="n">
        <v>114.6</v>
      </c>
      <c r="P616" s="12"/>
      <c r="Q616" s="12"/>
      <c r="R616" s="14" t="n">
        <v>0.016</v>
      </c>
      <c r="S616" s="6" t="n">
        <v>16</v>
      </c>
      <c r="T616" s="6"/>
      <c r="U616" s="15" t="n">
        <f aca="false">S616*R616</f>
        <v>0.256</v>
      </c>
      <c r="V616" s="14"/>
      <c r="W616" s="14"/>
      <c r="X616" s="10" t="s">
        <v>1062</v>
      </c>
      <c r="Y616" s="16"/>
      <c r="Z616" s="17" t="s">
        <v>48</v>
      </c>
      <c r="AA616" s="6"/>
      <c r="AB616" s="18" t="n">
        <f aca="false">IF(O616="","",$D$3*PI()*(O616/1000)^2/4*3600)</f>
        <v>55.6997026154661</v>
      </c>
      <c r="AC616" s="19" t="n">
        <f aca="false">IF(OR(U616="",NOT(ISNUMBER(U616))),"",U616*$D$3^2/(2*$H$3))</f>
        <v>0.0293577981651376</v>
      </c>
      <c r="AD616" s="20" t="n">
        <f aca="false">IF(OR(U616="",NOT(ISNUMBER(U616))),"",U616*$D$3^2/2*$F$3)</f>
        <v>288</v>
      </c>
      <c r="AE616" s="19" t="str">
        <f aca="false">IF(OR(V616="",NOT(ISNUMBER(V616))),"",V616*$D$3^2/(2*$H$3))</f>
        <v/>
      </c>
      <c r="AF616" s="20" t="str">
        <f aca="false">IF(OR(V616="",NOT(ISNUMBER(V616))),"",V616*$D$3^2/2*$F$3)</f>
        <v/>
      </c>
      <c r="AG616" s="19" t="str">
        <f aca="false">IF(OR(W616="",NOT(ISNUMBER(W616))),"",W616*$D$3^2/(2*$H$3))</f>
        <v/>
      </c>
      <c r="AH616" s="20" t="str">
        <f aca="false">IF(OR(W616="",NOT(ISNUMBER(W616))),"",W616*$D$3^2/2*$F$3)</f>
        <v/>
      </c>
    </row>
    <row r="617" customFormat="false" ht="15" hidden="false" customHeight="false" outlineLevel="0" collapsed="false">
      <c r="A617" s="10" t="s">
        <v>1345</v>
      </c>
      <c r="B617" s="23" t="s">
        <v>1273</v>
      </c>
      <c r="C617" s="6" t="s">
        <v>925</v>
      </c>
      <c r="D617" s="6" t="s">
        <v>1346</v>
      </c>
      <c r="E617" s="6" t="s">
        <v>1334</v>
      </c>
      <c r="F617" s="6" t="s">
        <v>1090</v>
      </c>
      <c r="G617" s="6" t="n">
        <v>160</v>
      </c>
      <c r="H617" s="6"/>
      <c r="I617" s="6"/>
      <c r="J617" s="6" t="n">
        <v>10</v>
      </c>
      <c r="K617" s="6" t="s">
        <v>1276</v>
      </c>
      <c r="L617" s="6"/>
      <c r="M617" s="6"/>
      <c r="N617" s="12" t="n">
        <v>130.8</v>
      </c>
      <c r="O617" s="12" t="n">
        <v>130.8</v>
      </c>
      <c r="P617" s="12"/>
      <c r="Q617" s="12"/>
      <c r="R617" s="14" t="n">
        <v>0.015</v>
      </c>
      <c r="S617" s="6" t="n">
        <v>16</v>
      </c>
      <c r="T617" s="6"/>
      <c r="U617" s="15" t="n">
        <f aca="false">S617*R617</f>
        <v>0.24</v>
      </c>
      <c r="V617" s="14"/>
      <c r="W617" s="14"/>
      <c r="X617" s="10" t="s">
        <v>1062</v>
      </c>
      <c r="Y617" s="16"/>
      <c r="Z617" s="17" t="s">
        <v>48</v>
      </c>
      <c r="AA617" s="6"/>
      <c r="AB617" s="18" t="n">
        <f aca="false">IF(O617="","",$D$3*PI()*(O617/1000)^2/4*3600)</f>
        <v>72.5603099448318</v>
      </c>
      <c r="AC617" s="19" t="n">
        <f aca="false">IF(OR(U617="",NOT(ISNUMBER(U617))),"",U617*$D$3^2/(2*$H$3))</f>
        <v>0.0275229357798165</v>
      </c>
      <c r="AD617" s="20" t="n">
        <f aca="false">IF(OR(U617="",NOT(ISNUMBER(U617))),"",U617*$D$3^2/2*$F$3)</f>
        <v>270</v>
      </c>
      <c r="AE617" s="19" t="str">
        <f aca="false">IF(OR(V617="",NOT(ISNUMBER(V617))),"",V617*$D$3^2/(2*$H$3))</f>
        <v/>
      </c>
      <c r="AF617" s="20" t="str">
        <f aca="false">IF(OR(V617="",NOT(ISNUMBER(V617))),"",V617*$D$3^2/2*$F$3)</f>
        <v/>
      </c>
      <c r="AG617" s="19" t="str">
        <f aca="false">IF(OR(W617="",NOT(ISNUMBER(W617))),"",W617*$D$3^2/(2*$H$3))</f>
        <v/>
      </c>
      <c r="AH617" s="20" t="str">
        <f aca="false">IF(OR(W617="",NOT(ISNUMBER(W617))),"",W617*$D$3^2/2*$F$3)</f>
        <v/>
      </c>
    </row>
    <row r="618" customFormat="false" ht="15" hidden="false" customHeight="false" outlineLevel="0" collapsed="false">
      <c r="A618" s="10" t="s">
        <v>1347</v>
      </c>
      <c r="B618" s="23" t="s">
        <v>1273</v>
      </c>
      <c r="C618" s="6" t="s">
        <v>925</v>
      </c>
      <c r="D618" s="6" t="s">
        <v>1348</v>
      </c>
      <c r="E618" s="6" t="s">
        <v>1334</v>
      </c>
      <c r="F618" s="6" t="s">
        <v>1090</v>
      </c>
      <c r="G618" s="6" t="n">
        <v>180</v>
      </c>
      <c r="H618" s="6"/>
      <c r="I618" s="6"/>
      <c r="J618" s="6" t="n">
        <v>10</v>
      </c>
      <c r="K618" s="6" t="s">
        <v>1276</v>
      </c>
      <c r="L618" s="6"/>
      <c r="M618" s="6"/>
      <c r="N618" s="12" t="n">
        <v>147.2</v>
      </c>
      <c r="O618" s="12" t="n">
        <v>147.2</v>
      </c>
      <c r="P618" s="12"/>
      <c r="Q618" s="12"/>
      <c r="R618" s="14" t="n">
        <v>0.015</v>
      </c>
      <c r="S618" s="6" t="n">
        <v>16</v>
      </c>
      <c r="T618" s="6"/>
      <c r="U618" s="15" t="n">
        <f aca="false">S618*R618</f>
        <v>0.24</v>
      </c>
      <c r="V618" s="14"/>
      <c r="W618" s="14"/>
      <c r="X618" s="10" t="s">
        <v>1062</v>
      </c>
      <c r="Y618" s="16"/>
      <c r="Z618" s="17" t="s">
        <v>48</v>
      </c>
      <c r="AA618" s="6"/>
      <c r="AB618" s="18" t="n">
        <f aca="false">IF(O618="","",$D$3*PI()*(O618/1000)^2/4*3600)</f>
        <v>91.8965614002647</v>
      </c>
      <c r="AC618" s="19" t="n">
        <f aca="false">IF(OR(U618="",NOT(ISNUMBER(U618))),"",U618*$D$3^2/(2*$H$3))</f>
        <v>0.0275229357798165</v>
      </c>
      <c r="AD618" s="20" t="n">
        <f aca="false">IF(OR(U618="",NOT(ISNUMBER(U618))),"",U618*$D$3^2/2*$F$3)</f>
        <v>270</v>
      </c>
      <c r="AE618" s="19" t="str">
        <f aca="false">IF(OR(V618="",NOT(ISNUMBER(V618))),"",V618*$D$3^2/(2*$H$3))</f>
        <v/>
      </c>
      <c r="AF618" s="20" t="str">
        <f aca="false">IF(OR(V618="",NOT(ISNUMBER(V618))),"",V618*$D$3^2/2*$F$3)</f>
        <v/>
      </c>
      <c r="AG618" s="19" t="str">
        <f aca="false">IF(OR(W618="",NOT(ISNUMBER(W618))),"",W618*$D$3^2/(2*$H$3))</f>
        <v/>
      </c>
      <c r="AH618" s="20" t="str">
        <f aca="false">IF(OR(W618="",NOT(ISNUMBER(W618))),"",W618*$D$3^2/2*$F$3)</f>
        <v/>
      </c>
    </row>
    <row r="619" customFormat="false" ht="15" hidden="false" customHeight="false" outlineLevel="0" collapsed="false">
      <c r="A619" s="10" t="s">
        <v>1349</v>
      </c>
      <c r="B619" s="23" t="s">
        <v>1273</v>
      </c>
      <c r="C619" s="6" t="s">
        <v>925</v>
      </c>
      <c r="D619" s="6" t="s">
        <v>1350</v>
      </c>
      <c r="E619" s="6" t="s">
        <v>1334</v>
      </c>
      <c r="F619" s="6" t="s">
        <v>1090</v>
      </c>
      <c r="G619" s="6" t="n">
        <v>200</v>
      </c>
      <c r="H619" s="6"/>
      <c r="I619" s="6"/>
      <c r="J619" s="6" t="n">
        <v>10</v>
      </c>
      <c r="K619" s="6" t="s">
        <v>1276</v>
      </c>
      <c r="L619" s="6"/>
      <c r="M619" s="6"/>
      <c r="N619" s="12" t="n">
        <v>163.6</v>
      </c>
      <c r="O619" s="12" t="n">
        <v>163.6</v>
      </c>
      <c r="P619" s="12"/>
      <c r="Q619" s="12"/>
      <c r="R619" s="14" t="n">
        <v>0.014</v>
      </c>
      <c r="S619" s="6" t="n">
        <v>16</v>
      </c>
      <c r="T619" s="6"/>
      <c r="U619" s="15" t="n">
        <f aca="false">S619*R619</f>
        <v>0.224</v>
      </c>
      <c r="V619" s="14"/>
      <c r="W619" s="14"/>
      <c r="X619" s="10" t="s">
        <v>1062</v>
      </c>
      <c r="Y619" s="16"/>
      <c r="Z619" s="17" t="s">
        <v>48</v>
      </c>
      <c r="AA619" s="6"/>
      <c r="AB619" s="18" t="n">
        <f aca="false">IF(O619="","",$D$3*PI()*(O619/1000)^2/4*3600)</f>
        <v>113.514212307993</v>
      </c>
      <c r="AC619" s="19" t="n">
        <f aca="false">IF(OR(U619="",NOT(ISNUMBER(U619))),"",U619*$D$3^2/(2*$H$3))</f>
        <v>0.0256880733944954</v>
      </c>
      <c r="AD619" s="20" t="n">
        <f aca="false">IF(OR(U619="",NOT(ISNUMBER(U619))),"",U619*$D$3^2/2*$F$3)</f>
        <v>252</v>
      </c>
      <c r="AE619" s="19" t="str">
        <f aca="false">IF(OR(V619="",NOT(ISNUMBER(V619))),"",V619*$D$3^2/(2*$H$3))</f>
        <v/>
      </c>
      <c r="AF619" s="20" t="str">
        <f aca="false">IF(OR(V619="",NOT(ISNUMBER(V619))),"",V619*$D$3^2/2*$F$3)</f>
        <v/>
      </c>
      <c r="AG619" s="19" t="str">
        <f aca="false">IF(OR(W619="",NOT(ISNUMBER(W619))),"",W619*$D$3^2/(2*$H$3))</f>
        <v/>
      </c>
      <c r="AH619" s="20" t="str">
        <f aca="false">IF(OR(W619="",NOT(ISNUMBER(W619))),"",W619*$D$3^2/2*$F$3)</f>
        <v/>
      </c>
    </row>
    <row r="620" customFormat="false" ht="15" hidden="false" customHeight="false" outlineLevel="0" collapsed="false">
      <c r="A620" s="10" t="s">
        <v>1351</v>
      </c>
      <c r="B620" s="23" t="s">
        <v>1273</v>
      </c>
      <c r="C620" s="6" t="s">
        <v>925</v>
      </c>
      <c r="D620" s="6" t="s">
        <v>1352</v>
      </c>
      <c r="E620" s="6" t="s">
        <v>1334</v>
      </c>
      <c r="F620" s="6" t="s">
        <v>1090</v>
      </c>
      <c r="G620" s="6" t="n">
        <v>225</v>
      </c>
      <c r="H620" s="6"/>
      <c r="I620" s="6"/>
      <c r="J620" s="6" t="n">
        <v>10</v>
      </c>
      <c r="K620" s="6" t="s">
        <v>1276</v>
      </c>
      <c r="L620" s="6"/>
      <c r="M620" s="6"/>
      <c r="N620" s="12" t="n">
        <v>184</v>
      </c>
      <c r="O620" s="12" t="n">
        <v>184</v>
      </c>
      <c r="P620" s="12"/>
      <c r="Q620" s="12"/>
      <c r="R620" s="14" t="n">
        <v>0.014</v>
      </c>
      <c r="S620" s="6" t="n">
        <v>16</v>
      </c>
      <c r="T620" s="6"/>
      <c r="U620" s="15" t="n">
        <f aca="false">S620*R620</f>
        <v>0.224</v>
      </c>
      <c r="V620" s="14"/>
      <c r="W620" s="14"/>
      <c r="X620" s="10" t="s">
        <v>1062</v>
      </c>
      <c r="Y620" s="16"/>
      <c r="Z620" s="17" t="s">
        <v>48</v>
      </c>
      <c r="AA620" s="6"/>
      <c r="AB620" s="18" t="n">
        <f aca="false">IF(O620="","",$D$3*PI()*(O620/1000)^2/4*3600)</f>
        <v>143.588377187914</v>
      </c>
      <c r="AC620" s="19" t="n">
        <f aca="false">IF(OR(U620="",NOT(ISNUMBER(U620))),"",U620*$D$3^2/(2*$H$3))</f>
        <v>0.0256880733944954</v>
      </c>
      <c r="AD620" s="20" t="n">
        <f aca="false">IF(OR(U620="",NOT(ISNUMBER(U620))),"",U620*$D$3^2/2*$F$3)</f>
        <v>252</v>
      </c>
      <c r="AE620" s="19" t="str">
        <f aca="false">IF(OR(V620="",NOT(ISNUMBER(V620))),"",V620*$D$3^2/(2*$H$3))</f>
        <v/>
      </c>
      <c r="AF620" s="20" t="str">
        <f aca="false">IF(OR(V620="",NOT(ISNUMBER(V620))),"",V620*$D$3^2/2*$F$3)</f>
        <v/>
      </c>
      <c r="AG620" s="19" t="str">
        <f aca="false">IF(OR(W620="",NOT(ISNUMBER(W620))),"",W620*$D$3^2/(2*$H$3))</f>
        <v/>
      </c>
      <c r="AH620" s="20" t="str">
        <f aca="false">IF(OR(W620="",NOT(ISNUMBER(W620))),"",W620*$D$3^2/2*$F$3)</f>
        <v/>
      </c>
    </row>
    <row r="621" customFormat="false" ht="15" hidden="false" customHeight="false" outlineLevel="0" collapsed="false">
      <c r="A621" s="10" t="s">
        <v>1353</v>
      </c>
      <c r="B621" s="23" t="s">
        <v>1273</v>
      </c>
      <c r="C621" s="6" t="s">
        <v>925</v>
      </c>
      <c r="D621" s="6" t="s">
        <v>1354</v>
      </c>
      <c r="E621" s="6" t="s">
        <v>1334</v>
      </c>
      <c r="F621" s="6" t="s">
        <v>1090</v>
      </c>
      <c r="G621" s="6" t="n">
        <v>250</v>
      </c>
      <c r="H621" s="6"/>
      <c r="I621" s="6"/>
      <c r="J621" s="6" t="n">
        <v>10</v>
      </c>
      <c r="K621" s="6" t="s">
        <v>1276</v>
      </c>
      <c r="L621" s="6"/>
      <c r="M621" s="6"/>
      <c r="N621" s="12" t="n">
        <v>204.6</v>
      </c>
      <c r="O621" s="12" t="n">
        <v>204.6</v>
      </c>
      <c r="P621" s="12"/>
      <c r="Q621" s="12"/>
      <c r="R621" s="14" t="n">
        <v>0.014</v>
      </c>
      <c r="S621" s="6" t="n">
        <v>16</v>
      </c>
      <c r="T621" s="6"/>
      <c r="U621" s="15" t="n">
        <f aca="false">S621*R621</f>
        <v>0.224</v>
      </c>
      <c r="V621" s="14"/>
      <c r="W621" s="14"/>
      <c r="X621" s="10" t="s">
        <v>1062</v>
      </c>
      <c r="Y621" s="16"/>
      <c r="Z621" s="17" t="s">
        <v>48</v>
      </c>
      <c r="AA621" s="6"/>
      <c r="AB621" s="18" t="n">
        <f aca="false">IF(O621="","",$D$3*PI()*(O621/1000)^2/4*3600)</f>
        <v>177.539462181108</v>
      </c>
      <c r="AC621" s="19" t="n">
        <f aca="false">IF(OR(U621="",NOT(ISNUMBER(U621))),"",U621*$D$3^2/(2*$H$3))</f>
        <v>0.0256880733944954</v>
      </c>
      <c r="AD621" s="20" t="n">
        <f aca="false">IF(OR(U621="",NOT(ISNUMBER(U621))),"",U621*$D$3^2/2*$F$3)</f>
        <v>252</v>
      </c>
      <c r="AE621" s="19" t="str">
        <f aca="false">IF(OR(V621="",NOT(ISNUMBER(V621))),"",V621*$D$3^2/(2*$H$3))</f>
        <v/>
      </c>
      <c r="AF621" s="20" t="str">
        <f aca="false">IF(OR(V621="",NOT(ISNUMBER(V621))),"",V621*$D$3^2/2*$F$3)</f>
        <v/>
      </c>
      <c r="AG621" s="19" t="str">
        <f aca="false">IF(OR(W621="",NOT(ISNUMBER(W621))),"",W621*$D$3^2/(2*$H$3))</f>
        <v/>
      </c>
      <c r="AH621" s="20" t="str">
        <f aca="false">IF(OR(W621="",NOT(ISNUMBER(W621))),"",W621*$D$3^2/2*$F$3)</f>
        <v/>
      </c>
    </row>
    <row r="622" customFormat="false" ht="15" hidden="false" customHeight="false" outlineLevel="0" collapsed="false">
      <c r="A622" s="10" t="s">
        <v>1355</v>
      </c>
      <c r="B622" s="23" t="s">
        <v>1273</v>
      </c>
      <c r="C622" s="6" t="s">
        <v>925</v>
      </c>
      <c r="D622" s="6" t="s">
        <v>1356</v>
      </c>
      <c r="E622" s="6" t="s">
        <v>1334</v>
      </c>
      <c r="F622" s="6" t="s">
        <v>1090</v>
      </c>
      <c r="G622" s="6" t="n">
        <v>280</v>
      </c>
      <c r="H622" s="6"/>
      <c r="I622" s="6"/>
      <c r="J622" s="6" t="n">
        <v>10</v>
      </c>
      <c r="K622" s="6" t="s">
        <v>1276</v>
      </c>
      <c r="L622" s="6"/>
      <c r="M622" s="6"/>
      <c r="N622" s="12" t="n">
        <v>229.2</v>
      </c>
      <c r="O622" s="12" t="n">
        <v>229.2</v>
      </c>
      <c r="P622" s="12"/>
      <c r="Q622" s="12"/>
      <c r="R622" s="14" t="n">
        <v>0.014</v>
      </c>
      <c r="S622" s="6" t="n">
        <v>16</v>
      </c>
      <c r="T622" s="6"/>
      <c r="U622" s="15" t="n">
        <f aca="false">S622*R622</f>
        <v>0.224</v>
      </c>
      <c r="V622" s="14"/>
      <c r="W622" s="14"/>
      <c r="X622" s="10" t="s">
        <v>1062</v>
      </c>
      <c r="Y622" s="16"/>
      <c r="Z622" s="17" t="s">
        <v>48</v>
      </c>
      <c r="AA622" s="6"/>
      <c r="AB622" s="18" t="n">
        <f aca="false">IF(O622="","",$D$3*PI()*(O622/1000)^2/4*3600)</f>
        <v>222.798810461864</v>
      </c>
      <c r="AC622" s="19" t="n">
        <f aca="false">IF(OR(U622="",NOT(ISNUMBER(U622))),"",U622*$D$3^2/(2*$H$3))</f>
        <v>0.0256880733944954</v>
      </c>
      <c r="AD622" s="20" t="n">
        <f aca="false">IF(OR(U622="",NOT(ISNUMBER(U622))),"",U622*$D$3^2/2*$F$3)</f>
        <v>252</v>
      </c>
      <c r="AE622" s="19" t="str">
        <f aca="false">IF(OR(V622="",NOT(ISNUMBER(V622))),"",V622*$D$3^2/(2*$H$3))</f>
        <v/>
      </c>
      <c r="AF622" s="20" t="str">
        <f aca="false">IF(OR(V622="",NOT(ISNUMBER(V622))),"",V622*$D$3^2/2*$F$3)</f>
        <v/>
      </c>
      <c r="AG622" s="19" t="str">
        <f aca="false">IF(OR(W622="",NOT(ISNUMBER(W622))),"",W622*$D$3^2/(2*$H$3))</f>
        <v/>
      </c>
      <c r="AH622" s="20" t="str">
        <f aca="false">IF(OR(W622="",NOT(ISNUMBER(W622))),"",W622*$D$3^2/2*$F$3)</f>
        <v/>
      </c>
    </row>
    <row r="623" customFormat="false" ht="15" hidden="false" customHeight="false" outlineLevel="0" collapsed="false">
      <c r="A623" s="10" t="s">
        <v>1357</v>
      </c>
      <c r="B623" s="23" t="s">
        <v>1273</v>
      </c>
      <c r="C623" s="6" t="s">
        <v>925</v>
      </c>
      <c r="D623" s="6" t="s">
        <v>1358</v>
      </c>
      <c r="E623" s="6" t="s">
        <v>1334</v>
      </c>
      <c r="F623" s="6" t="s">
        <v>1090</v>
      </c>
      <c r="G623" s="6" t="n">
        <v>315</v>
      </c>
      <c r="H623" s="6"/>
      <c r="I623" s="6"/>
      <c r="J623" s="6" t="n">
        <v>10</v>
      </c>
      <c r="K623" s="6" t="s">
        <v>1276</v>
      </c>
      <c r="L623" s="6"/>
      <c r="M623" s="6"/>
      <c r="N623" s="12" t="n">
        <v>257.8</v>
      </c>
      <c r="O623" s="12" t="n">
        <v>257.8</v>
      </c>
      <c r="P623" s="12"/>
      <c r="Q623" s="12"/>
      <c r="R623" s="14" t="n">
        <v>0.013</v>
      </c>
      <c r="S623" s="6" t="n">
        <v>16</v>
      </c>
      <c r="T623" s="6"/>
      <c r="U623" s="15" t="n">
        <f aca="false">S623*R623</f>
        <v>0.208</v>
      </c>
      <c r="V623" s="14"/>
      <c r="W623" s="14"/>
      <c r="X623" s="10" t="s">
        <v>1062</v>
      </c>
      <c r="Y623" s="16"/>
      <c r="Z623" s="17" t="s">
        <v>48</v>
      </c>
      <c r="AA623" s="6"/>
      <c r="AB623" s="18" t="n">
        <f aca="false">IF(O623="","",$D$3*PI()*(O623/1000)^2/4*3600)</f>
        <v>281.870397038799</v>
      </c>
      <c r="AC623" s="19" t="n">
        <f aca="false">IF(OR(U623="",NOT(ISNUMBER(U623))),"",U623*$D$3^2/(2*$H$3))</f>
        <v>0.0238532110091743</v>
      </c>
      <c r="AD623" s="20" t="n">
        <f aca="false">IF(OR(U623="",NOT(ISNUMBER(U623))),"",U623*$D$3^2/2*$F$3)</f>
        <v>234</v>
      </c>
      <c r="AE623" s="19" t="str">
        <f aca="false">IF(OR(V623="",NOT(ISNUMBER(V623))),"",V623*$D$3^2/(2*$H$3))</f>
        <v/>
      </c>
      <c r="AF623" s="20" t="str">
        <f aca="false">IF(OR(V623="",NOT(ISNUMBER(V623))),"",V623*$D$3^2/2*$F$3)</f>
        <v/>
      </c>
      <c r="AG623" s="19" t="str">
        <f aca="false">IF(OR(W623="",NOT(ISNUMBER(W623))),"",W623*$D$3^2/(2*$H$3))</f>
        <v/>
      </c>
      <c r="AH623" s="20" t="str">
        <f aca="false">IF(OR(W623="",NOT(ISNUMBER(W623))),"",W623*$D$3^2/2*$F$3)</f>
        <v/>
      </c>
    </row>
    <row r="624" customFormat="false" ht="15" hidden="false" customHeight="false" outlineLevel="0" collapsed="false">
      <c r="A624" s="10" t="s">
        <v>1359</v>
      </c>
      <c r="B624" s="23" t="s">
        <v>1273</v>
      </c>
      <c r="C624" s="6" t="s">
        <v>925</v>
      </c>
      <c r="D624" s="6" t="s">
        <v>1360</v>
      </c>
      <c r="E624" s="6" t="s">
        <v>1361</v>
      </c>
      <c r="F624" s="6" t="s">
        <v>1090</v>
      </c>
      <c r="G624" s="6" t="n">
        <v>63</v>
      </c>
      <c r="H624" s="6"/>
      <c r="I624" s="6"/>
      <c r="J624" s="6" t="n">
        <v>16</v>
      </c>
      <c r="K624" s="6" t="s">
        <v>1276</v>
      </c>
      <c r="L624" s="6"/>
      <c r="M624" s="6"/>
      <c r="N624" s="12" t="n">
        <v>51.4</v>
      </c>
      <c r="O624" s="12" t="n">
        <v>51.4</v>
      </c>
      <c r="P624" s="12"/>
      <c r="Q624" s="12"/>
      <c r="R624" s="14" t="n">
        <v>0.019</v>
      </c>
      <c r="S624" s="6" t="n">
        <v>16</v>
      </c>
      <c r="T624" s="6"/>
      <c r="U624" s="15" t="n">
        <f aca="false">S624*R624</f>
        <v>0.304</v>
      </c>
      <c r="V624" s="14"/>
      <c r="W624" s="14"/>
      <c r="X624" s="10" t="s">
        <v>1062</v>
      </c>
      <c r="Y624" s="16"/>
      <c r="Z624" s="17" t="s">
        <v>48</v>
      </c>
      <c r="AA624" s="6"/>
      <c r="AB624" s="18" t="n">
        <f aca="false">IF(O624="","",$D$3*PI()*(O624/1000)^2/4*3600)</f>
        <v>11.2049488715554</v>
      </c>
      <c r="AC624" s="19" t="n">
        <f aca="false">IF(OR(U624="",NOT(ISNUMBER(U624))),"",U624*$D$3^2/(2*$H$3))</f>
        <v>0.0348623853211009</v>
      </c>
      <c r="AD624" s="20" t="n">
        <f aca="false">IF(OR(U624="",NOT(ISNUMBER(U624))),"",U624*$D$3^2/2*$F$3)</f>
        <v>342</v>
      </c>
      <c r="AE624" s="19" t="str">
        <f aca="false">IF(OR(V624="",NOT(ISNUMBER(V624))),"",V624*$D$3^2/(2*$H$3))</f>
        <v/>
      </c>
      <c r="AF624" s="20" t="str">
        <f aca="false">IF(OR(V624="",NOT(ISNUMBER(V624))),"",V624*$D$3^2/2*$F$3)</f>
        <v/>
      </c>
      <c r="AG624" s="19" t="str">
        <f aca="false">IF(OR(W624="",NOT(ISNUMBER(W624))),"",W624*$D$3^2/(2*$H$3))</f>
        <v/>
      </c>
      <c r="AH624" s="20" t="str">
        <f aca="false">IF(OR(W624="",NOT(ISNUMBER(W624))),"",W624*$D$3^2/2*$F$3)</f>
        <v/>
      </c>
    </row>
    <row r="625" customFormat="false" ht="15" hidden="false" customHeight="false" outlineLevel="0" collapsed="false">
      <c r="A625" s="10" t="s">
        <v>1362</v>
      </c>
      <c r="B625" s="23" t="s">
        <v>1273</v>
      </c>
      <c r="C625" s="6" t="s">
        <v>925</v>
      </c>
      <c r="D625" s="6" t="s">
        <v>1363</v>
      </c>
      <c r="E625" s="6" t="s">
        <v>1361</v>
      </c>
      <c r="F625" s="6" t="s">
        <v>1090</v>
      </c>
      <c r="G625" s="6" t="n">
        <v>75</v>
      </c>
      <c r="H625" s="6"/>
      <c r="I625" s="6"/>
      <c r="J625" s="6" t="n">
        <v>16</v>
      </c>
      <c r="K625" s="6" t="s">
        <v>1276</v>
      </c>
      <c r="L625" s="6"/>
      <c r="M625" s="6"/>
      <c r="N625" s="12" t="n">
        <v>61.4</v>
      </c>
      <c r="O625" s="12" t="n">
        <v>61.4</v>
      </c>
      <c r="P625" s="12"/>
      <c r="Q625" s="12"/>
      <c r="R625" s="14" t="n">
        <v>0.018</v>
      </c>
      <c r="S625" s="6" t="n">
        <v>16</v>
      </c>
      <c r="T625" s="6"/>
      <c r="U625" s="15" t="n">
        <f aca="false">S625*R625</f>
        <v>0.288</v>
      </c>
      <c r="V625" s="14"/>
      <c r="W625" s="14"/>
      <c r="X625" s="10" t="s">
        <v>1062</v>
      </c>
      <c r="Y625" s="16"/>
      <c r="Z625" s="17" t="s">
        <v>48</v>
      </c>
      <c r="AA625" s="6"/>
      <c r="AB625" s="18" t="n">
        <f aca="false">IF(O625="","",$D$3*PI()*(O625/1000)^2/4*3600)</f>
        <v>15.988966164442</v>
      </c>
      <c r="AC625" s="19" t="n">
        <f aca="false">IF(OR(U625="",NOT(ISNUMBER(U625))),"",U625*$D$3^2/(2*$H$3))</f>
        <v>0.0330275229357798</v>
      </c>
      <c r="AD625" s="20" t="n">
        <f aca="false">IF(OR(U625="",NOT(ISNUMBER(U625))),"",U625*$D$3^2/2*$F$3)</f>
        <v>324</v>
      </c>
      <c r="AE625" s="19" t="str">
        <f aca="false">IF(OR(V625="",NOT(ISNUMBER(V625))),"",V625*$D$3^2/(2*$H$3))</f>
        <v/>
      </c>
      <c r="AF625" s="20" t="str">
        <f aca="false">IF(OR(V625="",NOT(ISNUMBER(V625))),"",V625*$D$3^2/2*$F$3)</f>
        <v/>
      </c>
      <c r="AG625" s="19" t="str">
        <f aca="false">IF(OR(W625="",NOT(ISNUMBER(W625))),"",W625*$D$3^2/(2*$H$3))</f>
        <v/>
      </c>
      <c r="AH625" s="20" t="str">
        <f aca="false">IF(OR(W625="",NOT(ISNUMBER(W625))),"",W625*$D$3^2/2*$F$3)</f>
        <v/>
      </c>
    </row>
    <row r="626" customFormat="false" ht="15" hidden="false" customHeight="false" outlineLevel="0" collapsed="false">
      <c r="A626" s="10" t="s">
        <v>1364</v>
      </c>
      <c r="B626" s="23" t="s">
        <v>1273</v>
      </c>
      <c r="C626" s="6" t="s">
        <v>925</v>
      </c>
      <c r="D626" s="6" t="s">
        <v>1365</v>
      </c>
      <c r="E626" s="6" t="s">
        <v>1361</v>
      </c>
      <c r="F626" s="6" t="s">
        <v>1090</v>
      </c>
      <c r="G626" s="6" t="n">
        <v>90</v>
      </c>
      <c r="H626" s="6"/>
      <c r="I626" s="6"/>
      <c r="J626" s="6" t="n">
        <v>16</v>
      </c>
      <c r="K626" s="6" t="s">
        <v>1276</v>
      </c>
      <c r="L626" s="6"/>
      <c r="M626" s="6"/>
      <c r="N626" s="12" t="n">
        <v>73.6</v>
      </c>
      <c r="O626" s="12" t="n">
        <v>73.6</v>
      </c>
      <c r="P626" s="12"/>
      <c r="Q626" s="12"/>
      <c r="R626" s="14" t="n">
        <v>0.018</v>
      </c>
      <c r="S626" s="6" t="n">
        <v>16</v>
      </c>
      <c r="T626" s="6"/>
      <c r="U626" s="15" t="n">
        <f aca="false">S626*R626</f>
        <v>0.288</v>
      </c>
      <c r="V626" s="14"/>
      <c r="W626" s="14"/>
      <c r="X626" s="10" t="s">
        <v>1062</v>
      </c>
      <c r="Y626" s="16"/>
      <c r="Z626" s="17" t="s">
        <v>48</v>
      </c>
      <c r="AA626" s="6"/>
      <c r="AB626" s="18" t="n">
        <f aca="false">IF(O626="","",$D$3*PI()*(O626/1000)^2/4*3600)</f>
        <v>22.9741403500662</v>
      </c>
      <c r="AC626" s="19" t="n">
        <f aca="false">IF(OR(U626="",NOT(ISNUMBER(U626))),"",U626*$D$3^2/(2*$H$3))</f>
        <v>0.0330275229357798</v>
      </c>
      <c r="AD626" s="20" t="n">
        <f aca="false">IF(OR(U626="",NOT(ISNUMBER(U626))),"",U626*$D$3^2/2*$F$3)</f>
        <v>324</v>
      </c>
      <c r="AE626" s="19" t="str">
        <f aca="false">IF(OR(V626="",NOT(ISNUMBER(V626))),"",V626*$D$3^2/(2*$H$3))</f>
        <v/>
      </c>
      <c r="AF626" s="20" t="str">
        <f aca="false">IF(OR(V626="",NOT(ISNUMBER(V626))),"",V626*$D$3^2/2*$F$3)</f>
        <v/>
      </c>
      <c r="AG626" s="19" t="str">
        <f aca="false">IF(OR(W626="",NOT(ISNUMBER(W626))),"",W626*$D$3^2/(2*$H$3))</f>
        <v/>
      </c>
      <c r="AH626" s="20" t="str">
        <f aca="false">IF(OR(W626="",NOT(ISNUMBER(W626))),"",W626*$D$3^2/2*$F$3)</f>
        <v/>
      </c>
    </row>
    <row r="627" customFormat="false" ht="15" hidden="false" customHeight="false" outlineLevel="0" collapsed="false">
      <c r="A627" s="10" t="s">
        <v>1366</v>
      </c>
      <c r="B627" s="23" t="s">
        <v>1273</v>
      </c>
      <c r="C627" s="6" t="s">
        <v>925</v>
      </c>
      <c r="D627" s="6" t="s">
        <v>1367</v>
      </c>
      <c r="E627" s="6" t="s">
        <v>1361</v>
      </c>
      <c r="F627" s="6" t="s">
        <v>1090</v>
      </c>
      <c r="G627" s="6" t="n">
        <v>110</v>
      </c>
      <c r="H627" s="6"/>
      <c r="I627" s="6"/>
      <c r="J627" s="6" t="n">
        <v>16</v>
      </c>
      <c r="K627" s="6" t="s">
        <v>1276</v>
      </c>
      <c r="L627" s="6"/>
      <c r="M627" s="6"/>
      <c r="N627" s="12" t="n">
        <v>90</v>
      </c>
      <c r="O627" s="12" t="n">
        <v>90</v>
      </c>
      <c r="P627" s="12"/>
      <c r="Q627" s="12"/>
      <c r="R627" s="14" t="n">
        <v>0.017</v>
      </c>
      <c r="S627" s="6" t="n">
        <v>16</v>
      </c>
      <c r="T627" s="6"/>
      <c r="U627" s="15" t="n">
        <f aca="false">S627*R627</f>
        <v>0.272</v>
      </c>
      <c r="V627" s="14"/>
      <c r="W627" s="14"/>
      <c r="X627" s="10" t="s">
        <v>1062</v>
      </c>
      <c r="Y627" s="16"/>
      <c r="Z627" s="17" t="s">
        <v>48</v>
      </c>
      <c r="AA627" s="6"/>
      <c r="AB627" s="18" t="n">
        <f aca="false">IF(O627="","",$D$3*PI()*(O627/1000)^2/4*3600)</f>
        <v>34.3533156670044</v>
      </c>
      <c r="AC627" s="19" t="n">
        <f aca="false">IF(OR(U627="",NOT(ISNUMBER(U627))),"",U627*$D$3^2/(2*$H$3))</f>
        <v>0.0311926605504587</v>
      </c>
      <c r="AD627" s="20" t="n">
        <f aca="false">IF(OR(U627="",NOT(ISNUMBER(U627))),"",U627*$D$3^2/2*$F$3)</f>
        <v>306</v>
      </c>
      <c r="AE627" s="19" t="str">
        <f aca="false">IF(OR(V627="",NOT(ISNUMBER(V627))),"",V627*$D$3^2/(2*$H$3))</f>
        <v/>
      </c>
      <c r="AF627" s="20" t="str">
        <f aca="false">IF(OR(V627="",NOT(ISNUMBER(V627))),"",V627*$D$3^2/2*$F$3)</f>
        <v/>
      </c>
      <c r="AG627" s="19" t="str">
        <f aca="false">IF(OR(W627="",NOT(ISNUMBER(W627))),"",W627*$D$3^2/(2*$H$3))</f>
        <v/>
      </c>
      <c r="AH627" s="20" t="str">
        <f aca="false">IF(OR(W627="",NOT(ISNUMBER(W627))),"",W627*$D$3^2/2*$F$3)</f>
        <v/>
      </c>
    </row>
    <row r="628" customFormat="false" ht="15" hidden="false" customHeight="false" outlineLevel="0" collapsed="false">
      <c r="A628" s="10" t="s">
        <v>1368</v>
      </c>
      <c r="B628" s="23" t="s">
        <v>1273</v>
      </c>
      <c r="C628" s="6" t="s">
        <v>925</v>
      </c>
      <c r="D628" s="6" t="s">
        <v>1369</v>
      </c>
      <c r="E628" s="6" t="s">
        <v>1361</v>
      </c>
      <c r="F628" s="6" t="s">
        <v>1090</v>
      </c>
      <c r="G628" s="6" t="n">
        <v>125</v>
      </c>
      <c r="H628" s="6"/>
      <c r="I628" s="6"/>
      <c r="J628" s="6" t="n">
        <v>16</v>
      </c>
      <c r="K628" s="6" t="s">
        <v>1276</v>
      </c>
      <c r="L628" s="6"/>
      <c r="M628" s="6"/>
      <c r="N628" s="12" t="n">
        <v>102.2</v>
      </c>
      <c r="O628" s="12" t="n">
        <v>102.2</v>
      </c>
      <c r="P628" s="12"/>
      <c r="Q628" s="12"/>
      <c r="R628" s="14" t="n">
        <v>0.016</v>
      </c>
      <c r="S628" s="6" t="n">
        <v>16</v>
      </c>
      <c r="T628" s="6"/>
      <c r="U628" s="15" t="n">
        <f aca="false">S628*R628</f>
        <v>0.256</v>
      </c>
      <c r="V628" s="14"/>
      <c r="W628" s="14"/>
      <c r="X628" s="10" t="s">
        <v>1062</v>
      </c>
      <c r="Y628" s="16"/>
      <c r="Z628" s="17" t="s">
        <v>48</v>
      </c>
      <c r="AA628" s="6"/>
      <c r="AB628" s="18" t="n">
        <f aca="false">IF(O628="","",$D$3*PI()*(O628/1000)^2/4*3600)</f>
        <v>44.2981340260931</v>
      </c>
      <c r="AC628" s="19" t="n">
        <f aca="false">IF(OR(U628="",NOT(ISNUMBER(U628))),"",U628*$D$3^2/(2*$H$3))</f>
        <v>0.0293577981651376</v>
      </c>
      <c r="AD628" s="20" t="n">
        <f aca="false">IF(OR(U628="",NOT(ISNUMBER(U628))),"",U628*$D$3^2/2*$F$3)</f>
        <v>288</v>
      </c>
      <c r="AE628" s="19" t="str">
        <f aca="false">IF(OR(V628="",NOT(ISNUMBER(V628))),"",V628*$D$3^2/(2*$H$3))</f>
        <v/>
      </c>
      <c r="AF628" s="20" t="str">
        <f aca="false">IF(OR(V628="",NOT(ISNUMBER(V628))),"",V628*$D$3^2/2*$F$3)</f>
        <v/>
      </c>
      <c r="AG628" s="19" t="str">
        <f aca="false">IF(OR(W628="",NOT(ISNUMBER(W628))),"",W628*$D$3^2/(2*$H$3))</f>
        <v/>
      </c>
      <c r="AH628" s="20" t="str">
        <f aca="false">IF(OR(W628="",NOT(ISNUMBER(W628))),"",W628*$D$3^2/2*$F$3)</f>
        <v/>
      </c>
    </row>
    <row r="629" customFormat="false" ht="15" hidden="false" customHeight="false" outlineLevel="0" collapsed="false">
      <c r="A629" s="10" t="s">
        <v>1370</v>
      </c>
      <c r="B629" s="23" t="s">
        <v>1273</v>
      </c>
      <c r="C629" s="6" t="s">
        <v>925</v>
      </c>
      <c r="D629" s="6" t="s">
        <v>1371</v>
      </c>
      <c r="E629" s="6" t="s">
        <v>1361</v>
      </c>
      <c r="F629" s="6" t="s">
        <v>1090</v>
      </c>
      <c r="G629" s="6" t="n">
        <v>140</v>
      </c>
      <c r="H629" s="6"/>
      <c r="I629" s="6"/>
      <c r="J629" s="6" t="n">
        <v>16</v>
      </c>
      <c r="K629" s="6" t="s">
        <v>1276</v>
      </c>
      <c r="L629" s="6"/>
      <c r="M629" s="6"/>
      <c r="N629" s="12" t="n">
        <v>114.6</v>
      </c>
      <c r="O629" s="12" t="n">
        <v>114.6</v>
      </c>
      <c r="P629" s="12"/>
      <c r="Q629" s="12"/>
      <c r="R629" s="14" t="n">
        <v>0.016</v>
      </c>
      <c r="S629" s="6" t="n">
        <v>16</v>
      </c>
      <c r="T629" s="6"/>
      <c r="U629" s="15" t="n">
        <f aca="false">S629*R629</f>
        <v>0.256</v>
      </c>
      <c r="V629" s="14"/>
      <c r="W629" s="14"/>
      <c r="X629" s="10" t="s">
        <v>1062</v>
      </c>
      <c r="Y629" s="16"/>
      <c r="Z629" s="17" t="s">
        <v>48</v>
      </c>
      <c r="AA629" s="6"/>
      <c r="AB629" s="18" t="n">
        <f aca="false">IF(O629="","",$D$3*PI()*(O629/1000)^2/4*3600)</f>
        <v>55.6997026154661</v>
      </c>
      <c r="AC629" s="19" t="n">
        <f aca="false">IF(OR(U629="",NOT(ISNUMBER(U629))),"",U629*$D$3^2/(2*$H$3))</f>
        <v>0.0293577981651376</v>
      </c>
      <c r="AD629" s="20" t="n">
        <f aca="false">IF(OR(U629="",NOT(ISNUMBER(U629))),"",U629*$D$3^2/2*$F$3)</f>
        <v>288</v>
      </c>
      <c r="AE629" s="19" t="str">
        <f aca="false">IF(OR(V629="",NOT(ISNUMBER(V629))),"",V629*$D$3^2/(2*$H$3))</f>
        <v/>
      </c>
      <c r="AF629" s="20" t="str">
        <f aca="false">IF(OR(V629="",NOT(ISNUMBER(V629))),"",V629*$D$3^2/2*$F$3)</f>
        <v/>
      </c>
      <c r="AG629" s="19" t="str">
        <f aca="false">IF(OR(W629="",NOT(ISNUMBER(W629))),"",W629*$D$3^2/(2*$H$3))</f>
        <v/>
      </c>
      <c r="AH629" s="20" t="str">
        <f aca="false">IF(OR(W629="",NOT(ISNUMBER(W629))),"",W629*$D$3^2/2*$F$3)</f>
        <v/>
      </c>
    </row>
    <row r="630" customFormat="false" ht="15" hidden="false" customHeight="false" outlineLevel="0" collapsed="false">
      <c r="A630" s="10" t="s">
        <v>1372</v>
      </c>
      <c r="B630" s="23" t="s">
        <v>1273</v>
      </c>
      <c r="C630" s="6" t="s">
        <v>925</v>
      </c>
      <c r="D630" s="6" t="s">
        <v>1373</v>
      </c>
      <c r="E630" s="6" t="s">
        <v>1361</v>
      </c>
      <c r="F630" s="6" t="s">
        <v>1090</v>
      </c>
      <c r="G630" s="6" t="n">
        <v>160</v>
      </c>
      <c r="H630" s="6"/>
      <c r="I630" s="6"/>
      <c r="J630" s="6" t="n">
        <v>16</v>
      </c>
      <c r="K630" s="6" t="s">
        <v>1276</v>
      </c>
      <c r="L630" s="6"/>
      <c r="M630" s="6"/>
      <c r="N630" s="12" t="n">
        <v>130.8</v>
      </c>
      <c r="O630" s="12" t="n">
        <v>130.8</v>
      </c>
      <c r="P630" s="12"/>
      <c r="Q630" s="12"/>
      <c r="R630" s="14" t="n">
        <v>0.015</v>
      </c>
      <c r="S630" s="6" t="n">
        <v>16</v>
      </c>
      <c r="T630" s="6"/>
      <c r="U630" s="15" t="n">
        <f aca="false">S630*R630</f>
        <v>0.24</v>
      </c>
      <c r="V630" s="14"/>
      <c r="W630" s="14"/>
      <c r="X630" s="10" t="s">
        <v>1062</v>
      </c>
      <c r="Y630" s="16"/>
      <c r="Z630" s="17" t="s">
        <v>48</v>
      </c>
      <c r="AA630" s="6"/>
      <c r="AB630" s="18" t="n">
        <f aca="false">IF(O630="","",$D$3*PI()*(O630/1000)^2/4*3600)</f>
        <v>72.5603099448318</v>
      </c>
      <c r="AC630" s="19" t="n">
        <f aca="false">IF(OR(U630="",NOT(ISNUMBER(U630))),"",U630*$D$3^2/(2*$H$3))</f>
        <v>0.0275229357798165</v>
      </c>
      <c r="AD630" s="20" t="n">
        <f aca="false">IF(OR(U630="",NOT(ISNUMBER(U630))),"",U630*$D$3^2/2*$F$3)</f>
        <v>270</v>
      </c>
      <c r="AE630" s="19" t="str">
        <f aca="false">IF(OR(V630="",NOT(ISNUMBER(V630))),"",V630*$D$3^2/(2*$H$3))</f>
        <v/>
      </c>
      <c r="AF630" s="20" t="str">
        <f aca="false">IF(OR(V630="",NOT(ISNUMBER(V630))),"",V630*$D$3^2/2*$F$3)</f>
        <v/>
      </c>
      <c r="AG630" s="19" t="str">
        <f aca="false">IF(OR(W630="",NOT(ISNUMBER(W630))),"",W630*$D$3^2/(2*$H$3))</f>
        <v/>
      </c>
      <c r="AH630" s="20" t="str">
        <f aca="false">IF(OR(W630="",NOT(ISNUMBER(W630))),"",W630*$D$3^2/2*$F$3)</f>
        <v/>
      </c>
    </row>
    <row r="631" customFormat="false" ht="15" hidden="false" customHeight="false" outlineLevel="0" collapsed="false">
      <c r="A631" s="10" t="s">
        <v>1374</v>
      </c>
      <c r="B631" s="23" t="s">
        <v>1273</v>
      </c>
      <c r="C631" s="6" t="s">
        <v>925</v>
      </c>
      <c r="D631" s="6" t="s">
        <v>1375</v>
      </c>
      <c r="E631" s="6" t="s">
        <v>1361</v>
      </c>
      <c r="F631" s="6" t="s">
        <v>1090</v>
      </c>
      <c r="G631" s="6" t="n">
        <v>180</v>
      </c>
      <c r="H631" s="6"/>
      <c r="I631" s="6"/>
      <c r="J631" s="6" t="n">
        <v>16</v>
      </c>
      <c r="K631" s="6" t="s">
        <v>1276</v>
      </c>
      <c r="L631" s="6"/>
      <c r="M631" s="6"/>
      <c r="N631" s="12" t="n">
        <v>147.2</v>
      </c>
      <c r="O631" s="12" t="n">
        <v>147.2</v>
      </c>
      <c r="P631" s="12"/>
      <c r="Q631" s="12"/>
      <c r="R631" s="14" t="n">
        <v>0.015</v>
      </c>
      <c r="S631" s="6" t="n">
        <v>16</v>
      </c>
      <c r="T631" s="6"/>
      <c r="U631" s="15" t="n">
        <f aca="false">S631*R631</f>
        <v>0.24</v>
      </c>
      <c r="V631" s="14"/>
      <c r="W631" s="14"/>
      <c r="X631" s="10" t="s">
        <v>1062</v>
      </c>
      <c r="Y631" s="16"/>
      <c r="Z631" s="17" t="s">
        <v>48</v>
      </c>
      <c r="AA631" s="6"/>
      <c r="AB631" s="18" t="n">
        <f aca="false">IF(O631="","",$D$3*PI()*(O631/1000)^2/4*3600)</f>
        <v>91.8965614002647</v>
      </c>
      <c r="AC631" s="19" t="n">
        <f aca="false">IF(OR(U631="",NOT(ISNUMBER(U631))),"",U631*$D$3^2/(2*$H$3))</f>
        <v>0.0275229357798165</v>
      </c>
      <c r="AD631" s="20" t="n">
        <f aca="false">IF(OR(U631="",NOT(ISNUMBER(U631))),"",U631*$D$3^2/2*$F$3)</f>
        <v>270</v>
      </c>
      <c r="AE631" s="19" t="str">
        <f aca="false">IF(OR(V631="",NOT(ISNUMBER(V631))),"",V631*$D$3^2/(2*$H$3))</f>
        <v/>
      </c>
      <c r="AF631" s="20" t="str">
        <f aca="false">IF(OR(V631="",NOT(ISNUMBER(V631))),"",V631*$D$3^2/2*$F$3)</f>
        <v/>
      </c>
      <c r="AG631" s="19" t="str">
        <f aca="false">IF(OR(W631="",NOT(ISNUMBER(W631))),"",W631*$D$3^2/(2*$H$3))</f>
        <v/>
      </c>
      <c r="AH631" s="20" t="str">
        <f aca="false">IF(OR(W631="",NOT(ISNUMBER(W631))),"",W631*$D$3^2/2*$F$3)</f>
        <v/>
      </c>
    </row>
    <row r="632" customFormat="false" ht="15" hidden="false" customHeight="false" outlineLevel="0" collapsed="false">
      <c r="A632" s="10" t="s">
        <v>1376</v>
      </c>
      <c r="B632" s="23" t="s">
        <v>1273</v>
      </c>
      <c r="C632" s="6" t="s">
        <v>925</v>
      </c>
      <c r="D632" s="6" t="s">
        <v>1377</v>
      </c>
      <c r="E632" s="6" t="s">
        <v>1361</v>
      </c>
      <c r="F632" s="6" t="s">
        <v>1090</v>
      </c>
      <c r="G632" s="6" t="n">
        <v>200</v>
      </c>
      <c r="H632" s="6"/>
      <c r="I632" s="6"/>
      <c r="J632" s="6" t="n">
        <v>16</v>
      </c>
      <c r="K632" s="6" t="s">
        <v>1276</v>
      </c>
      <c r="L632" s="6"/>
      <c r="M632" s="6"/>
      <c r="N632" s="12" t="n">
        <v>163.6</v>
      </c>
      <c r="O632" s="12" t="n">
        <v>163.6</v>
      </c>
      <c r="P632" s="12"/>
      <c r="Q632" s="12"/>
      <c r="R632" s="14" t="n">
        <v>0.014</v>
      </c>
      <c r="S632" s="6" t="n">
        <v>16</v>
      </c>
      <c r="T632" s="6"/>
      <c r="U632" s="15" t="n">
        <f aca="false">S632*R632</f>
        <v>0.224</v>
      </c>
      <c r="V632" s="14"/>
      <c r="W632" s="14"/>
      <c r="X632" s="10" t="s">
        <v>1062</v>
      </c>
      <c r="Y632" s="16"/>
      <c r="Z632" s="17" t="s">
        <v>48</v>
      </c>
      <c r="AA632" s="6"/>
      <c r="AB632" s="18" t="n">
        <f aca="false">IF(O632="","",$D$3*PI()*(O632/1000)^2/4*3600)</f>
        <v>113.514212307993</v>
      </c>
      <c r="AC632" s="19" t="n">
        <f aca="false">IF(OR(U632="",NOT(ISNUMBER(U632))),"",U632*$D$3^2/(2*$H$3))</f>
        <v>0.0256880733944954</v>
      </c>
      <c r="AD632" s="20" t="n">
        <f aca="false">IF(OR(U632="",NOT(ISNUMBER(U632))),"",U632*$D$3^2/2*$F$3)</f>
        <v>252</v>
      </c>
      <c r="AE632" s="19" t="str">
        <f aca="false">IF(OR(V632="",NOT(ISNUMBER(V632))),"",V632*$D$3^2/(2*$H$3))</f>
        <v/>
      </c>
      <c r="AF632" s="20" t="str">
        <f aca="false">IF(OR(V632="",NOT(ISNUMBER(V632))),"",V632*$D$3^2/2*$F$3)</f>
        <v/>
      </c>
      <c r="AG632" s="19" t="str">
        <f aca="false">IF(OR(W632="",NOT(ISNUMBER(W632))),"",W632*$D$3^2/(2*$H$3))</f>
        <v/>
      </c>
      <c r="AH632" s="20" t="str">
        <f aca="false">IF(OR(W632="",NOT(ISNUMBER(W632))),"",W632*$D$3^2/2*$F$3)</f>
        <v/>
      </c>
    </row>
    <row r="633" customFormat="false" ht="15" hidden="false" customHeight="false" outlineLevel="0" collapsed="false">
      <c r="A633" s="10" t="s">
        <v>1378</v>
      </c>
      <c r="B633" s="23" t="s">
        <v>1273</v>
      </c>
      <c r="C633" s="6" t="s">
        <v>925</v>
      </c>
      <c r="D633" s="6" t="s">
        <v>1379</v>
      </c>
      <c r="E633" s="6" t="s">
        <v>1361</v>
      </c>
      <c r="F633" s="6" t="s">
        <v>1090</v>
      </c>
      <c r="G633" s="6" t="n">
        <v>225</v>
      </c>
      <c r="H633" s="6"/>
      <c r="I633" s="6"/>
      <c r="J633" s="6" t="n">
        <v>16</v>
      </c>
      <c r="K633" s="6" t="s">
        <v>1276</v>
      </c>
      <c r="L633" s="6"/>
      <c r="M633" s="6"/>
      <c r="N633" s="12" t="n">
        <v>184</v>
      </c>
      <c r="O633" s="12" t="n">
        <v>184</v>
      </c>
      <c r="P633" s="12"/>
      <c r="Q633" s="12"/>
      <c r="R633" s="14" t="n">
        <v>0.014</v>
      </c>
      <c r="S633" s="6" t="n">
        <v>16</v>
      </c>
      <c r="T633" s="6"/>
      <c r="U633" s="15" t="n">
        <f aca="false">S633*R633</f>
        <v>0.224</v>
      </c>
      <c r="V633" s="14"/>
      <c r="W633" s="14"/>
      <c r="X633" s="10" t="s">
        <v>1062</v>
      </c>
      <c r="Y633" s="16"/>
      <c r="Z633" s="17" t="s">
        <v>48</v>
      </c>
      <c r="AA633" s="6"/>
      <c r="AB633" s="18" t="n">
        <f aca="false">IF(O633="","",$D$3*PI()*(O633/1000)^2/4*3600)</f>
        <v>143.588377187914</v>
      </c>
      <c r="AC633" s="19" t="n">
        <f aca="false">IF(OR(U633="",NOT(ISNUMBER(U633))),"",U633*$D$3^2/(2*$H$3))</f>
        <v>0.0256880733944954</v>
      </c>
      <c r="AD633" s="20" t="n">
        <f aca="false">IF(OR(U633="",NOT(ISNUMBER(U633))),"",U633*$D$3^2/2*$F$3)</f>
        <v>252</v>
      </c>
      <c r="AE633" s="19" t="str">
        <f aca="false">IF(OR(V633="",NOT(ISNUMBER(V633))),"",V633*$D$3^2/(2*$H$3))</f>
        <v/>
      </c>
      <c r="AF633" s="20" t="str">
        <f aca="false">IF(OR(V633="",NOT(ISNUMBER(V633))),"",V633*$D$3^2/2*$F$3)</f>
        <v/>
      </c>
      <c r="AG633" s="19" t="str">
        <f aca="false">IF(OR(W633="",NOT(ISNUMBER(W633))),"",W633*$D$3^2/(2*$H$3))</f>
        <v/>
      </c>
      <c r="AH633" s="20" t="str">
        <f aca="false">IF(OR(W633="",NOT(ISNUMBER(W633))),"",W633*$D$3^2/2*$F$3)</f>
        <v/>
      </c>
    </row>
    <row r="634" customFormat="false" ht="15" hidden="false" customHeight="false" outlineLevel="0" collapsed="false">
      <c r="A634" s="10" t="s">
        <v>1380</v>
      </c>
      <c r="B634" s="23" t="s">
        <v>1273</v>
      </c>
      <c r="C634" s="6" t="s">
        <v>925</v>
      </c>
      <c r="D634" s="6" t="s">
        <v>1381</v>
      </c>
      <c r="E634" s="6" t="s">
        <v>1361</v>
      </c>
      <c r="F634" s="6" t="s">
        <v>1090</v>
      </c>
      <c r="G634" s="6" t="n">
        <v>250</v>
      </c>
      <c r="H634" s="6"/>
      <c r="I634" s="6"/>
      <c r="J634" s="6" t="n">
        <v>16</v>
      </c>
      <c r="K634" s="6" t="s">
        <v>1276</v>
      </c>
      <c r="L634" s="6"/>
      <c r="M634" s="6"/>
      <c r="N634" s="12" t="n">
        <v>204.6</v>
      </c>
      <c r="O634" s="12" t="n">
        <v>204.6</v>
      </c>
      <c r="P634" s="12"/>
      <c r="Q634" s="12"/>
      <c r="R634" s="14" t="n">
        <v>0.014</v>
      </c>
      <c r="S634" s="6" t="n">
        <v>16</v>
      </c>
      <c r="T634" s="6"/>
      <c r="U634" s="15" t="n">
        <f aca="false">S634*R634</f>
        <v>0.224</v>
      </c>
      <c r="V634" s="14"/>
      <c r="W634" s="14"/>
      <c r="X634" s="10" t="s">
        <v>1062</v>
      </c>
      <c r="Y634" s="16"/>
      <c r="Z634" s="17" t="s">
        <v>48</v>
      </c>
      <c r="AA634" s="6"/>
      <c r="AB634" s="18" t="n">
        <f aca="false">IF(O634="","",$D$3*PI()*(O634/1000)^2/4*3600)</f>
        <v>177.539462181108</v>
      </c>
      <c r="AC634" s="19" t="n">
        <f aca="false">IF(OR(U634="",NOT(ISNUMBER(U634))),"",U634*$D$3^2/(2*$H$3))</f>
        <v>0.0256880733944954</v>
      </c>
      <c r="AD634" s="20" t="n">
        <f aca="false">IF(OR(U634="",NOT(ISNUMBER(U634))),"",U634*$D$3^2/2*$F$3)</f>
        <v>252</v>
      </c>
      <c r="AE634" s="19" t="str">
        <f aca="false">IF(OR(V634="",NOT(ISNUMBER(V634))),"",V634*$D$3^2/(2*$H$3))</f>
        <v/>
      </c>
      <c r="AF634" s="20" t="str">
        <f aca="false">IF(OR(V634="",NOT(ISNUMBER(V634))),"",V634*$D$3^2/2*$F$3)</f>
        <v/>
      </c>
      <c r="AG634" s="19" t="str">
        <f aca="false">IF(OR(W634="",NOT(ISNUMBER(W634))),"",W634*$D$3^2/(2*$H$3))</f>
        <v/>
      </c>
      <c r="AH634" s="20" t="str">
        <f aca="false">IF(OR(W634="",NOT(ISNUMBER(W634))),"",W634*$D$3^2/2*$F$3)</f>
        <v/>
      </c>
    </row>
    <row r="635" customFormat="false" ht="15" hidden="false" customHeight="false" outlineLevel="0" collapsed="false">
      <c r="A635" s="10" t="s">
        <v>1382</v>
      </c>
      <c r="B635" s="23" t="s">
        <v>1273</v>
      </c>
      <c r="C635" s="6" t="s">
        <v>925</v>
      </c>
      <c r="D635" s="6" t="s">
        <v>1383</v>
      </c>
      <c r="E635" s="6" t="s">
        <v>1361</v>
      </c>
      <c r="F635" s="6" t="s">
        <v>1090</v>
      </c>
      <c r="G635" s="6" t="n">
        <v>280</v>
      </c>
      <c r="H635" s="6"/>
      <c r="I635" s="6"/>
      <c r="J635" s="6" t="n">
        <v>16</v>
      </c>
      <c r="K635" s="6" t="s">
        <v>1276</v>
      </c>
      <c r="L635" s="6"/>
      <c r="M635" s="6"/>
      <c r="N635" s="12" t="n">
        <v>229.2</v>
      </c>
      <c r="O635" s="12" t="n">
        <v>229.2</v>
      </c>
      <c r="P635" s="12"/>
      <c r="Q635" s="12"/>
      <c r="R635" s="14" t="n">
        <v>0.014</v>
      </c>
      <c r="S635" s="6" t="n">
        <v>16</v>
      </c>
      <c r="T635" s="6"/>
      <c r="U635" s="15" t="n">
        <f aca="false">S635*R635</f>
        <v>0.224</v>
      </c>
      <c r="V635" s="14"/>
      <c r="W635" s="14"/>
      <c r="X635" s="10" t="s">
        <v>1062</v>
      </c>
      <c r="Y635" s="16"/>
      <c r="Z635" s="17" t="s">
        <v>48</v>
      </c>
      <c r="AA635" s="6"/>
      <c r="AB635" s="18" t="n">
        <f aca="false">IF(O635="","",$D$3*PI()*(O635/1000)^2/4*3600)</f>
        <v>222.798810461864</v>
      </c>
      <c r="AC635" s="19" t="n">
        <f aca="false">IF(OR(U635="",NOT(ISNUMBER(U635))),"",U635*$D$3^2/(2*$H$3))</f>
        <v>0.0256880733944954</v>
      </c>
      <c r="AD635" s="20" t="n">
        <f aca="false">IF(OR(U635="",NOT(ISNUMBER(U635))),"",U635*$D$3^2/2*$F$3)</f>
        <v>252</v>
      </c>
      <c r="AE635" s="19" t="str">
        <f aca="false">IF(OR(V635="",NOT(ISNUMBER(V635))),"",V635*$D$3^2/(2*$H$3))</f>
        <v/>
      </c>
      <c r="AF635" s="20" t="str">
        <f aca="false">IF(OR(V635="",NOT(ISNUMBER(V635))),"",V635*$D$3^2/2*$F$3)</f>
        <v/>
      </c>
      <c r="AG635" s="19" t="str">
        <f aca="false">IF(OR(W635="",NOT(ISNUMBER(W635))),"",W635*$D$3^2/(2*$H$3))</f>
        <v/>
      </c>
      <c r="AH635" s="20" t="str">
        <f aca="false">IF(OR(W635="",NOT(ISNUMBER(W635))),"",W635*$D$3^2/2*$F$3)</f>
        <v/>
      </c>
    </row>
    <row r="636" customFormat="false" ht="15" hidden="false" customHeight="false" outlineLevel="0" collapsed="false">
      <c r="A636" s="10" t="s">
        <v>1384</v>
      </c>
      <c r="B636" s="23" t="s">
        <v>1273</v>
      </c>
      <c r="C636" s="6" t="s">
        <v>925</v>
      </c>
      <c r="D636" s="6" t="s">
        <v>1385</v>
      </c>
      <c r="E636" s="6" t="s">
        <v>1361</v>
      </c>
      <c r="F636" s="6" t="s">
        <v>1090</v>
      </c>
      <c r="G636" s="6" t="n">
        <v>315</v>
      </c>
      <c r="H636" s="6"/>
      <c r="I636" s="6"/>
      <c r="J636" s="6" t="n">
        <v>16</v>
      </c>
      <c r="K636" s="6" t="s">
        <v>1276</v>
      </c>
      <c r="L636" s="6"/>
      <c r="M636" s="6"/>
      <c r="N636" s="12" t="n">
        <v>257.8</v>
      </c>
      <c r="O636" s="12" t="n">
        <v>257.8</v>
      </c>
      <c r="P636" s="12"/>
      <c r="Q636" s="12"/>
      <c r="R636" s="14" t="n">
        <v>0.013</v>
      </c>
      <c r="S636" s="6" t="n">
        <v>16</v>
      </c>
      <c r="T636" s="6"/>
      <c r="U636" s="15" t="n">
        <f aca="false">S636*R636</f>
        <v>0.208</v>
      </c>
      <c r="V636" s="14"/>
      <c r="W636" s="14"/>
      <c r="X636" s="10" t="s">
        <v>1062</v>
      </c>
      <c r="Y636" s="16"/>
      <c r="Z636" s="17" t="s">
        <v>48</v>
      </c>
      <c r="AA636" s="6"/>
      <c r="AB636" s="18" t="n">
        <f aca="false">IF(O636="","",$D$3*PI()*(O636/1000)^2/4*3600)</f>
        <v>281.870397038799</v>
      </c>
      <c r="AC636" s="19" t="n">
        <f aca="false">IF(OR(U636="",NOT(ISNUMBER(U636))),"",U636*$D$3^2/(2*$H$3))</f>
        <v>0.0238532110091743</v>
      </c>
      <c r="AD636" s="20" t="n">
        <f aca="false">IF(OR(U636="",NOT(ISNUMBER(U636))),"",U636*$D$3^2/2*$F$3)</f>
        <v>234</v>
      </c>
      <c r="AE636" s="19" t="str">
        <f aca="false">IF(OR(V636="",NOT(ISNUMBER(V636))),"",V636*$D$3^2/(2*$H$3))</f>
        <v/>
      </c>
      <c r="AF636" s="20" t="str">
        <f aca="false">IF(OR(V636="",NOT(ISNUMBER(V636))),"",V636*$D$3^2/2*$F$3)</f>
        <v/>
      </c>
      <c r="AG636" s="19" t="str">
        <f aca="false">IF(OR(W636="",NOT(ISNUMBER(W636))),"",W636*$D$3^2/(2*$H$3))</f>
        <v/>
      </c>
      <c r="AH636" s="20" t="str">
        <f aca="false">IF(OR(W636="",NOT(ISNUMBER(W636))),"",W636*$D$3^2/2*$F$3)</f>
        <v/>
      </c>
    </row>
    <row r="637" customFormat="false" ht="15" hidden="false" customHeight="false" outlineLevel="0" collapsed="false">
      <c r="A637" s="10" t="s">
        <v>1386</v>
      </c>
      <c r="B637" s="23" t="s">
        <v>1273</v>
      </c>
      <c r="C637" s="6" t="s">
        <v>925</v>
      </c>
      <c r="D637" s="6" t="s">
        <v>1387</v>
      </c>
      <c r="E637" s="6" t="s">
        <v>1388</v>
      </c>
      <c r="F637" s="6" t="s">
        <v>68</v>
      </c>
      <c r="G637" s="6" t="n">
        <v>75</v>
      </c>
      <c r="H637" s="6" t="n">
        <v>63</v>
      </c>
      <c r="I637" s="6"/>
      <c r="J637" s="6" t="n">
        <v>10</v>
      </c>
      <c r="K637" s="6" t="s">
        <v>1276</v>
      </c>
      <c r="L637" s="6"/>
      <c r="M637" s="6"/>
      <c r="N637" s="12" t="n">
        <v>61.4</v>
      </c>
      <c r="O637" s="12" t="n">
        <v>51.4</v>
      </c>
      <c r="P637" s="12"/>
      <c r="Q637" s="12"/>
      <c r="R637" s="14" t="n">
        <v>0.018</v>
      </c>
      <c r="S637" s="6" t="n">
        <v>0</v>
      </c>
      <c r="T637" s="6" t="n">
        <v>30</v>
      </c>
      <c r="U637" s="15" t="n">
        <f aca="false">0.8*SIN(RADIANS(T637/2))*(1-(O637/N637)^2)</f>
        <v>0.0619524627053111</v>
      </c>
      <c r="V637" s="14"/>
      <c r="W637" s="15" t="n">
        <f aca="false">2.6*SIN(RADIANS(T637/2))*(1-(O637/N637)^2)^2</f>
        <v>0.0602440684457316</v>
      </c>
      <c r="X637" s="10" t="s">
        <v>996</v>
      </c>
      <c r="Y637" s="16"/>
      <c r="Z637" s="17" t="s">
        <v>48</v>
      </c>
      <c r="AA637" s="6"/>
      <c r="AB637" s="18" t="n">
        <f aca="false">IF(O637="","",$D$3*PI()*(O637/1000)^2/4*3600)</f>
        <v>11.2049488715554</v>
      </c>
      <c r="AC637" s="19" t="n">
        <f aca="false">IF(OR(U637="",NOT(ISNUMBER(U637))),"",U637*$D$3^2/(2*$H$3))</f>
        <v>0.00710464021849898</v>
      </c>
      <c r="AD637" s="20" t="n">
        <f aca="false">IF(OR(U637="",NOT(ISNUMBER(U637))),"",U637*$D$3^2/2*$F$3)</f>
        <v>69.696520543475</v>
      </c>
      <c r="AE637" s="19" t="str">
        <f aca="false">IF(OR(V637="",NOT(ISNUMBER(V637))),"",V637*$D$3^2/(2*$H$3))</f>
        <v/>
      </c>
      <c r="AF637" s="20" t="str">
        <f aca="false">IF(OR(V637="",NOT(ISNUMBER(V637))),"",V637*$D$3^2/2*$F$3)</f>
        <v/>
      </c>
      <c r="AG637" s="19" t="n">
        <f aca="false">IF(OR(W637="",NOT(ISNUMBER(W637))),"",W637*$D$3^2/(2*$H$3))</f>
        <v>0.00690872344561143</v>
      </c>
      <c r="AH637" s="20" t="n">
        <f aca="false">IF(OR(W637="",NOT(ISNUMBER(W637))),"",W637*$D$3^2/2*$F$3)</f>
        <v>67.7745770014481</v>
      </c>
    </row>
    <row r="638" customFormat="false" ht="15" hidden="false" customHeight="false" outlineLevel="0" collapsed="false">
      <c r="A638" s="10" t="s">
        <v>1389</v>
      </c>
      <c r="B638" s="23" t="s">
        <v>1273</v>
      </c>
      <c r="C638" s="6" t="s">
        <v>925</v>
      </c>
      <c r="D638" s="6" t="s">
        <v>1390</v>
      </c>
      <c r="E638" s="6" t="s">
        <v>1388</v>
      </c>
      <c r="F638" s="6" t="s">
        <v>68</v>
      </c>
      <c r="G638" s="6" t="n">
        <v>90</v>
      </c>
      <c r="H638" s="6" t="n">
        <v>50</v>
      </c>
      <c r="I638" s="6"/>
      <c r="J638" s="6" t="n">
        <v>10</v>
      </c>
      <c r="K638" s="6" t="s">
        <v>1276</v>
      </c>
      <c r="L638" s="6"/>
      <c r="M638" s="6"/>
      <c r="N638" s="12" t="n">
        <v>73.6</v>
      </c>
      <c r="O638" s="12" t="n">
        <v>40.8</v>
      </c>
      <c r="P638" s="12"/>
      <c r="Q638" s="12"/>
      <c r="R638" s="14" t="n">
        <v>0.018</v>
      </c>
      <c r="S638" s="6" t="n">
        <v>0</v>
      </c>
      <c r="T638" s="6" t="n">
        <v>30</v>
      </c>
      <c r="U638" s="15" t="n">
        <f aca="false">0.8*SIN(RADIANS(T638/2))*(1-(O638/N638)^2)</f>
        <v>0.143426848907002</v>
      </c>
      <c r="V638" s="14"/>
      <c r="W638" s="15" t="n">
        <f aca="false">2.6*SIN(RADIANS(T638/2))*(1-(O638/N638)^2)^2</f>
        <v>0.322892574339638</v>
      </c>
      <c r="X638" s="10" t="s">
        <v>996</v>
      </c>
      <c r="Y638" s="16"/>
      <c r="Z638" s="17" t="s">
        <v>48</v>
      </c>
      <c r="AA638" s="6"/>
      <c r="AB638" s="18" t="n">
        <f aca="false">IF(O638="","",$D$3*PI()*(O638/1000)^2/4*3600)</f>
        <v>7.05998807307681</v>
      </c>
      <c r="AC638" s="19" t="n">
        <f aca="false">IF(OR(U638="",NOT(ISNUMBER(U638))),"",U638*$D$3^2/(2*$H$3))</f>
        <v>0.0164480331315369</v>
      </c>
      <c r="AD638" s="20" t="n">
        <f aca="false">IF(OR(U638="",NOT(ISNUMBER(U638))),"",U638*$D$3^2/2*$F$3)</f>
        <v>161.355205020377</v>
      </c>
      <c r="AE638" s="19" t="str">
        <f aca="false">IF(OR(V638="",NOT(ISNUMBER(V638))),"",V638*$D$3^2/(2*$H$3))</f>
        <v/>
      </c>
      <c r="AF638" s="20" t="str">
        <f aca="false">IF(OR(V638="",NOT(ISNUMBER(V638))),"",V638*$D$3^2/2*$F$3)</f>
        <v/>
      </c>
      <c r="AG638" s="19" t="n">
        <f aca="false">IF(OR(W638="",NOT(ISNUMBER(W638))),"",W638*$D$3^2/(2*$H$3))</f>
        <v>0.0370289649472061</v>
      </c>
      <c r="AH638" s="20" t="n">
        <f aca="false">IF(OR(W638="",NOT(ISNUMBER(W638))),"",W638*$D$3^2/2*$F$3)</f>
        <v>363.254146132092</v>
      </c>
    </row>
    <row r="639" customFormat="false" ht="15" hidden="false" customHeight="false" outlineLevel="0" collapsed="false">
      <c r="A639" s="10" t="s">
        <v>1391</v>
      </c>
      <c r="B639" s="23" t="s">
        <v>1273</v>
      </c>
      <c r="C639" s="6" t="s">
        <v>925</v>
      </c>
      <c r="D639" s="6" t="s">
        <v>1392</v>
      </c>
      <c r="E639" s="6" t="s">
        <v>1388</v>
      </c>
      <c r="F639" s="6" t="s">
        <v>68</v>
      </c>
      <c r="G639" s="6" t="n">
        <v>90</v>
      </c>
      <c r="H639" s="6" t="n">
        <v>63</v>
      </c>
      <c r="I639" s="6"/>
      <c r="J639" s="6" t="n">
        <v>10</v>
      </c>
      <c r="K639" s="6" t="s">
        <v>1276</v>
      </c>
      <c r="L639" s="6"/>
      <c r="M639" s="6"/>
      <c r="N639" s="12" t="n">
        <v>73.6</v>
      </c>
      <c r="O639" s="12" t="n">
        <v>51.4</v>
      </c>
      <c r="P639" s="12"/>
      <c r="Q639" s="12"/>
      <c r="R639" s="14" t="n">
        <v>0.018</v>
      </c>
      <c r="S639" s="6" t="n">
        <v>0</v>
      </c>
      <c r="T639" s="6" t="n">
        <v>30</v>
      </c>
      <c r="U639" s="15" t="n">
        <f aca="false">0.8*SIN(RADIANS(T639/2))*(1-(O639/N639)^2)</f>
        <v>0.106070246065615</v>
      </c>
      <c r="V639" s="14"/>
      <c r="W639" s="15" t="n">
        <f aca="false">2.6*SIN(RADIANS(T639/2))*(1-(O639/N639)^2)^2</f>
        <v>0.176597396271021</v>
      </c>
      <c r="X639" s="10" t="s">
        <v>996</v>
      </c>
      <c r="Y639" s="16"/>
      <c r="Z639" s="17" t="s">
        <v>48</v>
      </c>
      <c r="AA639" s="6"/>
      <c r="AB639" s="18" t="n">
        <f aca="false">IF(O639="","",$D$3*PI()*(O639/1000)^2/4*3600)</f>
        <v>11.2049488715554</v>
      </c>
      <c r="AC639" s="19" t="n">
        <f aca="false">IF(OR(U639="",NOT(ISNUMBER(U639))),"",U639*$D$3^2/(2*$H$3))</f>
        <v>0.0121640190442219</v>
      </c>
      <c r="AD639" s="20" t="n">
        <f aca="false">IF(OR(U639="",NOT(ISNUMBER(U639))),"",U639*$D$3^2/2*$F$3)</f>
        <v>119.329026823817</v>
      </c>
      <c r="AE639" s="19" t="str">
        <f aca="false">IF(OR(V639="",NOT(ISNUMBER(V639))),"",V639*$D$3^2/(2*$H$3))</f>
        <v/>
      </c>
      <c r="AF639" s="20" t="str">
        <f aca="false">IF(OR(V639="",NOT(ISNUMBER(V639))),"",V639*$D$3^2/2*$F$3)</f>
        <v/>
      </c>
      <c r="AG639" s="19" t="n">
        <f aca="false">IF(OR(W639="",NOT(ISNUMBER(W639))),"",W639*$D$3^2/(2*$H$3))</f>
        <v>0.0202519949852088</v>
      </c>
      <c r="AH639" s="20" t="n">
        <f aca="false">IF(OR(W639="",NOT(ISNUMBER(W639))),"",W639*$D$3^2/2*$F$3)</f>
        <v>198.672070804898</v>
      </c>
    </row>
    <row r="640" customFormat="false" ht="15" hidden="false" customHeight="false" outlineLevel="0" collapsed="false">
      <c r="A640" s="10" t="s">
        <v>1393</v>
      </c>
      <c r="B640" s="23" t="s">
        <v>1273</v>
      </c>
      <c r="C640" s="6" t="s">
        <v>925</v>
      </c>
      <c r="D640" s="6" t="s">
        <v>1394</v>
      </c>
      <c r="E640" s="6" t="s">
        <v>1388</v>
      </c>
      <c r="F640" s="6" t="s">
        <v>68</v>
      </c>
      <c r="G640" s="6" t="n">
        <v>90</v>
      </c>
      <c r="H640" s="6" t="n">
        <v>75</v>
      </c>
      <c r="I640" s="6"/>
      <c r="J640" s="6" t="n">
        <v>10</v>
      </c>
      <c r="K640" s="6" t="s">
        <v>1276</v>
      </c>
      <c r="L640" s="6"/>
      <c r="M640" s="6"/>
      <c r="N640" s="12" t="n">
        <v>73.6</v>
      </c>
      <c r="O640" s="12" t="n">
        <v>61.4</v>
      </c>
      <c r="P640" s="12"/>
      <c r="Q640" s="12"/>
      <c r="R640" s="14" t="n">
        <v>0.018</v>
      </c>
      <c r="S640" s="6" t="n">
        <v>0</v>
      </c>
      <c r="T640" s="6" t="n">
        <v>30</v>
      </c>
      <c r="U640" s="15" t="n">
        <f aca="false">0.8*SIN(RADIANS(T640/2))*(1-(O640/N640)^2)</f>
        <v>0.0629541244216463</v>
      </c>
      <c r="V640" s="14"/>
      <c r="W640" s="15" t="n">
        <f aca="false">2.6*SIN(RADIANS(T640/2))*(1-(O640/N640)^2)^2</f>
        <v>0.0622078969565895</v>
      </c>
      <c r="X640" s="10" t="s">
        <v>996</v>
      </c>
      <c r="Y640" s="16"/>
      <c r="Z640" s="17" t="s">
        <v>48</v>
      </c>
      <c r="AA640" s="6"/>
      <c r="AB640" s="18" t="n">
        <f aca="false">IF(O640="","",$D$3*PI()*(O640/1000)^2/4*3600)</f>
        <v>15.988966164442</v>
      </c>
      <c r="AC640" s="19" t="n">
        <f aca="false">IF(OR(U640="",NOT(ISNUMBER(U640))),"",U640*$D$3^2/(2*$H$3))</f>
        <v>0.00721950968138146</v>
      </c>
      <c r="AD640" s="20" t="n">
        <f aca="false">IF(OR(U640="",NOT(ISNUMBER(U640))),"",U640*$D$3^2/2*$F$3)</f>
        <v>70.8233899743521</v>
      </c>
      <c r="AE640" s="19" t="str">
        <f aca="false">IF(OR(V640="",NOT(ISNUMBER(V640))),"",V640*$D$3^2/(2*$H$3))</f>
        <v/>
      </c>
      <c r="AF640" s="20" t="str">
        <f aca="false">IF(OR(V640="",NOT(ISNUMBER(V640))),"",V640*$D$3^2/2*$F$3)</f>
        <v/>
      </c>
      <c r="AG640" s="19" t="n">
        <f aca="false">IF(OR(W640="",NOT(ISNUMBER(W640))),"",W640*$D$3^2/(2*$H$3))</f>
        <v>0.00713393313722357</v>
      </c>
      <c r="AH640" s="20" t="n">
        <f aca="false">IF(OR(W640="",NOT(ISNUMBER(W640))),"",W640*$D$3^2/2*$F$3)</f>
        <v>69.9838840761632</v>
      </c>
    </row>
    <row r="641" customFormat="false" ht="15" hidden="false" customHeight="false" outlineLevel="0" collapsed="false">
      <c r="A641" s="10" t="s">
        <v>1395</v>
      </c>
      <c r="B641" s="23" t="s">
        <v>1273</v>
      </c>
      <c r="C641" s="6" t="s">
        <v>925</v>
      </c>
      <c r="D641" s="6" t="s">
        <v>1396</v>
      </c>
      <c r="E641" s="6" t="s">
        <v>1388</v>
      </c>
      <c r="F641" s="6" t="s">
        <v>68</v>
      </c>
      <c r="G641" s="6" t="n">
        <v>110</v>
      </c>
      <c r="H641" s="6" t="n">
        <v>63</v>
      </c>
      <c r="I641" s="6"/>
      <c r="J641" s="6" t="n">
        <v>10</v>
      </c>
      <c r="K641" s="6" t="s">
        <v>1276</v>
      </c>
      <c r="L641" s="6"/>
      <c r="M641" s="6"/>
      <c r="N641" s="12" t="n">
        <v>90</v>
      </c>
      <c r="O641" s="12" t="n">
        <v>51.4</v>
      </c>
      <c r="P641" s="12"/>
      <c r="Q641" s="12"/>
      <c r="R641" s="14" t="n">
        <v>0.017</v>
      </c>
      <c r="S641" s="6" t="n">
        <v>0</v>
      </c>
      <c r="T641" s="6" t="n">
        <v>30</v>
      </c>
      <c r="U641" s="15" t="n">
        <f aca="false">0.8*SIN(RADIANS(T641/2))*(1-(O641/N641)^2)</f>
        <v>0.139520464289517</v>
      </c>
      <c r="V641" s="14"/>
      <c r="W641" s="15" t="n">
        <f aca="false">2.6*SIN(RADIANS(T641/2))*(1-(O641/N641)^2)^2</f>
        <v>0.305543443637032</v>
      </c>
      <c r="X641" s="10" t="s">
        <v>996</v>
      </c>
      <c r="Y641" s="16"/>
      <c r="Z641" s="17" t="s">
        <v>48</v>
      </c>
      <c r="AA641" s="6"/>
      <c r="AB641" s="18" t="n">
        <f aca="false">IF(O641="","",$D$3*PI()*(O641/1000)^2/4*3600)</f>
        <v>11.2049488715554</v>
      </c>
      <c r="AC641" s="19" t="n">
        <f aca="false">IF(OR(U641="",NOT(ISNUMBER(U641))),"",U641*$D$3^2/(2*$H$3))</f>
        <v>0.0160000532442107</v>
      </c>
      <c r="AD641" s="20" t="n">
        <f aca="false">IF(OR(U641="",NOT(ISNUMBER(U641))),"",U641*$D$3^2/2*$F$3)</f>
        <v>156.960522325707</v>
      </c>
      <c r="AE641" s="19" t="str">
        <f aca="false">IF(OR(V641="",NOT(ISNUMBER(V641))),"",V641*$D$3^2/(2*$H$3))</f>
        <v/>
      </c>
      <c r="AF641" s="20" t="str">
        <f aca="false">IF(OR(V641="",NOT(ISNUMBER(V641))),"",V641*$D$3^2/2*$F$3)</f>
        <v/>
      </c>
      <c r="AG641" s="19" t="n">
        <f aca="false">IF(OR(W641="",NOT(ISNUMBER(W641))),"",W641*$D$3^2/(2*$H$3))</f>
        <v>0.0350393857381917</v>
      </c>
      <c r="AH641" s="20" t="n">
        <f aca="false">IF(OR(W641="",NOT(ISNUMBER(W641))),"",W641*$D$3^2/2*$F$3)</f>
        <v>343.736374091661</v>
      </c>
    </row>
    <row r="642" customFormat="false" ht="15" hidden="false" customHeight="false" outlineLevel="0" collapsed="false">
      <c r="A642" s="10" t="s">
        <v>1397</v>
      </c>
      <c r="B642" s="23" t="s">
        <v>1273</v>
      </c>
      <c r="C642" s="6" t="s">
        <v>925</v>
      </c>
      <c r="D642" s="6" t="s">
        <v>1398</v>
      </c>
      <c r="E642" s="6" t="s">
        <v>1388</v>
      </c>
      <c r="F642" s="6" t="s">
        <v>68</v>
      </c>
      <c r="G642" s="6" t="n">
        <v>110</v>
      </c>
      <c r="H642" s="6" t="n">
        <v>75</v>
      </c>
      <c r="I642" s="6"/>
      <c r="J642" s="6" t="n">
        <v>10</v>
      </c>
      <c r="K642" s="6" t="s">
        <v>1276</v>
      </c>
      <c r="L642" s="6"/>
      <c r="M642" s="6"/>
      <c r="N642" s="12" t="n">
        <v>90</v>
      </c>
      <c r="O642" s="12" t="n">
        <v>61.4</v>
      </c>
      <c r="P642" s="12"/>
      <c r="Q642" s="12"/>
      <c r="R642" s="14" t="n">
        <v>0.017</v>
      </c>
      <c r="S642" s="6" t="n">
        <v>0</v>
      </c>
      <c r="T642" s="6" t="n">
        <v>30</v>
      </c>
      <c r="U642" s="15" t="n">
        <f aca="false">0.8*SIN(RADIANS(T642/2))*(1-(O642/N642)^2)</f>
        <v>0.110686105486985</v>
      </c>
      <c r="V642" s="14"/>
      <c r="W642" s="15" t="n">
        <f aca="false">2.6*SIN(RADIANS(T642/2))*(1-(O642/N642)^2)^2</f>
        <v>0.192301803538186</v>
      </c>
      <c r="X642" s="10" t="s">
        <v>996</v>
      </c>
      <c r="Y642" s="16"/>
      <c r="Z642" s="17" t="s">
        <v>48</v>
      </c>
      <c r="AA642" s="6"/>
      <c r="AB642" s="18" t="n">
        <f aca="false">IF(O642="","",$D$3*PI()*(O642/1000)^2/4*3600)</f>
        <v>15.988966164442</v>
      </c>
      <c r="AC642" s="19" t="n">
        <f aca="false">IF(OR(U642="",NOT(ISNUMBER(U642))),"",U642*$D$3^2/(2*$H$3))</f>
        <v>0.0126933607209845</v>
      </c>
      <c r="AD642" s="20" t="n">
        <f aca="false">IF(OR(U642="",NOT(ISNUMBER(U642))),"",U642*$D$3^2/2*$F$3)</f>
        <v>124.521868672858</v>
      </c>
      <c r="AE642" s="19" t="str">
        <f aca="false">IF(OR(V642="",NOT(ISNUMBER(V642))),"",V642*$D$3^2/(2*$H$3))</f>
        <v/>
      </c>
      <c r="AF642" s="20" t="str">
        <f aca="false">IF(OR(V642="",NOT(ISNUMBER(V642))),"",V642*$D$3^2/2*$F$3)</f>
        <v/>
      </c>
      <c r="AG642" s="19" t="n">
        <f aca="false">IF(OR(W642="",NOT(ISNUMBER(W642))),"",W642*$D$3^2/(2*$H$3))</f>
        <v>0.0220529591213516</v>
      </c>
      <c r="AH642" s="20" t="n">
        <f aca="false">IF(OR(W642="",NOT(ISNUMBER(W642))),"",W642*$D$3^2/2*$F$3)</f>
        <v>216.339528980459</v>
      </c>
    </row>
    <row r="643" customFormat="false" ht="15" hidden="false" customHeight="false" outlineLevel="0" collapsed="false">
      <c r="A643" s="10" t="s">
        <v>1399</v>
      </c>
      <c r="B643" s="23" t="s">
        <v>1273</v>
      </c>
      <c r="C643" s="6" t="s">
        <v>925</v>
      </c>
      <c r="D643" s="6" t="s">
        <v>1400</v>
      </c>
      <c r="E643" s="6" t="s">
        <v>1388</v>
      </c>
      <c r="F643" s="6" t="s">
        <v>68</v>
      </c>
      <c r="G643" s="6" t="n">
        <v>110</v>
      </c>
      <c r="H643" s="6" t="n">
        <v>90</v>
      </c>
      <c r="I643" s="6"/>
      <c r="J643" s="6" t="n">
        <v>10</v>
      </c>
      <c r="K643" s="6" t="s">
        <v>1276</v>
      </c>
      <c r="L643" s="6"/>
      <c r="M643" s="6"/>
      <c r="N643" s="12" t="n">
        <v>90</v>
      </c>
      <c r="O643" s="12" t="n">
        <v>73.6</v>
      </c>
      <c r="P643" s="12"/>
      <c r="Q643" s="12"/>
      <c r="R643" s="14" t="n">
        <v>0.017</v>
      </c>
      <c r="S643" s="6" t="n">
        <v>0</v>
      </c>
      <c r="T643" s="6" t="n">
        <v>30</v>
      </c>
      <c r="U643" s="15" t="n">
        <f aca="false">0.8*SIN(RADIANS(T643/2))*(1-(O643/N643)^2)</f>
        <v>0.0685848741503079</v>
      </c>
      <c r="V643" s="14"/>
      <c r="W643" s="15" t="n">
        <f aca="false">2.6*SIN(RADIANS(T643/2))*(1-(O643/N643)^2)^2</f>
        <v>0.0738335644945416</v>
      </c>
      <c r="X643" s="10" t="s">
        <v>996</v>
      </c>
      <c r="Y643" s="16"/>
      <c r="Z643" s="17" t="s">
        <v>48</v>
      </c>
      <c r="AA643" s="6"/>
      <c r="AB643" s="18" t="n">
        <f aca="false">IF(O643="","",$D$3*PI()*(O643/1000)^2/4*3600)</f>
        <v>22.9741403500662</v>
      </c>
      <c r="AC643" s="19" t="n">
        <f aca="false">IF(OR(U643="",NOT(ISNUMBER(U643))),"",U643*$D$3^2/(2*$H$3))</f>
        <v>0.00786523786127384</v>
      </c>
      <c r="AD643" s="20" t="n">
        <f aca="false">IF(OR(U643="",NOT(ISNUMBER(U643))),"",U643*$D$3^2/2*$F$3)</f>
        <v>77.1579834190964</v>
      </c>
      <c r="AE643" s="19" t="str">
        <f aca="false">IF(OR(V643="",NOT(ISNUMBER(V643))),"",V643*$D$3^2/(2*$H$3))</f>
        <v/>
      </c>
      <c r="AF643" s="20" t="str">
        <f aca="false">IF(OR(V643="",NOT(ISNUMBER(V643))),"",V643*$D$3^2/2*$F$3)</f>
        <v/>
      </c>
      <c r="AG643" s="19" t="n">
        <f aca="false">IF(OR(W643="",NOT(ISNUMBER(W643))),"",W643*$D$3^2/(2*$H$3))</f>
        <v>0.00846715189157587</v>
      </c>
      <c r="AH643" s="20" t="n">
        <f aca="false">IF(OR(W643="",NOT(ISNUMBER(W643))),"",W643*$D$3^2/2*$F$3)</f>
        <v>83.0627600563593</v>
      </c>
    </row>
    <row r="644" customFormat="false" ht="15" hidden="false" customHeight="false" outlineLevel="0" collapsed="false">
      <c r="A644" s="10" t="s">
        <v>1401</v>
      </c>
      <c r="B644" s="23" t="s">
        <v>1273</v>
      </c>
      <c r="C644" s="6" t="s">
        <v>925</v>
      </c>
      <c r="D644" s="6" t="s">
        <v>1402</v>
      </c>
      <c r="E644" s="6" t="s">
        <v>1388</v>
      </c>
      <c r="F644" s="6" t="s">
        <v>68</v>
      </c>
      <c r="G644" s="6" t="n">
        <v>125</v>
      </c>
      <c r="H644" s="6" t="n">
        <v>63</v>
      </c>
      <c r="I644" s="6"/>
      <c r="J644" s="6" t="n">
        <v>10</v>
      </c>
      <c r="K644" s="6" t="s">
        <v>1276</v>
      </c>
      <c r="L644" s="6"/>
      <c r="M644" s="6"/>
      <c r="N644" s="12" t="n">
        <v>102.2</v>
      </c>
      <c r="O644" s="12" t="n">
        <v>51.4</v>
      </c>
      <c r="P644" s="12"/>
      <c r="Q644" s="12"/>
      <c r="R644" s="14" t="n">
        <v>0.016</v>
      </c>
      <c r="S644" s="6" t="n">
        <v>0</v>
      </c>
      <c r="T644" s="6" t="n">
        <v>30</v>
      </c>
      <c r="U644" s="15" t="n">
        <f aca="false">0.8*SIN(RADIANS(T644/2))*(1-(O644/N644)^2)</f>
        <v>0.154681848694633</v>
      </c>
      <c r="V644" s="14"/>
      <c r="W644" s="15" t="n">
        <f aca="false">2.6*SIN(RADIANS(T644/2))*(1-(O644/N644)^2)^2</f>
        <v>0.375556991443882</v>
      </c>
      <c r="X644" s="10" t="s">
        <v>996</v>
      </c>
      <c r="Y644" s="16"/>
      <c r="Z644" s="17" t="s">
        <v>48</v>
      </c>
      <c r="AA644" s="6"/>
      <c r="AB644" s="18" t="n">
        <f aca="false">IF(O644="","",$D$3*PI()*(O644/1000)^2/4*3600)</f>
        <v>11.2049488715554</v>
      </c>
      <c r="AC644" s="19" t="n">
        <f aca="false">IF(OR(U644="",NOT(ISNUMBER(U644))),"",U644*$D$3^2/(2*$H$3))</f>
        <v>0.0177387441163569</v>
      </c>
      <c r="AD644" s="20" t="n">
        <f aca="false">IF(OR(U644="",NOT(ISNUMBER(U644))),"",U644*$D$3^2/2*$F$3)</f>
        <v>174.017079781462</v>
      </c>
      <c r="AE644" s="19" t="str">
        <f aca="false">IF(OR(V644="",NOT(ISNUMBER(V644))),"",V644*$D$3^2/(2*$H$3))</f>
        <v/>
      </c>
      <c r="AF644" s="20" t="str">
        <f aca="false">IF(OR(V644="",NOT(ISNUMBER(V644))),"",V644*$D$3^2/2*$F$3)</f>
        <v/>
      </c>
      <c r="AG644" s="19" t="n">
        <f aca="false">IF(OR(W644="",NOT(ISNUMBER(W644))),"",W644*$D$3^2/(2*$H$3))</f>
        <v>0.0430684623215461</v>
      </c>
      <c r="AH644" s="20" t="n">
        <f aca="false">IF(OR(W644="",NOT(ISNUMBER(W644))),"",W644*$D$3^2/2*$F$3)</f>
        <v>422.501615374367</v>
      </c>
    </row>
    <row r="645" customFormat="false" ht="15" hidden="false" customHeight="false" outlineLevel="0" collapsed="false">
      <c r="A645" s="10" t="s">
        <v>1403</v>
      </c>
      <c r="B645" s="23" t="s">
        <v>1273</v>
      </c>
      <c r="C645" s="6" t="s">
        <v>925</v>
      </c>
      <c r="D645" s="6" t="s">
        <v>1404</v>
      </c>
      <c r="E645" s="6" t="s">
        <v>1388</v>
      </c>
      <c r="F645" s="6" t="s">
        <v>68</v>
      </c>
      <c r="G645" s="6" t="n">
        <v>125</v>
      </c>
      <c r="H645" s="6" t="n">
        <v>75</v>
      </c>
      <c r="I645" s="6"/>
      <c r="J645" s="6" t="n">
        <v>10</v>
      </c>
      <c r="K645" s="6" t="s">
        <v>1276</v>
      </c>
      <c r="L645" s="6"/>
      <c r="M645" s="6"/>
      <c r="N645" s="12" t="n">
        <v>102.2</v>
      </c>
      <c r="O645" s="12" t="n">
        <v>61.4</v>
      </c>
      <c r="P645" s="12"/>
      <c r="Q645" s="12"/>
      <c r="R645" s="14" t="n">
        <v>0.016</v>
      </c>
      <c r="S645" s="6" t="n">
        <v>0</v>
      </c>
      <c r="T645" s="6" t="n">
        <v>30</v>
      </c>
      <c r="U645" s="15" t="n">
        <f aca="false">0.8*SIN(RADIANS(T645/2))*(1-(O645/N645)^2)</f>
        <v>0.132320730065672</v>
      </c>
      <c r="V645" s="14"/>
      <c r="W645" s="15" t="n">
        <f aca="false">2.6*SIN(RADIANS(T645/2))*(1-(O645/N645)^2)^2</f>
        <v>0.274822901334768</v>
      </c>
      <c r="X645" s="10" t="s">
        <v>996</v>
      </c>
      <c r="Y645" s="16"/>
      <c r="Z645" s="17" t="s">
        <v>48</v>
      </c>
      <c r="AA645" s="6"/>
      <c r="AB645" s="18" t="n">
        <f aca="false">IF(O645="","",$D$3*PI()*(O645/1000)^2/4*3600)</f>
        <v>15.988966164442</v>
      </c>
      <c r="AC645" s="19" t="n">
        <f aca="false">IF(OR(U645="",NOT(ISNUMBER(U645))),"",U645*$D$3^2/(2*$H$3))</f>
        <v>0.015174395649733</v>
      </c>
      <c r="AD645" s="20" t="n">
        <f aca="false">IF(OR(U645="",NOT(ISNUMBER(U645))),"",U645*$D$3^2/2*$F$3)</f>
        <v>148.860821323881</v>
      </c>
      <c r="AE645" s="19" t="str">
        <f aca="false">IF(OR(V645="",NOT(ISNUMBER(V645))),"",V645*$D$3^2/(2*$H$3))</f>
        <v/>
      </c>
      <c r="AF645" s="20" t="str">
        <f aca="false">IF(OR(V645="",NOT(ISNUMBER(V645))),"",V645*$D$3^2/2*$F$3)</f>
        <v/>
      </c>
      <c r="AG645" s="19" t="n">
        <f aca="false">IF(OR(W645="",NOT(ISNUMBER(W645))),"",W645*$D$3^2/(2*$H$3))</f>
        <v>0.0315163877677486</v>
      </c>
      <c r="AH645" s="20" t="n">
        <f aca="false">IF(OR(W645="",NOT(ISNUMBER(W645))),"",W645*$D$3^2/2*$F$3)</f>
        <v>309.175764001614</v>
      </c>
    </row>
    <row r="646" customFormat="false" ht="15" hidden="false" customHeight="false" outlineLevel="0" collapsed="false">
      <c r="A646" s="10" t="s">
        <v>1405</v>
      </c>
      <c r="B646" s="23" t="s">
        <v>1273</v>
      </c>
      <c r="C646" s="6" t="s">
        <v>925</v>
      </c>
      <c r="D646" s="6" t="s">
        <v>1406</v>
      </c>
      <c r="E646" s="6" t="s">
        <v>1388</v>
      </c>
      <c r="F646" s="6" t="s">
        <v>68</v>
      </c>
      <c r="G646" s="6" t="n">
        <v>125</v>
      </c>
      <c r="H646" s="6" t="n">
        <v>90</v>
      </c>
      <c r="I646" s="6"/>
      <c r="J646" s="6" t="n">
        <v>10</v>
      </c>
      <c r="K646" s="6" t="s">
        <v>1276</v>
      </c>
      <c r="L646" s="6"/>
      <c r="M646" s="6"/>
      <c r="N646" s="12" t="n">
        <v>102.2</v>
      </c>
      <c r="O646" s="12" t="n">
        <v>73.6</v>
      </c>
      <c r="P646" s="12"/>
      <c r="Q646" s="12"/>
      <c r="R646" s="14" t="n">
        <v>0.016</v>
      </c>
      <c r="S646" s="6" t="n">
        <v>0</v>
      </c>
      <c r="T646" s="6" t="n">
        <v>30</v>
      </c>
      <c r="U646" s="15" t="n">
        <f aca="false">0.8*SIN(RADIANS(T646/2))*(1-(O646/N646)^2)</f>
        <v>0.0996711180249817</v>
      </c>
      <c r="V646" s="14"/>
      <c r="W646" s="15" t="n">
        <f aca="false">2.6*SIN(RADIANS(T646/2))*(1-(O646/N646)^2)^2</f>
        <v>0.155932198857062</v>
      </c>
      <c r="X646" s="10" t="s">
        <v>996</v>
      </c>
      <c r="Y646" s="16"/>
      <c r="Z646" s="17" t="s">
        <v>48</v>
      </c>
      <c r="AA646" s="6"/>
      <c r="AB646" s="18" t="n">
        <f aca="false">IF(O646="","",$D$3*PI()*(O646/1000)^2/4*3600)</f>
        <v>22.9741403500662</v>
      </c>
      <c r="AC646" s="19" t="n">
        <f aca="false">IF(OR(U646="",NOT(ISNUMBER(U646))),"",U646*$D$3^2/(2*$H$3))</f>
        <v>0.0114301740854337</v>
      </c>
      <c r="AD646" s="20" t="n">
        <f aca="false">IF(OR(U646="",NOT(ISNUMBER(U646))),"",U646*$D$3^2/2*$F$3)</f>
        <v>112.130007778104</v>
      </c>
      <c r="AE646" s="19" t="str">
        <f aca="false">IF(OR(V646="",NOT(ISNUMBER(V646))),"",V646*$D$3^2/(2*$H$3))</f>
        <v/>
      </c>
      <c r="AF646" s="20" t="str">
        <f aca="false">IF(OR(V646="",NOT(ISNUMBER(V646))),"",V646*$D$3^2/2*$F$3)</f>
        <v/>
      </c>
      <c r="AG646" s="19" t="n">
        <f aca="false">IF(OR(W646="",NOT(ISNUMBER(W646))),"",W646*$D$3^2/(2*$H$3))</f>
        <v>0.0178821328964521</v>
      </c>
      <c r="AH646" s="20" t="n">
        <f aca="false">IF(OR(W646="",NOT(ISNUMBER(W646))),"",W646*$D$3^2/2*$F$3)</f>
        <v>175.423723714195</v>
      </c>
    </row>
    <row r="647" customFormat="false" ht="15" hidden="false" customHeight="false" outlineLevel="0" collapsed="false">
      <c r="A647" s="10" t="s">
        <v>1407</v>
      </c>
      <c r="B647" s="23" t="s">
        <v>1273</v>
      </c>
      <c r="C647" s="6" t="s">
        <v>925</v>
      </c>
      <c r="D647" s="6" t="s">
        <v>1408</v>
      </c>
      <c r="E647" s="6" t="s">
        <v>1388</v>
      </c>
      <c r="F647" s="6" t="s">
        <v>68</v>
      </c>
      <c r="G647" s="6" t="n">
        <v>125</v>
      </c>
      <c r="H647" s="6" t="n">
        <v>110</v>
      </c>
      <c r="I647" s="6"/>
      <c r="J647" s="6" t="n">
        <v>10</v>
      </c>
      <c r="K647" s="6" t="s">
        <v>1276</v>
      </c>
      <c r="L647" s="6"/>
      <c r="M647" s="6"/>
      <c r="N647" s="12" t="n">
        <v>102.2</v>
      </c>
      <c r="O647" s="12" t="n">
        <v>90</v>
      </c>
      <c r="P647" s="12"/>
      <c r="Q647" s="12"/>
      <c r="R647" s="14" t="n">
        <v>0.016</v>
      </c>
      <c r="S647" s="6" t="n">
        <v>0</v>
      </c>
      <c r="T647" s="6" t="n">
        <v>30</v>
      </c>
      <c r="U647" s="15" t="n">
        <f aca="false">0.8*SIN(RADIANS(T647/2))*(1-(O647/N647)^2)</f>
        <v>0.0464833735868195</v>
      </c>
      <c r="V647" s="14"/>
      <c r="W647" s="15" t="n">
        <f aca="false">2.6*SIN(RADIANS(T647/2))*(1-(O647/N647)^2)^2</f>
        <v>0.0339150470083107</v>
      </c>
      <c r="X647" s="10" t="s">
        <v>996</v>
      </c>
      <c r="Y647" s="16"/>
      <c r="Z647" s="17" t="s">
        <v>48</v>
      </c>
      <c r="AA647" s="6"/>
      <c r="AB647" s="18" t="n">
        <f aca="false">IF(O647="","",$D$3*PI()*(O647/1000)^2/4*3600)</f>
        <v>34.3533156670044</v>
      </c>
      <c r="AC647" s="19" t="n">
        <f aca="false">IF(OR(U647="",NOT(ISNUMBER(U647))),"",U647*$D$3^2/(2*$H$3))</f>
        <v>0.00533066210858022</v>
      </c>
      <c r="AD647" s="20" t="n">
        <f aca="false">IF(OR(U647="",NOT(ISNUMBER(U647))),"",U647*$D$3^2/2*$F$3)</f>
        <v>52.293795285172</v>
      </c>
      <c r="AE647" s="19" t="str">
        <f aca="false">IF(OR(V647="",NOT(ISNUMBER(V647))),"",V647*$D$3^2/(2*$H$3))</f>
        <v/>
      </c>
      <c r="AF647" s="20" t="str">
        <f aca="false">IF(OR(V647="",NOT(ISNUMBER(V647))),"",V647*$D$3^2/2*$F$3)</f>
        <v/>
      </c>
      <c r="AG647" s="19" t="n">
        <f aca="false">IF(OR(W647="",NOT(ISNUMBER(W647))),"",W647*$D$3^2/(2*$H$3))</f>
        <v>0.00388934025324663</v>
      </c>
      <c r="AH647" s="20" t="n">
        <f aca="false">IF(OR(W647="",NOT(ISNUMBER(W647))),"",W647*$D$3^2/2*$F$3)</f>
        <v>38.1544278843495</v>
      </c>
    </row>
    <row r="648" customFormat="false" ht="15" hidden="false" customHeight="false" outlineLevel="0" collapsed="false">
      <c r="A648" s="10" t="s">
        <v>1409</v>
      </c>
      <c r="B648" s="23" t="s">
        <v>1273</v>
      </c>
      <c r="C648" s="6" t="s">
        <v>925</v>
      </c>
      <c r="D648" s="6" t="s">
        <v>1410</v>
      </c>
      <c r="E648" s="6" t="s">
        <v>1388</v>
      </c>
      <c r="F648" s="6" t="s">
        <v>68</v>
      </c>
      <c r="G648" s="6" t="n">
        <v>140</v>
      </c>
      <c r="H648" s="6" t="n">
        <v>110</v>
      </c>
      <c r="I648" s="6"/>
      <c r="J648" s="6" t="n">
        <v>10</v>
      </c>
      <c r="K648" s="6" t="s">
        <v>1276</v>
      </c>
      <c r="L648" s="6"/>
      <c r="M648" s="6"/>
      <c r="N648" s="12" t="n">
        <v>114.6</v>
      </c>
      <c r="O648" s="12" t="n">
        <v>90</v>
      </c>
      <c r="P648" s="12"/>
      <c r="Q648" s="12"/>
      <c r="R648" s="14" t="n">
        <v>0.016</v>
      </c>
      <c r="S648" s="6" t="n">
        <v>0</v>
      </c>
      <c r="T648" s="6" t="n">
        <v>30</v>
      </c>
      <c r="U648" s="15" t="n">
        <f aca="false">0.8*SIN(RADIANS(T648/2))*(1-(O648/N648)^2)</f>
        <v>0.0793519710441784</v>
      </c>
      <c r="V648" s="14"/>
      <c r="W648" s="15" t="n">
        <f aca="false">2.6*SIN(RADIANS(T648/2))*(1-(O648/N648)^2)^2</f>
        <v>0.0988354129080381</v>
      </c>
      <c r="X648" s="10" t="s">
        <v>996</v>
      </c>
      <c r="Y648" s="16"/>
      <c r="Z648" s="17" t="s">
        <v>48</v>
      </c>
      <c r="AA648" s="6"/>
      <c r="AB648" s="18" t="n">
        <f aca="false">IF(O648="","",$D$3*PI()*(O648/1000)^2/4*3600)</f>
        <v>34.3533156670044</v>
      </c>
      <c r="AC648" s="19" t="n">
        <f aca="false">IF(OR(U648="",NOT(ISNUMBER(U648))),"",U648*$D$3^2/(2*$H$3))</f>
        <v>0.00909999667937826</v>
      </c>
      <c r="AD648" s="20" t="n">
        <f aca="false">IF(OR(U648="",NOT(ISNUMBER(U648))),"",U648*$D$3^2/2*$F$3)</f>
        <v>89.2709674247007</v>
      </c>
      <c r="AE648" s="19" t="str">
        <f aca="false">IF(OR(V648="",NOT(ISNUMBER(V648))),"",V648*$D$3^2/(2*$H$3))</f>
        <v/>
      </c>
      <c r="AF648" s="20" t="str">
        <f aca="false">IF(OR(V648="",NOT(ISNUMBER(V648))),"",V648*$D$3^2/2*$F$3)</f>
        <v/>
      </c>
      <c r="AG648" s="19" t="n">
        <f aca="false">IF(OR(W648="",NOT(ISNUMBER(W648))),"",W648*$D$3^2/(2*$H$3))</f>
        <v>0.0113343363426649</v>
      </c>
      <c r="AH648" s="20" t="n">
        <f aca="false">IF(OR(W648="",NOT(ISNUMBER(W648))),"",W648*$D$3^2/2*$F$3)</f>
        <v>111.189839521543</v>
      </c>
    </row>
    <row r="649" customFormat="false" ht="15" hidden="false" customHeight="false" outlineLevel="0" collapsed="false">
      <c r="A649" s="10" t="s">
        <v>1411</v>
      </c>
      <c r="B649" s="23" t="s">
        <v>1273</v>
      </c>
      <c r="C649" s="6" t="s">
        <v>925</v>
      </c>
      <c r="D649" s="6" t="s">
        <v>1412</v>
      </c>
      <c r="E649" s="6" t="s">
        <v>1388</v>
      </c>
      <c r="F649" s="6" t="s">
        <v>68</v>
      </c>
      <c r="G649" s="6" t="n">
        <v>140</v>
      </c>
      <c r="H649" s="6" t="n">
        <v>125</v>
      </c>
      <c r="I649" s="6"/>
      <c r="J649" s="6" t="n">
        <v>10</v>
      </c>
      <c r="K649" s="6" t="s">
        <v>1276</v>
      </c>
      <c r="L649" s="6"/>
      <c r="M649" s="6"/>
      <c r="N649" s="12" t="n">
        <v>114.6</v>
      </c>
      <c r="O649" s="12" t="n">
        <v>102.2</v>
      </c>
      <c r="P649" s="12"/>
      <c r="Q649" s="12"/>
      <c r="R649" s="14" t="n">
        <v>0.016</v>
      </c>
      <c r="S649" s="6" t="n">
        <v>0</v>
      </c>
      <c r="T649" s="6" t="n">
        <v>30</v>
      </c>
      <c r="U649" s="15" t="n">
        <f aca="false">0.8*SIN(RADIANS(T649/2))*(1-(O649/N649)^2)</f>
        <v>0.0423836100575952</v>
      </c>
      <c r="V649" s="14"/>
      <c r="W649" s="15" t="n">
        <f aca="false">2.6*SIN(RADIANS(T649/2))*(1-(O649/N649)^2)^2</f>
        <v>0.0281963591715635</v>
      </c>
      <c r="X649" s="10" t="s">
        <v>996</v>
      </c>
      <c r="Y649" s="16"/>
      <c r="Z649" s="17" t="s">
        <v>48</v>
      </c>
      <c r="AA649" s="6"/>
      <c r="AB649" s="18" t="n">
        <f aca="false">IF(O649="","",$D$3*PI()*(O649/1000)^2/4*3600)</f>
        <v>44.2981340260931</v>
      </c>
      <c r="AC649" s="19" t="n">
        <f aca="false">IF(OR(U649="",NOT(ISNUMBER(U649))),"",U649*$D$3^2/(2*$H$3))</f>
        <v>0.00486050574054991</v>
      </c>
      <c r="AD649" s="20" t="n">
        <f aca="false">IF(OR(U649="",NOT(ISNUMBER(U649))),"",U649*$D$3^2/2*$F$3)</f>
        <v>47.6815613147946</v>
      </c>
      <c r="AE649" s="19" t="str">
        <f aca="false">IF(OR(V649="",NOT(ISNUMBER(V649))),"",V649*$D$3^2/(2*$H$3))</f>
        <v/>
      </c>
      <c r="AF649" s="20" t="str">
        <f aca="false">IF(OR(V649="",NOT(ISNUMBER(V649))),"",V649*$D$3^2/2*$F$3)</f>
        <v/>
      </c>
      <c r="AG649" s="19" t="n">
        <f aca="false">IF(OR(W649="",NOT(ISNUMBER(W649))),"",W649*$D$3^2/(2*$H$3))</f>
        <v>0.0032335274279316</v>
      </c>
      <c r="AH649" s="20" t="n">
        <f aca="false">IF(OR(W649="",NOT(ISNUMBER(W649))),"",W649*$D$3^2/2*$F$3)</f>
        <v>31.720904068009</v>
      </c>
    </row>
    <row r="650" customFormat="false" ht="15" hidden="false" customHeight="false" outlineLevel="0" collapsed="false">
      <c r="A650" s="10" t="s">
        <v>1413</v>
      </c>
      <c r="B650" s="23" t="s">
        <v>1273</v>
      </c>
      <c r="C650" s="6" t="s">
        <v>925</v>
      </c>
      <c r="D650" s="6" t="s">
        <v>1414</v>
      </c>
      <c r="E650" s="6" t="s">
        <v>1388</v>
      </c>
      <c r="F650" s="6" t="s">
        <v>68</v>
      </c>
      <c r="G650" s="6" t="n">
        <v>160</v>
      </c>
      <c r="H650" s="6" t="n">
        <v>90</v>
      </c>
      <c r="I650" s="6"/>
      <c r="J650" s="6" t="n">
        <v>10</v>
      </c>
      <c r="K650" s="6" t="s">
        <v>1276</v>
      </c>
      <c r="L650" s="6"/>
      <c r="M650" s="6"/>
      <c r="N650" s="12" t="n">
        <v>130.8</v>
      </c>
      <c r="O650" s="12" t="n">
        <v>73.6</v>
      </c>
      <c r="P650" s="12"/>
      <c r="Q650" s="12"/>
      <c r="R650" s="14" t="n">
        <v>0.015</v>
      </c>
      <c r="S650" s="6" t="n">
        <v>0</v>
      </c>
      <c r="T650" s="6" t="n">
        <v>30</v>
      </c>
      <c r="U650" s="15" t="n">
        <f aca="false">0.8*SIN(RADIANS(T650/2))*(1-(O650/N650)^2)</f>
        <v>0.141497136101724</v>
      </c>
      <c r="V650" s="14"/>
      <c r="W650" s="15" t="n">
        <f aca="false">2.6*SIN(RADIANS(T650/2))*(1-(O650/N650)^2)^2</f>
        <v>0.314262414645925</v>
      </c>
      <c r="X650" s="10" t="s">
        <v>996</v>
      </c>
      <c r="Y650" s="16"/>
      <c r="Z650" s="17" t="s">
        <v>48</v>
      </c>
      <c r="AA650" s="6"/>
      <c r="AB650" s="18" t="n">
        <f aca="false">IF(O650="","",$D$3*PI()*(O650/1000)^2/4*3600)</f>
        <v>22.9741403500662</v>
      </c>
      <c r="AC650" s="19" t="n">
        <f aca="false">IF(OR(U650="",NOT(ISNUMBER(U650))),"",U650*$D$3^2/(2*$H$3))</f>
        <v>0.0162267357914821</v>
      </c>
      <c r="AD650" s="20" t="n">
        <f aca="false">IF(OR(U650="",NOT(ISNUMBER(U650))),"",U650*$D$3^2/2*$F$3)</f>
        <v>159.184278114439</v>
      </c>
      <c r="AE650" s="19" t="str">
        <f aca="false">IF(OR(V650="",NOT(ISNUMBER(V650))),"",V650*$D$3^2/(2*$H$3))</f>
        <v/>
      </c>
      <c r="AF650" s="20" t="str">
        <f aca="false">IF(OR(V650="",NOT(ISNUMBER(V650))),"",V650*$D$3^2/2*$F$3)</f>
        <v/>
      </c>
      <c r="AG650" s="19" t="n">
        <f aca="false">IF(OR(W650="",NOT(ISNUMBER(W650))),"",W650*$D$3^2/(2*$H$3))</f>
        <v>0.0360392677346244</v>
      </c>
      <c r="AH650" s="20" t="n">
        <f aca="false">IF(OR(W650="",NOT(ISNUMBER(W650))),"",W650*$D$3^2/2*$F$3)</f>
        <v>353.545216476665</v>
      </c>
    </row>
    <row r="651" customFormat="false" ht="15" hidden="false" customHeight="false" outlineLevel="0" collapsed="false">
      <c r="A651" s="10" t="s">
        <v>1415</v>
      </c>
      <c r="B651" s="23" t="s">
        <v>1273</v>
      </c>
      <c r="C651" s="6" t="s">
        <v>925</v>
      </c>
      <c r="D651" s="6" t="s">
        <v>1416</v>
      </c>
      <c r="E651" s="6" t="s">
        <v>1388</v>
      </c>
      <c r="F651" s="6" t="s">
        <v>68</v>
      </c>
      <c r="G651" s="6" t="n">
        <v>160</v>
      </c>
      <c r="H651" s="6" t="n">
        <v>110</v>
      </c>
      <c r="I651" s="6"/>
      <c r="J651" s="6" t="n">
        <v>10</v>
      </c>
      <c r="K651" s="6" t="s">
        <v>1276</v>
      </c>
      <c r="L651" s="6"/>
      <c r="M651" s="6"/>
      <c r="N651" s="12" t="n">
        <v>130.8</v>
      </c>
      <c r="O651" s="12" t="n">
        <v>90</v>
      </c>
      <c r="P651" s="12"/>
      <c r="Q651" s="12"/>
      <c r="R651" s="14" t="n">
        <v>0.015</v>
      </c>
      <c r="S651" s="6" t="n">
        <v>0</v>
      </c>
      <c r="T651" s="6" t="n">
        <v>30</v>
      </c>
      <c r="U651" s="15" t="n">
        <f aca="false">0.8*SIN(RADIANS(T651/2))*(1-(O651/N651)^2)</f>
        <v>0.1090259706194</v>
      </c>
      <c r="V651" s="14"/>
      <c r="W651" s="15" t="n">
        <f aca="false">2.6*SIN(RADIANS(T651/2))*(1-(O651/N651)^2)^2</f>
        <v>0.186576553710432</v>
      </c>
      <c r="X651" s="10" t="s">
        <v>996</v>
      </c>
      <c r="Y651" s="16"/>
      <c r="Z651" s="17" t="s">
        <v>48</v>
      </c>
      <c r="AA651" s="6"/>
      <c r="AB651" s="18" t="n">
        <f aca="false">IF(O651="","",$D$3*PI()*(O651/1000)^2/4*3600)</f>
        <v>34.3533156670044</v>
      </c>
      <c r="AC651" s="19" t="n">
        <f aca="false">IF(OR(U651="",NOT(ISNUMBER(U651))),"",U651*$D$3^2/(2*$H$3))</f>
        <v>0.0125029782820413</v>
      </c>
      <c r="AD651" s="20" t="n">
        <f aca="false">IF(OR(U651="",NOT(ISNUMBER(U651))),"",U651*$D$3^2/2*$F$3)</f>
        <v>122.654216946825</v>
      </c>
      <c r="AE651" s="19" t="str">
        <f aca="false">IF(OR(V651="",NOT(ISNUMBER(V651))),"",V651*$D$3^2/(2*$H$3))</f>
        <v/>
      </c>
      <c r="AF651" s="20" t="str">
        <f aca="false">IF(OR(V651="",NOT(ISNUMBER(V651))),"",V651*$D$3^2/2*$F$3)</f>
        <v/>
      </c>
      <c r="AG651" s="19" t="n">
        <f aca="false">IF(OR(W651="",NOT(ISNUMBER(W651))),"",W651*$D$3^2/(2*$H$3))</f>
        <v>0.0213963937741322</v>
      </c>
      <c r="AH651" s="20" t="n">
        <f aca="false">IF(OR(W651="",NOT(ISNUMBER(W651))),"",W651*$D$3^2/2*$F$3)</f>
        <v>209.898622924237</v>
      </c>
    </row>
    <row r="652" customFormat="false" ht="15" hidden="false" customHeight="false" outlineLevel="0" collapsed="false">
      <c r="A652" s="10" t="s">
        <v>1417</v>
      </c>
      <c r="B652" s="23" t="s">
        <v>1273</v>
      </c>
      <c r="C652" s="6" t="s">
        <v>925</v>
      </c>
      <c r="D652" s="6" t="s">
        <v>1418</v>
      </c>
      <c r="E652" s="6" t="s">
        <v>1388</v>
      </c>
      <c r="F652" s="6" t="s">
        <v>68</v>
      </c>
      <c r="G652" s="6" t="n">
        <v>160</v>
      </c>
      <c r="H652" s="6" t="n">
        <v>125</v>
      </c>
      <c r="I652" s="6"/>
      <c r="J652" s="6" t="n">
        <v>10</v>
      </c>
      <c r="K652" s="6" t="s">
        <v>1276</v>
      </c>
      <c r="L652" s="6"/>
      <c r="M652" s="6"/>
      <c r="N652" s="12" t="n">
        <v>130.8</v>
      </c>
      <c r="O652" s="12" t="n">
        <v>102.2</v>
      </c>
      <c r="P652" s="12"/>
      <c r="Q652" s="12"/>
      <c r="R652" s="14" t="n">
        <v>0.015</v>
      </c>
      <c r="S652" s="6" t="n">
        <v>0</v>
      </c>
      <c r="T652" s="6" t="n">
        <v>30</v>
      </c>
      <c r="U652" s="15" t="n">
        <f aca="false">0.8*SIN(RADIANS(T652/2))*(1-(O652/N652)^2)</f>
        <v>0.0806478295296027</v>
      </c>
      <c r="V652" s="14"/>
      <c r="W652" s="15" t="n">
        <f aca="false">2.6*SIN(RADIANS(T652/2))*(1-(O652/N652)^2)^2</f>
        <v>0.10208983711522</v>
      </c>
      <c r="X652" s="10" t="s">
        <v>996</v>
      </c>
      <c r="Y652" s="16"/>
      <c r="Z652" s="17" t="s">
        <v>48</v>
      </c>
      <c r="AA652" s="6"/>
      <c r="AB652" s="18" t="n">
        <f aca="false">IF(O652="","",$D$3*PI()*(O652/1000)^2/4*3600)</f>
        <v>44.2981340260931</v>
      </c>
      <c r="AC652" s="19" t="n">
        <f aca="false">IF(OR(U652="",NOT(ISNUMBER(U652))),"",U652*$D$3^2/(2*$H$3))</f>
        <v>0.00924860430385352</v>
      </c>
      <c r="AD652" s="20" t="n">
        <f aca="false">IF(OR(U652="",NOT(ISNUMBER(U652))),"",U652*$D$3^2/2*$F$3)</f>
        <v>90.7288082208031</v>
      </c>
      <c r="AE652" s="19" t="str">
        <f aca="false">IF(OR(V652="",NOT(ISNUMBER(V652))),"",V652*$D$3^2/(2*$H$3))</f>
        <v/>
      </c>
      <c r="AF652" s="20" t="str">
        <f aca="false">IF(OR(V652="",NOT(ISNUMBER(V652))),"",V652*$D$3^2/2*$F$3)</f>
        <v/>
      </c>
      <c r="AG652" s="19" t="n">
        <f aca="false">IF(OR(W652="",NOT(ISNUMBER(W652))),"",W652*$D$3^2/(2*$H$3))</f>
        <v>0.0117075501278922</v>
      </c>
      <c r="AH652" s="20" t="n">
        <f aca="false">IF(OR(W652="",NOT(ISNUMBER(W652))),"",W652*$D$3^2/2*$F$3)</f>
        <v>114.851066754623</v>
      </c>
    </row>
    <row r="653" customFormat="false" ht="15" hidden="false" customHeight="false" outlineLevel="0" collapsed="false">
      <c r="A653" s="10" t="s">
        <v>1419</v>
      </c>
      <c r="B653" s="23" t="s">
        <v>1273</v>
      </c>
      <c r="C653" s="6" t="s">
        <v>925</v>
      </c>
      <c r="D653" s="6" t="s">
        <v>1420</v>
      </c>
      <c r="E653" s="6" t="s">
        <v>1388</v>
      </c>
      <c r="F653" s="6" t="s">
        <v>68</v>
      </c>
      <c r="G653" s="6" t="n">
        <v>160</v>
      </c>
      <c r="H653" s="6" t="n">
        <v>140</v>
      </c>
      <c r="I653" s="6"/>
      <c r="J653" s="6" t="n">
        <v>10</v>
      </c>
      <c r="K653" s="6" t="s">
        <v>1276</v>
      </c>
      <c r="L653" s="6"/>
      <c r="M653" s="6"/>
      <c r="N653" s="12" t="n">
        <v>130.8</v>
      </c>
      <c r="O653" s="12" t="n">
        <v>114.6</v>
      </c>
      <c r="P653" s="12"/>
      <c r="Q653" s="12"/>
      <c r="R653" s="14" t="n">
        <v>0.015</v>
      </c>
      <c r="S653" s="6" t="n">
        <v>0</v>
      </c>
      <c r="T653" s="6" t="n">
        <v>30</v>
      </c>
      <c r="U653" s="15" t="n">
        <f aca="false">0.8*SIN(RADIANS(T653/2))*(1-(O653/N653)^2)</f>
        <v>0.0481127634890521</v>
      </c>
      <c r="V653" s="14"/>
      <c r="W653" s="15" t="n">
        <f aca="false">2.6*SIN(RADIANS(T653/2))*(1-(O653/N653)^2)^2</f>
        <v>0.0363343795436245</v>
      </c>
      <c r="X653" s="10" t="s">
        <v>996</v>
      </c>
      <c r="Y653" s="16"/>
      <c r="Z653" s="17" t="s">
        <v>48</v>
      </c>
      <c r="AA653" s="6"/>
      <c r="AB653" s="18" t="n">
        <f aca="false">IF(O653="","",$D$3*PI()*(O653/1000)^2/4*3600)</f>
        <v>55.6997026154661</v>
      </c>
      <c r="AC653" s="19" t="n">
        <f aca="false">IF(OR(U653="",NOT(ISNUMBER(U653))),"",U653*$D$3^2/(2*$H$3))</f>
        <v>0.00551751874874451</v>
      </c>
      <c r="AD653" s="20" t="n">
        <f aca="false">IF(OR(U653="",NOT(ISNUMBER(U653))),"",U653*$D$3^2/2*$F$3)</f>
        <v>54.1268589251836</v>
      </c>
      <c r="AE653" s="19" t="str">
        <f aca="false">IF(OR(V653="",NOT(ISNUMBER(V653))),"",V653*$D$3^2/(2*$H$3))</f>
        <v/>
      </c>
      <c r="AF653" s="20" t="str">
        <f aca="false">IF(OR(V653="",NOT(ISNUMBER(V653))),"",V653*$D$3^2/2*$F$3)</f>
        <v/>
      </c>
      <c r="AG653" s="19" t="n">
        <f aca="false">IF(OR(W653="",NOT(ISNUMBER(W653))),"",W653*$D$3^2/(2*$H$3))</f>
        <v>0.00416678664491106</v>
      </c>
      <c r="AH653" s="20" t="n">
        <f aca="false">IF(OR(W653="",NOT(ISNUMBER(W653))),"",W653*$D$3^2/2*$F$3)</f>
        <v>40.8761769865775</v>
      </c>
    </row>
    <row r="654" customFormat="false" ht="15" hidden="false" customHeight="false" outlineLevel="0" collapsed="false">
      <c r="A654" s="10" t="s">
        <v>1421</v>
      </c>
      <c r="B654" s="23" t="s">
        <v>1273</v>
      </c>
      <c r="C654" s="6" t="s">
        <v>925</v>
      </c>
      <c r="D654" s="6" t="s">
        <v>1422</v>
      </c>
      <c r="E654" s="6" t="s">
        <v>1388</v>
      </c>
      <c r="F654" s="6" t="s">
        <v>68</v>
      </c>
      <c r="G654" s="6" t="n">
        <v>180</v>
      </c>
      <c r="H654" s="6" t="n">
        <v>125</v>
      </c>
      <c r="I654" s="6"/>
      <c r="J654" s="6" t="n">
        <v>10</v>
      </c>
      <c r="K654" s="6" t="s">
        <v>1276</v>
      </c>
      <c r="L654" s="6"/>
      <c r="M654" s="6"/>
      <c r="N654" s="12" t="n">
        <v>147.2</v>
      </c>
      <c r="O654" s="12" t="n">
        <v>102.2</v>
      </c>
      <c r="P654" s="12"/>
      <c r="Q654" s="12"/>
      <c r="R654" s="14" t="n">
        <v>0.015</v>
      </c>
      <c r="S654" s="6" t="n">
        <v>0</v>
      </c>
      <c r="T654" s="6" t="n">
        <v>30</v>
      </c>
      <c r="U654" s="15" t="n">
        <f aca="false">0.8*SIN(RADIANS(T654/2))*(1-(O654/N654)^2)</f>
        <v>0.107245619062559</v>
      </c>
      <c r="V654" s="14"/>
      <c r="W654" s="15" t="n">
        <f aca="false">2.6*SIN(RADIANS(T654/2))*(1-(O654/N654)^2)^2</f>
        <v>0.180532860862092</v>
      </c>
      <c r="X654" s="10" t="s">
        <v>996</v>
      </c>
      <c r="Y654" s="16"/>
      <c r="Z654" s="17" t="s">
        <v>48</v>
      </c>
      <c r="AA654" s="6"/>
      <c r="AB654" s="18" t="n">
        <f aca="false">IF(O654="","",$D$3*PI()*(O654/1000)^2/4*3600)</f>
        <v>44.2981340260931</v>
      </c>
      <c r="AC654" s="19" t="n">
        <f aca="false">IF(OR(U654="",NOT(ISNUMBER(U654))),"",U654*$D$3^2/(2*$H$3))</f>
        <v>0.0122988095255228</v>
      </c>
      <c r="AD654" s="20" t="n">
        <f aca="false">IF(OR(U654="",NOT(ISNUMBER(U654))),"",U654*$D$3^2/2*$F$3)</f>
        <v>120.651321445379</v>
      </c>
      <c r="AE654" s="19" t="str">
        <f aca="false">IF(OR(V654="",NOT(ISNUMBER(V654))),"",V654*$D$3^2/(2*$H$3))</f>
        <v/>
      </c>
      <c r="AF654" s="20" t="str">
        <f aca="false">IF(OR(V654="",NOT(ISNUMBER(V654))),"",V654*$D$3^2/2*$F$3)</f>
        <v/>
      </c>
      <c r="AG654" s="19" t="n">
        <f aca="false">IF(OR(W654="",NOT(ISNUMBER(W654))),"",W654*$D$3^2/(2*$H$3))</f>
        <v>0.0207033097318912</v>
      </c>
      <c r="AH654" s="20" t="n">
        <f aca="false">IF(OR(W654="",NOT(ISNUMBER(W654))),"",W654*$D$3^2/2*$F$3)</f>
        <v>203.099468469853</v>
      </c>
    </row>
    <row r="655" customFormat="false" ht="15" hidden="false" customHeight="false" outlineLevel="0" collapsed="false">
      <c r="A655" s="10" t="s">
        <v>1423</v>
      </c>
      <c r="B655" s="23" t="s">
        <v>1273</v>
      </c>
      <c r="C655" s="6" t="s">
        <v>925</v>
      </c>
      <c r="D655" s="6" t="s">
        <v>1424</v>
      </c>
      <c r="E655" s="6" t="s">
        <v>1388</v>
      </c>
      <c r="F655" s="6" t="s">
        <v>68</v>
      </c>
      <c r="G655" s="6" t="n">
        <v>180</v>
      </c>
      <c r="H655" s="6" t="n">
        <v>160</v>
      </c>
      <c r="I655" s="6"/>
      <c r="J655" s="6" t="n">
        <v>10</v>
      </c>
      <c r="K655" s="6" t="s">
        <v>1276</v>
      </c>
      <c r="L655" s="6"/>
      <c r="M655" s="6"/>
      <c r="N655" s="12" t="n">
        <v>147.2</v>
      </c>
      <c r="O655" s="12" t="n">
        <v>130.8</v>
      </c>
      <c r="P655" s="12"/>
      <c r="Q655" s="12"/>
      <c r="R655" s="14" t="n">
        <v>0.015</v>
      </c>
      <c r="S655" s="6" t="n">
        <v>0</v>
      </c>
      <c r="T655" s="6" t="n">
        <v>30</v>
      </c>
      <c r="U655" s="15" t="n">
        <f aca="false">0.8*SIN(RADIANS(T655/2))*(1-(O655/N655)^2)</f>
        <v>0.0435671590866985</v>
      </c>
      <c r="V655" s="14"/>
      <c r="W655" s="15" t="n">
        <f aca="false">2.6*SIN(RADIANS(T655/2))*(1-(O655/N655)^2)^2</f>
        <v>0.0297930953455096</v>
      </c>
      <c r="X655" s="10" t="s">
        <v>996</v>
      </c>
      <c r="Y655" s="16"/>
      <c r="Z655" s="17" t="s">
        <v>48</v>
      </c>
      <c r="AA655" s="6"/>
      <c r="AB655" s="18" t="n">
        <f aca="false">IF(O655="","",$D$3*PI()*(O655/1000)^2/4*3600)</f>
        <v>72.5603099448318</v>
      </c>
      <c r="AC655" s="19" t="n">
        <f aca="false">IF(OR(U655="",NOT(ISNUMBER(U655))),"",U655*$D$3^2/(2*$H$3))</f>
        <v>0.00499623384021772</v>
      </c>
      <c r="AD655" s="20" t="n">
        <f aca="false">IF(OR(U655="",NOT(ISNUMBER(U655))),"",U655*$D$3^2/2*$F$3)</f>
        <v>49.0130539725358</v>
      </c>
      <c r="AE655" s="19" t="str">
        <f aca="false">IF(OR(V655="",NOT(ISNUMBER(V655))),"",V655*$D$3^2/(2*$H$3))</f>
        <v/>
      </c>
      <c r="AF655" s="20" t="str">
        <f aca="false">IF(OR(V655="",NOT(ISNUMBER(V655))),"",V655*$D$3^2/2*$F$3)</f>
        <v/>
      </c>
      <c r="AG655" s="19" t="n">
        <f aca="false">IF(OR(W655="",NOT(ISNUMBER(W655))),"",W655*$D$3^2/(2*$H$3))</f>
        <v>0.00341663937448504</v>
      </c>
      <c r="AH655" s="20" t="n">
        <f aca="false">IF(OR(W655="",NOT(ISNUMBER(W655))),"",W655*$D$3^2/2*$F$3)</f>
        <v>33.5172322636983</v>
      </c>
    </row>
    <row r="656" customFormat="false" ht="15" hidden="false" customHeight="false" outlineLevel="0" collapsed="false">
      <c r="A656" s="10" t="s">
        <v>1425</v>
      </c>
      <c r="B656" s="23" t="s">
        <v>1273</v>
      </c>
      <c r="C656" s="6" t="s">
        <v>925</v>
      </c>
      <c r="D656" s="6" t="s">
        <v>1426</v>
      </c>
      <c r="E656" s="6" t="s">
        <v>1388</v>
      </c>
      <c r="F656" s="6" t="s">
        <v>68</v>
      </c>
      <c r="G656" s="6" t="n">
        <v>200</v>
      </c>
      <c r="H656" s="6" t="n">
        <v>110</v>
      </c>
      <c r="I656" s="6"/>
      <c r="J656" s="6" t="n">
        <v>10</v>
      </c>
      <c r="K656" s="6" t="s">
        <v>1276</v>
      </c>
      <c r="L656" s="6"/>
      <c r="M656" s="6"/>
      <c r="N656" s="12" t="n">
        <v>163.6</v>
      </c>
      <c r="O656" s="12" t="n">
        <v>90</v>
      </c>
      <c r="P656" s="12"/>
      <c r="Q656" s="12"/>
      <c r="R656" s="14" t="n">
        <v>0.014</v>
      </c>
      <c r="S656" s="6" t="n">
        <v>0</v>
      </c>
      <c r="T656" s="6" t="n">
        <v>30</v>
      </c>
      <c r="U656" s="15" t="n">
        <f aca="false">0.8*SIN(RADIANS(T656/2))*(1-(O656/N656)^2)</f>
        <v>0.14439318045913</v>
      </c>
      <c r="V656" s="14"/>
      <c r="W656" s="15" t="n">
        <f aca="false">2.6*SIN(RADIANS(T656/2))*(1-(O656/N656)^2)^2</f>
        <v>0.327258178118441</v>
      </c>
      <c r="X656" s="10" t="s">
        <v>996</v>
      </c>
      <c r="Y656" s="16"/>
      <c r="Z656" s="17" t="s">
        <v>48</v>
      </c>
      <c r="AA656" s="6"/>
      <c r="AB656" s="18" t="n">
        <f aca="false">IF(O656="","",$D$3*PI()*(O656/1000)^2/4*3600)</f>
        <v>34.3533156670044</v>
      </c>
      <c r="AC656" s="19" t="n">
        <f aca="false">IF(OR(U656="",NOT(ISNUMBER(U656))),"",U656*$D$3^2/(2*$H$3))</f>
        <v>0.0165588509700837</v>
      </c>
      <c r="AD656" s="20" t="n">
        <f aca="false">IF(OR(U656="",NOT(ISNUMBER(U656))),"",U656*$D$3^2/2*$F$3)</f>
        <v>162.442328016521</v>
      </c>
      <c r="AE656" s="19" t="str">
        <f aca="false">IF(OR(V656="",NOT(ISNUMBER(V656))),"",V656*$D$3^2/(2*$H$3))</f>
        <v/>
      </c>
      <c r="AF656" s="20" t="str">
        <f aca="false">IF(OR(V656="",NOT(ISNUMBER(V656))),"",V656*$D$3^2/2*$F$3)</f>
        <v/>
      </c>
      <c r="AG656" s="19" t="n">
        <f aca="false">IF(OR(W656="",NOT(ISNUMBER(W656))),"",W656*$D$3^2/(2*$H$3))</f>
        <v>0.03752960758239</v>
      </c>
      <c r="AH656" s="20" t="n">
        <f aca="false">IF(OR(W656="",NOT(ISNUMBER(W656))),"",W656*$D$3^2/2*$F$3)</f>
        <v>368.165450383246</v>
      </c>
    </row>
    <row r="657" customFormat="false" ht="15" hidden="false" customHeight="false" outlineLevel="0" collapsed="false">
      <c r="A657" s="10" t="s">
        <v>1427</v>
      </c>
      <c r="B657" s="23" t="s">
        <v>1273</v>
      </c>
      <c r="C657" s="6" t="s">
        <v>925</v>
      </c>
      <c r="D657" s="6" t="s">
        <v>1428</v>
      </c>
      <c r="E657" s="6" t="s">
        <v>1388</v>
      </c>
      <c r="F657" s="6" t="s">
        <v>68</v>
      </c>
      <c r="G657" s="6" t="n">
        <v>200</v>
      </c>
      <c r="H657" s="6" t="n">
        <v>160</v>
      </c>
      <c r="I657" s="6"/>
      <c r="J657" s="6" t="n">
        <v>10</v>
      </c>
      <c r="K657" s="6" t="s">
        <v>1276</v>
      </c>
      <c r="L657" s="6"/>
      <c r="M657" s="6"/>
      <c r="N657" s="12" t="n">
        <v>163.6</v>
      </c>
      <c r="O657" s="12" t="n">
        <v>130.8</v>
      </c>
      <c r="P657" s="12"/>
      <c r="Q657" s="12"/>
      <c r="R657" s="14" t="n">
        <v>0.014</v>
      </c>
      <c r="S657" s="6" t="n">
        <v>0</v>
      </c>
      <c r="T657" s="6" t="n">
        <v>30</v>
      </c>
      <c r="U657" s="15" t="n">
        <f aca="false">0.8*SIN(RADIANS(T657/2))*(1-(O657/N657)^2)</f>
        <v>0.0747018346854805</v>
      </c>
      <c r="V657" s="14"/>
      <c r="W657" s="15" t="n">
        <f aca="false">2.6*SIN(RADIANS(T657/2))*(1-(O657/N657)^2)^2</f>
        <v>0.0875910394040499</v>
      </c>
      <c r="X657" s="10" t="s">
        <v>996</v>
      </c>
      <c r="Y657" s="16"/>
      <c r="Z657" s="17" t="s">
        <v>48</v>
      </c>
      <c r="AA657" s="6"/>
      <c r="AB657" s="18" t="n">
        <f aca="false">IF(O657="","",$D$3*PI()*(O657/1000)^2/4*3600)</f>
        <v>72.5603099448318</v>
      </c>
      <c r="AC657" s="19" t="n">
        <f aca="false">IF(OR(U657="",NOT(ISNUMBER(U657))),"",U657*$D$3^2/(2*$H$3))</f>
        <v>0.00856672416117896</v>
      </c>
      <c r="AD657" s="20" t="n">
        <f aca="false">IF(OR(U657="",NOT(ISNUMBER(U657))),"",U657*$D$3^2/2*$F$3)</f>
        <v>84.0395640211656</v>
      </c>
      <c r="AE657" s="19" t="str">
        <f aca="false">IF(OR(V657="",NOT(ISNUMBER(V657))),"",V657*$D$3^2/(2*$H$3))</f>
        <v/>
      </c>
      <c r="AF657" s="20" t="str">
        <f aca="false">IF(OR(V657="",NOT(ISNUMBER(V657))),"",V657*$D$3^2/2*$F$3)</f>
        <v/>
      </c>
      <c r="AG657" s="19" t="n">
        <f aca="false">IF(OR(W657="",NOT(ISNUMBER(W657))),"",W657*$D$3^2/(2*$H$3))</f>
        <v>0.0100448439683544</v>
      </c>
      <c r="AH657" s="20" t="n">
        <f aca="false">IF(OR(W657="",NOT(ISNUMBER(W657))),"",W657*$D$3^2/2*$F$3)</f>
        <v>98.5399193295562</v>
      </c>
    </row>
    <row r="658" customFormat="false" ht="15" hidden="false" customHeight="false" outlineLevel="0" collapsed="false">
      <c r="A658" s="10" t="s">
        <v>1429</v>
      </c>
      <c r="B658" s="23" t="s">
        <v>1273</v>
      </c>
      <c r="C658" s="6" t="s">
        <v>925</v>
      </c>
      <c r="D658" s="6" t="s">
        <v>1430</v>
      </c>
      <c r="E658" s="6" t="s">
        <v>1388</v>
      </c>
      <c r="F658" s="6" t="s">
        <v>68</v>
      </c>
      <c r="G658" s="6" t="n">
        <v>225</v>
      </c>
      <c r="H658" s="6" t="n">
        <v>160</v>
      </c>
      <c r="I658" s="6"/>
      <c r="J658" s="6" t="n">
        <v>10</v>
      </c>
      <c r="K658" s="6" t="s">
        <v>1276</v>
      </c>
      <c r="L658" s="6"/>
      <c r="M658" s="6"/>
      <c r="N658" s="12" t="n">
        <v>184</v>
      </c>
      <c r="O658" s="12" t="n">
        <v>130.8</v>
      </c>
      <c r="P658" s="12"/>
      <c r="Q658" s="12"/>
      <c r="R658" s="14" t="n">
        <v>0.014</v>
      </c>
      <c r="S658" s="6" t="n">
        <v>0</v>
      </c>
      <c r="T658" s="6" t="n">
        <v>30</v>
      </c>
      <c r="U658" s="15" t="n">
        <f aca="false">0.8*SIN(RADIANS(T658/2))*(1-(O658/N658)^2)</f>
        <v>0.102422866805013</v>
      </c>
      <c r="V658" s="14"/>
      <c r="W658" s="15" t="n">
        <f aca="false">2.6*SIN(RADIANS(T658/2))*(1-(O658/N658)^2)^2</f>
        <v>0.164661094739506</v>
      </c>
      <c r="X658" s="10" t="s">
        <v>996</v>
      </c>
      <c r="Y658" s="16"/>
      <c r="Z658" s="17" t="s">
        <v>48</v>
      </c>
      <c r="AA658" s="6"/>
      <c r="AB658" s="18" t="n">
        <f aca="false">IF(O658="","",$D$3*PI()*(O658/1000)^2/4*3600)</f>
        <v>72.5603099448318</v>
      </c>
      <c r="AC658" s="19" t="n">
        <f aca="false">IF(OR(U658="",NOT(ISNUMBER(U658))),"",U658*$D$3^2/(2*$H$3))</f>
        <v>0.0117457416060795</v>
      </c>
      <c r="AD658" s="20" t="n">
        <f aca="false">IF(OR(U658="",NOT(ISNUMBER(U658))),"",U658*$D$3^2/2*$F$3)</f>
        <v>115.22572515564</v>
      </c>
      <c r="AE658" s="19" t="str">
        <f aca="false">IF(OR(V658="",NOT(ISNUMBER(V658))),"",V658*$D$3^2/(2*$H$3))</f>
        <v/>
      </c>
      <c r="AF658" s="20" t="str">
        <f aca="false">IF(OR(V658="",NOT(ISNUMBER(V658))),"",V658*$D$3^2/2*$F$3)</f>
        <v/>
      </c>
      <c r="AG658" s="19" t="n">
        <f aca="false">IF(OR(W658="",NOT(ISNUMBER(W658))),"",W658*$D$3^2/(2*$H$3))</f>
        <v>0.0188831530664571</v>
      </c>
      <c r="AH658" s="20" t="n">
        <f aca="false">IF(OR(W658="",NOT(ISNUMBER(W658))),"",W658*$D$3^2/2*$F$3)</f>
        <v>185.243731581944</v>
      </c>
    </row>
    <row r="659" customFormat="false" ht="15" hidden="false" customHeight="false" outlineLevel="0" collapsed="false">
      <c r="A659" s="10" t="s">
        <v>1431</v>
      </c>
      <c r="B659" s="23" t="s">
        <v>1273</v>
      </c>
      <c r="C659" s="6" t="s">
        <v>925</v>
      </c>
      <c r="D659" s="6" t="s">
        <v>1432</v>
      </c>
      <c r="E659" s="6" t="s">
        <v>1388</v>
      </c>
      <c r="F659" s="6" t="s">
        <v>68</v>
      </c>
      <c r="G659" s="6" t="n">
        <v>225</v>
      </c>
      <c r="H659" s="6" t="n">
        <v>200</v>
      </c>
      <c r="I659" s="6"/>
      <c r="J659" s="6" t="n">
        <v>10</v>
      </c>
      <c r="K659" s="6" t="s">
        <v>1276</v>
      </c>
      <c r="L659" s="6"/>
      <c r="M659" s="6"/>
      <c r="N659" s="12" t="n">
        <v>184</v>
      </c>
      <c r="O659" s="12" t="n">
        <v>163.6</v>
      </c>
      <c r="P659" s="12"/>
      <c r="Q659" s="12"/>
      <c r="R659" s="14" t="n">
        <v>0.014</v>
      </c>
      <c r="S659" s="6" t="n">
        <v>0</v>
      </c>
      <c r="T659" s="6" t="n">
        <v>30</v>
      </c>
      <c r="U659" s="15" t="n">
        <f aca="false">0.8*SIN(RADIANS(T659/2))*(1-(O659/N659)^2)</f>
        <v>0.0433671125137944</v>
      </c>
      <c r="V659" s="14"/>
      <c r="W659" s="15" t="n">
        <f aca="false">2.6*SIN(RADIANS(T659/2))*(1-(O659/N659)^2)^2</f>
        <v>0.0295201226057244</v>
      </c>
      <c r="X659" s="10" t="s">
        <v>996</v>
      </c>
      <c r="Y659" s="16"/>
      <c r="Z659" s="17" t="s">
        <v>48</v>
      </c>
      <c r="AA659" s="6"/>
      <c r="AB659" s="18" t="n">
        <f aca="false">IF(O659="","",$D$3*PI()*(O659/1000)^2/4*3600)</f>
        <v>113.514212307993</v>
      </c>
      <c r="AC659" s="19" t="n">
        <f aca="false">IF(OR(U659="",NOT(ISNUMBER(U659))),"",U659*$D$3^2/(2*$H$3))</f>
        <v>0.00497329271947184</v>
      </c>
      <c r="AD659" s="20" t="n">
        <f aca="false">IF(OR(U659="",NOT(ISNUMBER(U659))),"",U659*$D$3^2/2*$F$3)</f>
        <v>48.7880015780187</v>
      </c>
      <c r="AE659" s="19" t="str">
        <f aca="false">IF(OR(V659="",NOT(ISNUMBER(V659))),"",V659*$D$3^2/(2*$H$3))</f>
        <v/>
      </c>
      <c r="AF659" s="20" t="str">
        <f aca="false">IF(OR(V659="",NOT(ISNUMBER(V659))),"",V659*$D$3^2/2*$F$3)</f>
        <v/>
      </c>
      <c r="AG659" s="19" t="n">
        <f aca="false">IF(OR(W659="",NOT(ISNUMBER(W659))),"",W659*$D$3^2/(2*$H$3))</f>
        <v>0.00338533516120692</v>
      </c>
      <c r="AH659" s="20" t="n">
        <f aca="false">IF(OR(W659="",NOT(ISNUMBER(W659))),"",W659*$D$3^2/2*$F$3)</f>
        <v>33.2101379314399</v>
      </c>
    </row>
    <row r="660" customFormat="false" ht="15" hidden="false" customHeight="false" outlineLevel="0" collapsed="false">
      <c r="A660" s="10" t="s">
        <v>1433</v>
      </c>
      <c r="B660" s="23" t="s">
        <v>1273</v>
      </c>
      <c r="C660" s="6" t="s">
        <v>925</v>
      </c>
      <c r="D660" s="6" t="s">
        <v>1434</v>
      </c>
      <c r="E660" s="6" t="s">
        <v>1388</v>
      </c>
      <c r="F660" s="6" t="s">
        <v>68</v>
      </c>
      <c r="G660" s="6" t="n">
        <v>250</v>
      </c>
      <c r="H660" s="6" t="n">
        <v>160</v>
      </c>
      <c r="I660" s="6"/>
      <c r="J660" s="6" t="n">
        <v>10</v>
      </c>
      <c r="K660" s="6" t="s">
        <v>1276</v>
      </c>
      <c r="L660" s="6"/>
      <c r="M660" s="6"/>
      <c r="N660" s="12" t="n">
        <v>204.6</v>
      </c>
      <c r="O660" s="12" t="n">
        <v>130.8</v>
      </c>
      <c r="P660" s="12"/>
      <c r="Q660" s="12"/>
      <c r="R660" s="14" t="n">
        <v>0.014</v>
      </c>
      <c r="S660" s="6" t="n">
        <v>0</v>
      </c>
      <c r="T660" s="6" t="n">
        <v>30</v>
      </c>
      <c r="U660" s="15" t="n">
        <f aca="false">0.8*SIN(RADIANS(T660/2))*(1-(O660/N660)^2)</f>
        <v>0.122431840690149</v>
      </c>
      <c r="V660" s="14"/>
      <c r="W660" s="15" t="n">
        <f aca="false">2.6*SIN(RADIANS(T660/2))*(1-(O660/N660)^2)^2</f>
        <v>0.235280482009794</v>
      </c>
      <c r="X660" s="10" t="s">
        <v>996</v>
      </c>
      <c r="Y660" s="16"/>
      <c r="Z660" s="17" t="s">
        <v>48</v>
      </c>
      <c r="AA660" s="6"/>
      <c r="AB660" s="18" t="n">
        <f aca="false">IF(O660="","",$D$3*PI()*(O660/1000)^2/4*3600)</f>
        <v>72.5603099448318</v>
      </c>
      <c r="AC660" s="19" t="n">
        <f aca="false">IF(OR(U660="",NOT(ISNUMBER(U660))),"",U660*$D$3^2/(2*$H$3))</f>
        <v>0.0140403487029987</v>
      </c>
      <c r="AD660" s="20" t="n">
        <f aca="false">IF(OR(U660="",NOT(ISNUMBER(U660))),"",U660*$D$3^2/2*$F$3)</f>
        <v>137.735820776418</v>
      </c>
      <c r="AE660" s="19" t="str">
        <f aca="false">IF(OR(V660="",NOT(ISNUMBER(V660))),"",V660*$D$3^2/(2*$H$3))</f>
        <v/>
      </c>
      <c r="AF660" s="20" t="str">
        <f aca="false">IF(OR(V660="",NOT(ISNUMBER(V660))),"",V660*$D$3^2/2*$F$3)</f>
        <v/>
      </c>
      <c r="AG660" s="19" t="n">
        <f aca="false">IF(OR(W660="",NOT(ISNUMBER(W660))),"",W660*$D$3^2/(2*$H$3))</f>
        <v>0.0269817066524993</v>
      </c>
      <c r="AH660" s="20" t="n">
        <f aca="false">IF(OR(W660="",NOT(ISNUMBER(W660))),"",W660*$D$3^2/2*$F$3)</f>
        <v>264.690542261018</v>
      </c>
    </row>
    <row r="661" customFormat="false" ht="15" hidden="false" customHeight="false" outlineLevel="0" collapsed="false">
      <c r="A661" s="10" t="s">
        <v>1435</v>
      </c>
      <c r="B661" s="23" t="s">
        <v>1273</v>
      </c>
      <c r="C661" s="6" t="s">
        <v>925</v>
      </c>
      <c r="D661" s="6" t="s">
        <v>1436</v>
      </c>
      <c r="E661" s="6" t="s">
        <v>1388</v>
      </c>
      <c r="F661" s="6" t="s">
        <v>68</v>
      </c>
      <c r="G661" s="6" t="n">
        <v>250</v>
      </c>
      <c r="H661" s="6" t="n">
        <v>200</v>
      </c>
      <c r="I661" s="6"/>
      <c r="J661" s="6" t="n">
        <v>10</v>
      </c>
      <c r="K661" s="6" t="s">
        <v>1276</v>
      </c>
      <c r="L661" s="6"/>
      <c r="M661" s="6"/>
      <c r="N661" s="12" t="n">
        <v>204.6</v>
      </c>
      <c r="O661" s="12" t="n">
        <v>163.6</v>
      </c>
      <c r="P661" s="12"/>
      <c r="Q661" s="12"/>
      <c r="R661" s="14" t="n">
        <v>0.014</v>
      </c>
      <c r="S661" s="6" t="n">
        <v>0</v>
      </c>
      <c r="T661" s="6" t="n">
        <v>30</v>
      </c>
      <c r="U661" s="15" t="n">
        <f aca="false">0.8*SIN(RADIANS(T661/2))*(1-(O661/N661)^2)</f>
        <v>0.0746693893561798</v>
      </c>
      <c r="V661" s="14"/>
      <c r="W661" s="15" t="n">
        <f aca="false">2.6*SIN(RADIANS(T661/2))*(1-(O661/N661)^2)^2</f>
        <v>0.0875149689042534</v>
      </c>
      <c r="X661" s="10" t="s">
        <v>996</v>
      </c>
      <c r="Y661" s="16"/>
      <c r="Z661" s="17" t="s">
        <v>48</v>
      </c>
      <c r="AA661" s="6"/>
      <c r="AB661" s="18" t="n">
        <f aca="false">IF(O661="","",$D$3*PI()*(O661/1000)^2/4*3600)</f>
        <v>113.514212307993</v>
      </c>
      <c r="AC661" s="19" t="n">
        <f aca="false">IF(OR(U661="",NOT(ISNUMBER(U661))),"",U661*$D$3^2/(2*$H$3))</f>
        <v>0.00856300336653438</v>
      </c>
      <c r="AD661" s="20" t="n">
        <f aca="false">IF(OR(U661="",NOT(ISNUMBER(U661))),"",U661*$D$3^2/2*$F$3)</f>
        <v>84.0030630257023</v>
      </c>
      <c r="AE661" s="19" t="str">
        <f aca="false">IF(OR(V661="",NOT(ISNUMBER(V661))),"",V661*$D$3^2/(2*$H$3))</f>
        <v/>
      </c>
      <c r="AF661" s="20" t="str">
        <f aca="false">IF(OR(V661="",NOT(ISNUMBER(V661))),"",V661*$D$3^2/2*$F$3)</f>
        <v/>
      </c>
      <c r="AG661" s="19" t="n">
        <f aca="false">IF(OR(W661="",NOT(ISNUMBER(W661))),"",W661*$D$3^2/(2*$H$3))</f>
        <v>0.010036120287185</v>
      </c>
      <c r="AH661" s="20" t="n">
        <f aca="false">IF(OR(W661="",NOT(ISNUMBER(W661))),"",W661*$D$3^2/2*$F$3)</f>
        <v>98.454340017285</v>
      </c>
    </row>
    <row r="662" customFormat="false" ht="15" hidden="false" customHeight="false" outlineLevel="0" collapsed="false">
      <c r="A662" s="10" t="s">
        <v>1437</v>
      </c>
      <c r="B662" s="23" t="s">
        <v>1273</v>
      </c>
      <c r="C662" s="6" t="s">
        <v>925</v>
      </c>
      <c r="D662" s="6" t="s">
        <v>1438</v>
      </c>
      <c r="E662" s="6" t="s">
        <v>1388</v>
      </c>
      <c r="F662" s="6" t="s">
        <v>68</v>
      </c>
      <c r="G662" s="6" t="n">
        <v>250</v>
      </c>
      <c r="H662" s="6" t="n">
        <v>225</v>
      </c>
      <c r="I662" s="6"/>
      <c r="J662" s="6" t="n">
        <v>10</v>
      </c>
      <c r="K662" s="6" t="s">
        <v>1276</v>
      </c>
      <c r="L662" s="6"/>
      <c r="M662" s="6"/>
      <c r="N662" s="12" t="n">
        <v>204.6</v>
      </c>
      <c r="O662" s="12" t="n">
        <v>184</v>
      </c>
      <c r="P662" s="12"/>
      <c r="Q662" s="12"/>
      <c r="R662" s="14" t="n">
        <v>0.014</v>
      </c>
      <c r="S662" s="6" t="n">
        <v>0</v>
      </c>
      <c r="T662" s="6" t="n">
        <v>30</v>
      </c>
      <c r="U662" s="15" t="n">
        <f aca="false">0.8*SIN(RADIANS(T662/2))*(1-(O662/N662)^2)</f>
        <v>0.0395954219537709</v>
      </c>
      <c r="V662" s="14"/>
      <c r="W662" s="15" t="n">
        <f aca="false">2.6*SIN(RADIANS(T662/2))*(1-(O662/N662)^2)^2</f>
        <v>0.0246086106076422</v>
      </c>
      <c r="X662" s="10" t="s">
        <v>996</v>
      </c>
      <c r="Y662" s="16"/>
      <c r="Z662" s="17" t="s">
        <v>48</v>
      </c>
      <c r="AA662" s="6"/>
      <c r="AB662" s="18" t="n">
        <f aca="false">IF(O662="","",$D$3*PI()*(O662/1000)^2/4*3600)</f>
        <v>143.588377187914</v>
      </c>
      <c r="AC662" s="19" t="n">
        <f aca="false">IF(OR(U662="",NOT(ISNUMBER(U662))),"",U662*$D$3^2/(2*$H$3))</f>
        <v>0.00454075939836822</v>
      </c>
      <c r="AD662" s="20" t="n">
        <f aca="false">IF(OR(U662="",NOT(ISNUMBER(U662))),"",U662*$D$3^2/2*$F$3)</f>
        <v>44.5448496979923</v>
      </c>
      <c r="AE662" s="19" t="str">
        <f aca="false">IF(OR(V662="",NOT(ISNUMBER(V662))),"",V662*$D$3^2/(2*$H$3))</f>
        <v/>
      </c>
      <c r="AF662" s="20" t="str">
        <f aca="false">IF(OR(V662="",NOT(ISNUMBER(V662))),"",V662*$D$3^2/2*$F$3)</f>
        <v/>
      </c>
      <c r="AG662" s="19" t="n">
        <f aca="false">IF(OR(W662="",NOT(ISNUMBER(W662))),"",W662*$D$3^2/(2*$H$3))</f>
        <v>0.00282208837243603</v>
      </c>
      <c r="AH662" s="20" t="n">
        <f aca="false">IF(OR(W662="",NOT(ISNUMBER(W662))),"",W662*$D$3^2/2*$F$3)</f>
        <v>27.6846869335975</v>
      </c>
    </row>
    <row r="663" customFormat="false" ht="15" hidden="false" customHeight="false" outlineLevel="0" collapsed="false">
      <c r="A663" s="10" t="s">
        <v>1439</v>
      </c>
      <c r="B663" s="23" t="s">
        <v>1273</v>
      </c>
      <c r="C663" s="6" t="s">
        <v>925</v>
      </c>
      <c r="D663" s="6" t="s">
        <v>1440</v>
      </c>
      <c r="E663" s="6" t="s">
        <v>1388</v>
      </c>
      <c r="F663" s="6" t="s">
        <v>68</v>
      </c>
      <c r="G663" s="6" t="n">
        <v>280</v>
      </c>
      <c r="H663" s="6" t="n">
        <v>250</v>
      </c>
      <c r="I663" s="6"/>
      <c r="J663" s="6" t="n">
        <v>10</v>
      </c>
      <c r="K663" s="6" t="s">
        <v>1276</v>
      </c>
      <c r="L663" s="6"/>
      <c r="M663" s="6"/>
      <c r="N663" s="12" t="n">
        <v>229.2</v>
      </c>
      <c r="O663" s="12" t="n">
        <v>204.6</v>
      </c>
      <c r="P663" s="12"/>
      <c r="Q663" s="12"/>
      <c r="R663" s="14" t="n">
        <v>0.014</v>
      </c>
      <c r="S663" s="6" t="n">
        <v>0</v>
      </c>
      <c r="T663" s="6" t="n">
        <v>30</v>
      </c>
      <c r="U663" s="15" t="n">
        <f aca="false">0.8*SIN(RADIANS(T663/2))*(1-(O663/N663)^2)</f>
        <v>0.0420611987279626</v>
      </c>
      <c r="V663" s="14"/>
      <c r="W663" s="15" t="n">
        <f aca="false">2.6*SIN(RADIANS(T663/2))*(1-(O663/N663)^2)^2</f>
        <v>0.0277690124321718</v>
      </c>
      <c r="X663" s="10" t="s">
        <v>996</v>
      </c>
      <c r="Y663" s="16"/>
      <c r="Z663" s="17" t="s">
        <v>48</v>
      </c>
      <c r="AA663" s="6"/>
      <c r="AB663" s="18" t="n">
        <f aca="false">IF(O663="","",$D$3*PI()*(O663/1000)^2/4*3600)</f>
        <v>177.539462181108</v>
      </c>
      <c r="AC663" s="19" t="n">
        <f aca="false">IF(OR(U663="",NOT(ISNUMBER(U663))),"",U663*$D$3^2/(2*$H$3))</f>
        <v>0.0048235319642159</v>
      </c>
      <c r="AD663" s="20" t="n">
        <f aca="false">IF(OR(U663="",NOT(ISNUMBER(U663))),"",U663*$D$3^2/2*$F$3)</f>
        <v>47.318848568958</v>
      </c>
      <c r="AE663" s="19" t="str">
        <f aca="false">IF(OR(V663="",NOT(ISNUMBER(V663))),"",V663*$D$3^2/(2*$H$3))</f>
        <v/>
      </c>
      <c r="AF663" s="20" t="str">
        <f aca="false">IF(OR(V663="",NOT(ISNUMBER(V663))),"",V663*$D$3^2/2*$F$3)</f>
        <v/>
      </c>
      <c r="AG663" s="19" t="n">
        <f aca="false">IF(OR(W663="",NOT(ISNUMBER(W663))),"",W663*$D$3^2/(2*$H$3))</f>
        <v>0.00318451977433163</v>
      </c>
      <c r="AH663" s="20" t="n">
        <f aca="false">IF(OR(W663="",NOT(ISNUMBER(W663))),"",W663*$D$3^2/2*$F$3)</f>
        <v>31.2401389861933</v>
      </c>
    </row>
    <row r="664" customFormat="false" ht="15" hidden="false" customHeight="false" outlineLevel="0" collapsed="false">
      <c r="A664" s="10" t="s">
        <v>1441</v>
      </c>
      <c r="B664" s="23" t="s">
        <v>1273</v>
      </c>
      <c r="C664" s="6" t="s">
        <v>925</v>
      </c>
      <c r="D664" s="6" t="s">
        <v>1442</v>
      </c>
      <c r="E664" s="6" t="s">
        <v>1388</v>
      </c>
      <c r="F664" s="6" t="s">
        <v>68</v>
      </c>
      <c r="G664" s="6" t="n">
        <v>315</v>
      </c>
      <c r="H664" s="6" t="n">
        <v>200</v>
      </c>
      <c r="I664" s="6"/>
      <c r="J664" s="6" t="n">
        <v>10</v>
      </c>
      <c r="K664" s="6" t="s">
        <v>1276</v>
      </c>
      <c r="L664" s="6"/>
      <c r="M664" s="6"/>
      <c r="N664" s="12" t="n">
        <v>257.8</v>
      </c>
      <c r="O664" s="12" t="n">
        <v>163.6</v>
      </c>
      <c r="P664" s="12"/>
      <c r="Q664" s="12"/>
      <c r="R664" s="14" t="n">
        <v>0.013</v>
      </c>
      <c r="S664" s="6" t="n">
        <v>0</v>
      </c>
      <c r="T664" s="6" t="n">
        <v>30</v>
      </c>
      <c r="U664" s="15" t="n">
        <f aca="false">0.8*SIN(RADIANS(T664/2))*(1-(O664/N664)^2)</f>
        <v>0.123670417119064</v>
      </c>
      <c r="V664" s="14"/>
      <c r="W664" s="15" t="n">
        <f aca="false">2.6*SIN(RADIANS(T664/2))*(1-(O664/N664)^2)^2</f>
        <v>0.240064970919749</v>
      </c>
      <c r="X664" s="10" t="s">
        <v>996</v>
      </c>
      <c r="Y664" s="16"/>
      <c r="Z664" s="17" t="s">
        <v>48</v>
      </c>
      <c r="AA664" s="6"/>
      <c r="AB664" s="18" t="n">
        <f aca="false">IF(O664="","",$D$3*PI()*(O664/1000)^2/4*3600)</f>
        <v>113.514212307993</v>
      </c>
      <c r="AC664" s="19" t="n">
        <f aca="false">IF(OR(U664="",NOT(ISNUMBER(U664))),"",U664*$D$3^2/(2*$H$3))</f>
        <v>0.0141823872842964</v>
      </c>
      <c r="AD664" s="20" t="n">
        <f aca="false">IF(OR(U664="",NOT(ISNUMBER(U664))),"",U664*$D$3^2/2*$F$3)</f>
        <v>139.129219258947</v>
      </c>
      <c r="AE664" s="19" t="str">
        <f aca="false">IF(OR(V664="",NOT(ISNUMBER(V664))),"",V664*$D$3^2/(2*$H$3))</f>
        <v/>
      </c>
      <c r="AF664" s="20" t="str">
        <f aca="false">IF(OR(V664="",NOT(ISNUMBER(V664))),"",V664*$D$3^2/2*$F$3)</f>
        <v/>
      </c>
      <c r="AG664" s="19" t="n">
        <f aca="false">IF(OR(W664="",NOT(ISNUMBER(W664))),"",W664*$D$3^2/(2*$H$3))</f>
        <v>0.0275303865733657</v>
      </c>
      <c r="AH664" s="20" t="n">
        <f aca="false">IF(OR(W664="",NOT(ISNUMBER(W664))),"",W664*$D$3^2/2*$F$3)</f>
        <v>270.073092284717</v>
      </c>
    </row>
    <row r="665" customFormat="false" ht="15" hidden="false" customHeight="false" outlineLevel="0" collapsed="false">
      <c r="A665" s="10" t="s">
        <v>1443</v>
      </c>
      <c r="B665" s="23" t="s">
        <v>1273</v>
      </c>
      <c r="C665" s="6" t="s">
        <v>925</v>
      </c>
      <c r="D665" s="6" t="s">
        <v>1444</v>
      </c>
      <c r="E665" s="6" t="s">
        <v>1388</v>
      </c>
      <c r="F665" s="6" t="s">
        <v>68</v>
      </c>
      <c r="G665" s="6" t="n">
        <v>315</v>
      </c>
      <c r="H665" s="6" t="n">
        <v>250</v>
      </c>
      <c r="I665" s="6"/>
      <c r="J665" s="6" t="n">
        <v>10</v>
      </c>
      <c r="K665" s="6" t="s">
        <v>1276</v>
      </c>
      <c r="L665" s="6"/>
      <c r="M665" s="6"/>
      <c r="N665" s="12" t="n">
        <v>257.8</v>
      </c>
      <c r="O665" s="12" t="n">
        <v>204.6</v>
      </c>
      <c r="P665" s="12"/>
      <c r="Q665" s="12"/>
      <c r="R665" s="14" t="n">
        <v>0.013</v>
      </c>
      <c r="S665" s="6" t="n">
        <v>0</v>
      </c>
      <c r="T665" s="6" t="n">
        <v>30</v>
      </c>
      <c r="U665" s="15" t="n">
        <f aca="false">0.8*SIN(RADIANS(T665/2))*(1-(O665/N665)^2)</f>
        <v>0.0766390035085633</v>
      </c>
      <c r="V665" s="14"/>
      <c r="W665" s="15" t="n">
        <f aca="false">2.6*SIN(RADIANS(T665/2))*(1-(O665/N665)^2)^2</f>
        <v>0.0921927653328786</v>
      </c>
      <c r="X665" s="10" t="s">
        <v>996</v>
      </c>
      <c r="Y665" s="16"/>
      <c r="Z665" s="17" t="s">
        <v>48</v>
      </c>
      <c r="AA665" s="6"/>
      <c r="AB665" s="18" t="n">
        <f aca="false">IF(O665="","",$D$3*PI()*(O665/1000)^2/4*3600)</f>
        <v>177.539462181108</v>
      </c>
      <c r="AC665" s="19" t="n">
        <f aca="false">IF(OR(U665="",NOT(ISNUMBER(U665))),"",U665*$D$3^2/(2*$H$3))</f>
        <v>0.00878887654914717</v>
      </c>
      <c r="AD665" s="20" t="n">
        <f aca="false">IF(OR(U665="",NOT(ISNUMBER(U665))),"",U665*$D$3^2/2*$F$3)</f>
        <v>86.2188789471337</v>
      </c>
      <c r="AE665" s="19" t="str">
        <f aca="false">IF(OR(V665="",NOT(ISNUMBER(V665))),"",V665*$D$3^2/(2*$H$3))</f>
        <v/>
      </c>
      <c r="AF665" s="20" t="str">
        <f aca="false">IF(OR(V665="",NOT(ISNUMBER(V665))),"",V665*$D$3^2/2*$F$3)</f>
        <v/>
      </c>
      <c r="AG665" s="19" t="n">
        <f aca="false">IF(OR(W665="",NOT(ISNUMBER(W665))),"",W665*$D$3^2/(2*$H$3))</f>
        <v>0.0105725648317521</v>
      </c>
      <c r="AH665" s="20" t="n">
        <f aca="false">IF(OR(W665="",NOT(ISNUMBER(W665))),"",W665*$D$3^2/2*$F$3)</f>
        <v>103.716860999488</v>
      </c>
    </row>
    <row r="666" customFormat="false" ht="15" hidden="false" customHeight="false" outlineLevel="0" collapsed="false">
      <c r="A666" s="10" t="s">
        <v>1445</v>
      </c>
      <c r="B666" s="23" t="s">
        <v>1273</v>
      </c>
      <c r="C666" s="6" t="s">
        <v>925</v>
      </c>
      <c r="D666" s="6" t="s">
        <v>1446</v>
      </c>
      <c r="E666" s="6" t="s">
        <v>1447</v>
      </c>
      <c r="F666" s="6" t="s">
        <v>68</v>
      </c>
      <c r="G666" s="6" t="n">
        <v>40</v>
      </c>
      <c r="H666" s="6" t="n">
        <v>32</v>
      </c>
      <c r="I666" s="6"/>
      <c r="J666" s="6" t="n">
        <v>16</v>
      </c>
      <c r="K666" s="6" t="s">
        <v>1276</v>
      </c>
      <c r="L666" s="6"/>
      <c r="M666" s="6"/>
      <c r="N666" s="12" t="n">
        <v>32.6</v>
      </c>
      <c r="O666" s="12" t="n">
        <v>26.2</v>
      </c>
      <c r="P666" s="12"/>
      <c r="Q666" s="12"/>
      <c r="R666" s="14" t="n">
        <v>0.022</v>
      </c>
      <c r="S666" s="6" t="n">
        <v>0</v>
      </c>
      <c r="T666" s="6" t="n">
        <v>30</v>
      </c>
      <c r="U666" s="15" t="n">
        <f aca="false">0.8*SIN(RADIANS(T666/2))*(1-(O666/N666)^2)</f>
        <v>0.073317613047522</v>
      </c>
      <c r="V666" s="14"/>
      <c r="W666" s="15" t="n">
        <f aca="false">2.6*SIN(RADIANS(T666/2))*(1-(O666/N666)^2)^2</f>
        <v>0.0843749985524873</v>
      </c>
      <c r="X666" s="10" t="s">
        <v>996</v>
      </c>
      <c r="Y666" s="16"/>
      <c r="Z666" s="17" t="s">
        <v>48</v>
      </c>
      <c r="AA666" s="6"/>
      <c r="AB666" s="18" t="n">
        <f aca="false">IF(O666="","",$D$3*PI()*(O666/1000)^2/4*3600)</f>
        <v>2.91129506252574</v>
      </c>
      <c r="AC666" s="19" t="n">
        <f aca="false">IF(OR(U666="",NOT(ISNUMBER(U666))),"",U666*$D$3^2/(2*$H$3))</f>
        <v>0.00840798314765161</v>
      </c>
      <c r="AD666" s="20" t="n">
        <f aca="false">IF(OR(U666="",NOT(ISNUMBER(U666))),"",U666*$D$3^2/2*$F$3)</f>
        <v>82.4823146784623</v>
      </c>
      <c r="AE666" s="19" t="str">
        <f aca="false">IF(OR(V666="",NOT(ISNUMBER(V666))),"",V666*$D$3^2/(2*$H$3))</f>
        <v/>
      </c>
      <c r="AF666" s="20" t="str">
        <f aca="false">IF(OR(V666="",NOT(ISNUMBER(V666))),"",V666*$D$3^2/2*$F$3)</f>
        <v/>
      </c>
      <c r="AG666" s="19" t="n">
        <f aca="false">IF(OR(W666="",NOT(ISNUMBER(W666))),"",W666*$D$3^2/(2*$H$3))</f>
        <v>0.00967603194409258</v>
      </c>
      <c r="AH666" s="20" t="n">
        <f aca="false">IF(OR(W666="",NOT(ISNUMBER(W666))),"",W666*$D$3^2/2*$F$3)</f>
        <v>94.9218733715482</v>
      </c>
    </row>
    <row r="667" customFormat="false" ht="15" hidden="false" customHeight="false" outlineLevel="0" collapsed="false">
      <c r="A667" s="10" t="s">
        <v>1448</v>
      </c>
      <c r="B667" s="23" t="s">
        <v>1273</v>
      </c>
      <c r="C667" s="6" t="s">
        <v>925</v>
      </c>
      <c r="D667" s="6" t="s">
        <v>1449</v>
      </c>
      <c r="E667" s="6" t="s">
        <v>1447</v>
      </c>
      <c r="F667" s="6" t="s">
        <v>68</v>
      </c>
      <c r="G667" s="6" t="n">
        <v>50</v>
      </c>
      <c r="H667" s="6" t="n">
        <v>40</v>
      </c>
      <c r="I667" s="6"/>
      <c r="J667" s="6" t="n">
        <v>16</v>
      </c>
      <c r="K667" s="6" t="s">
        <v>1276</v>
      </c>
      <c r="L667" s="6"/>
      <c r="M667" s="6"/>
      <c r="N667" s="12" t="n">
        <v>40.8</v>
      </c>
      <c r="O667" s="12" t="n">
        <v>32.6</v>
      </c>
      <c r="P667" s="12"/>
      <c r="Q667" s="12"/>
      <c r="R667" s="14" t="n">
        <v>0.021</v>
      </c>
      <c r="S667" s="6" t="n">
        <v>0</v>
      </c>
      <c r="T667" s="6" t="n">
        <v>30</v>
      </c>
      <c r="U667" s="15" t="n">
        <f aca="false">0.8*SIN(RADIANS(T667/2))*(1-(O667/N667)^2)</f>
        <v>0.0748644785016845</v>
      </c>
      <c r="V667" s="14"/>
      <c r="W667" s="15" t="n">
        <f aca="false">2.6*SIN(RADIANS(T667/2))*(1-(O667/N667)^2)^2</f>
        <v>0.0879728680326858</v>
      </c>
      <c r="X667" s="10" t="s">
        <v>996</v>
      </c>
      <c r="Y667" s="16"/>
      <c r="Z667" s="17" t="s">
        <v>48</v>
      </c>
      <c r="AA667" s="6"/>
      <c r="AB667" s="18" t="n">
        <f aca="false">IF(O667="","",$D$3*PI()*(O667/1000)^2/4*3600)</f>
        <v>4.50732466151427</v>
      </c>
      <c r="AC667" s="19" t="n">
        <f aca="false">IF(OR(U667="",NOT(ISNUMBER(U667))),"",U667*$D$3^2/(2*$H$3))</f>
        <v>0.00858537597496382</v>
      </c>
      <c r="AD667" s="20" t="n">
        <f aca="false">IF(OR(U667="",NOT(ISNUMBER(U667))),"",U667*$D$3^2/2*$F$3)</f>
        <v>84.2225383143951</v>
      </c>
      <c r="AE667" s="19" t="str">
        <f aca="false">IF(OR(V667="",NOT(ISNUMBER(V667))),"",V667*$D$3^2/(2*$H$3))</f>
        <v/>
      </c>
      <c r="AF667" s="20" t="str">
        <f aca="false">IF(OR(V667="",NOT(ISNUMBER(V667))),"",V667*$D$3^2/2*$F$3)</f>
        <v/>
      </c>
      <c r="AG667" s="19" t="n">
        <f aca="false">IF(OR(W667="",NOT(ISNUMBER(W667))),"",W667*$D$3^2/(2*$H$3))</f>
        <v>0.0100886316551245</v>
      </c>
      <c r="AH667" s="20" t="n">
        <f aca="false">IF(OR(W667="",NOT(ISNUMBER(W667))),"",W667*$D$3^2/2*$F$3)</f>
        <v>98.9694765367715</v>
      </c>
    </row>
    <row r="668" customFormat="false" ht="15" hidden="false" customHeight="false" outlineLevel="0" collapsed="false">
      <c r="A668" s="10" t="s">
        <v>1450</v>
      </c>
      <c r="B668" s="23" t="s">
        <v>1273</v>
      </c>
      <c r="C668" s="6" t="s">
        <v>925</v>
      </c>
      <c r="D668" s="6" t="s">
        <v>1451</v>
      </c>
      <c r="E668" s="6" t="s">
        <v>1447</v>
      </c>
      <c r="F668" s="6" t="s">
        <v>68</v>
      </c>
      <c r="G668" s="6" t="n">
        <v>63</v>
      </c>
      <c r="H668" s="6" t="n">
        <v>32</v>
      </c>
      <c r="I668" s="6"/>
      <c r="J668" s="6" t="n">
        <v>16</v>
      </c>
      <c r="K668" s="6" t="s">
        <v>1276</v>
      </c>
      <c r="L668" s="6"/>
      <c r="M668" s="6"/>
      <c r="N668" s="12" t="n">
        <v>51.4</v>
      </c>
      <c r="O668" s="12" t="n">
        <v>26.2</v>
      </c>
      <c r="P668" s="12"/>
      <c r="Q668" s="12"/>
      <c r="R668" s="14" t="n">
        <v>0.019</v>
      </c>
      <c r="S668" s="6" t="n">
        <v>0</v>
      </c>
      <c r="T668" s="6" t="n">
        <v>30</v>
      </c>
      <c r="U668" s="15" t="n">
        <f aca="false">0.8*SIN(RADIANS(T668/2))*(1-(O668/N668)^2)</f>
        <v>0.153257678111366</v>
      </c>
      <c r="V668" s="14"/>
      <c r="W668" s="15" t="n">
        <f aca="false">2.6*SIN(RADIANS(T668/2))*(1-(O668/N668)^2)^2</f>
        <v>0.368673249320997</v>
      </c>
      <c r="X668" s="10" t="s">
        <v>996</v>
      </c>
      <c r="Y668" s="16"/>
      <c r="Z668" s="17" t="s">
        <v>48</v>
      </c>
      <c r="AA668" s="6"/>
      <c r="AB668" s="18" t="n">
        <f aca="false">IF(O668="","",$D$3*PI()*(O668/1000)^2/4*3600)</f>
        <v>2.91129506252574</v>
      </c>
      <c r="AC668" s="19" t="n">
        <f aca="false">IF(OR(U668="",NOT(ISNUMBER(U668))),"",U668*$D$3^2/(2*$H$3))</f>
        <v>0.0175754218017622</v>
      </c>
      <c r="AD668" s="20" t="n">
        <f aca="false">IF(OR(U668="",NOT(ISNUMBER(U668))),"",U668*$D$3^2/2*$F$3)</f>
        <v>172.414887875287</v>
      </c>
      <c r="AE668" s="19" t="str">
        <f aca="false">IF(OR(V668="",NOT(ISNUMBER(V668))),"",V668*$D$3^2/(2*$H$3))</f>
        <v/>
      </c>
      <c r="AF668" s="20" t="str">
        <f aca="false">IF(OR(V668="",NOT(ISNUMBER(V668))),"",V668*$D$3^2/2*$F$3)</f>
        <v/>
      </c>
      <c r="AG668" s="19" t="n">
        <f aca="false">IF(OR(W668="",NOT(ISNUMBER(W668))),"",W668*$D$3^2/(2*$H$3))</f>
        <v>0.0422790423533253</v>
      </c>
      <c r="AH668" s="20" t="n">
        <f aca="false">IF(OR(W668="",NOT(ISNUMBER(W668))),"",W668*$D$3^2/2*$F$3)</f>
        <v>414.757405486122</v>
      </c>
    </row>
    <row r="669" customFormat="false" ht="15" hidden="false" customHeight="false" outlineLevel="0" collapsed="false">
      <c r="A669" s="10" t="s">
        <v>1452</v>
      </c>
      <c r="B669" s="23" t="s">
        <v>1273</v>
      </c>
      <c r="C669" s="6" t="s">
        <v>925</v>
      </c>
      <c r="D669" s="6" t="s">
        <v>1453</v>
      </c>
      <c r="E669" s="6" t="s">
        <v>1447</v>
      </c>
      <c r="F669" s="6" t="s">
        <v>68</v>
      </c>
      <c r="G669" s="6" t="n">
        <v>63</v>
      </c>
      <c r="H669" s="6" t="n">
        <v>40</v>
      </c>
      <c r="I669" s="6"/>
      <c r="J669" s="6" t="n">
        <v>16</v>
      </c>
      <c r="K669" s="6" t="s">
        <v>1276</v>
      </c>
      <c r="L669" s="6"/>
      <c r="M669" s="6"/>
      <c r="N669" s="12" t="n">
        <v>51.4</v>
      </c>
      <c r="O669" s="12" t="n">
        <v>32.6</v>
      </c>
      <c r="P669" s="12"/>
      <c r="Q669" s="12"/>
      <c r="R669" s="14" t="n">
        <v>0.019</v>
      </c>
      <c r="S669" s="6" t="n">
        <v>0</v>
      </c>
      <c r="T669" s="6" t="n">
        <v>30</v>
      </c>
      <c r="U669" s="15" t="n">
        <f aca="false">0.8*SIN(RADIANS(T669/2))*(1-(O669/N669)^2)</f>
        <v>0.123764791601962</v>
      </c>
      <c r="V669" s="14"/>
      <c r="W669" s="15" t="n">
        <f aca="false">2.6*SIN(RADIANS(T669/2))*(1-(O669/N669)^2)^2</f>
        <v>0.240431504041663</v>
      </c>
      <c r="X669" s="10" t="s">
        <v>996</v>
      </c>
      <c r="Y669" s="16"/>
      <c r="Z669" s="17" t="s">
        <v>48</v>
      </c>
      <c r="AA669" s="6"/>
      <c r="AB669" s="18" t="n">
        <f aca="false">IF(O669="","",$D$3*PI()*(O669/1000)^2/4*3600)</f>
        <v>4.50732466151427</v>
      </c>
      <c r="AC669" s="19" t="n">
        <f aca="false">IF(OR(U669="",NOT(ISNUMBER(U669))),"",U669*$D$3^2/(2*$H$3))</f>
        <v>0.0141932100460966</v>
      </c>
      <c r="AD669" s="20" t="n">
        <f aca="false">IF(OR(U669="",NOT(ISNUMBER(U669))),"",U669*$D$3^2/2*$F$3)</f>
        <v>139.235390552208</v>
      </c>
      <c r="AE669" s="19" t="str">
        <f aca="false">IF(OR(V669="",NOT(ISNUMBER(V669))),"",V669*$D$3^2/(2*$H$3))</f>
        <v/>
      </c>
      <c r="AF669" s="20" t="str">
        <f aca="false">IF(OR(V669="",NOT(ISNUMBER(V669))),"",V669*$D$3^2/2*$F$3)</f>
        <v/>
      </c>
      <c r="AG669" s="19" t="n">
        <f aca="false">IF(OR(W669="",NOT(ISNUMBER(W669))),"",W669*$D$3^2/(2*$H$3))</f>
        <v>0.0275724201882641</v>
      </c>
      <c r="AH669" s="20" t="n">
        <f aca="false">IF(OR(W669="",NOT(ISNUMBER(W669))),"",W669*$D$3^2/2*$F$3)</f>
        <v>270.485442046871</v>
      </c>
    </row>
    <row r="670" customFormat="false" ht="15" hidden="false" customHeight="false" outlineLevel="0" collapsed="false">
      <c r="A670" s="10" t="s">
        <v>1454</v>
      </c>
      <c r="B670" s="23" t="s">
        <v>1273</v>
      </c>
      <c r="C670" s="6" t="s">
        <v>925</v>
      </c>
      <c r="D670" s="6" t="s">
        <v>1455</v>
      </c>
      <c r="E670" s="6" t="s">
        <v>1447</v>
      </c>
      <c r="F670" s="6" t="s">
        <v>68</v>
      </c>
      <c r="G670" s="6" t="n">
        <v>63</v>
      </c>
      <c r="H670" s="6" t="n">
        <v>50</v>
      </c>
      <c r="I670" s="6"/>
      <c r="J670" s="6" t="n">
        <v>16</v>
      </c>
      <c r="K670" s="6" t="s">
        <v>1276</v>
      </c>
      <c r="L670" s="6"/>
      <c r="M670" s="6"/>
      <c r="N670" s="12" t="n">
        <v>51.4</v>
      </c>
      <c r="O670" s="12" t="n">
        <v>40.8</v>
      </c>
      <c r="P670" s="12"/>
      <c r="Q670" s="12"/>
      <c r="R670" s="14" t="n">
        <v>0.019</v>
      </c>
      <c r="S670" s="6" t="n">
        <v>0</v>
      </c>
      <c r="T670" s="6" t="n">
        <v>30</v>
      </c>
      <c r="U670" s="15" t="n">
        <f aca="false">0.8*SIN(RADIANS(T670/2))*(1-(O670/N670)^2)</f>
        <v>0.0765943554511334</v>
      </c>
      <c r="V670" s="14"/>
      <c r="W670" s="15" t="n">
        <f aca="false">2.6*SIN(RADIANS(T670/2))*(1-(O670/N670)^2)^2</f>
        <v>0.0920853780056779</v>
      </c>
      <c r="X670" s="10" t="s">
        <v>996</v>
      </c>
      <c r="Y670" s="16"/>
      <c r="Z670" s="17" t="s">
        <v>48</v>
      </c>
      <c r="AA670" s="6"/>
      <c r="AB670" s="18" t="n">
        <f aca="false">IF(O670="","",$D$3*PI()*(O670/1000)^2/4*3600)</f>
        <v>7.05998807307681</v>
      </c>
      <c r="AC670" s="19" t="n">
        <f aca="false">IF(OR(U670="",NOT(ISNUMBER(U670))),"",U670*$D$3^2/(2*$H$3))</f>
        <v>0.00878375635907494</v>
      </c>
      <c r="AD670" s="20" t="n">
        <f aca="false">IF(OR(U670="",NOT(ISNUMBER(U670))),"",U670*$D$3^2/2*$F$3)</f>
        <v>86.1686498825251</v>
      </c>
      <c r="AE670" s="19" t="str">
        <f aca="false">IF(OR(V670="",NOT(ISNUMBER(V670))),"",V670*$D$3^2/(2*$H$3))</f>
        <v/>
      </c>
      <c r="AF670" s="20" t="str">
        <f aca="false">IF(OR(V670="",NOT(ISNUMBER(V670))),"",V670*$D$3^2/2*$F$3)</f>
        <v/>
      </c>
      <c r="AG670" s="19" t="n">
        <f aca="false">IF(OR(W670="",NOT(ISNUMBER(W670))),"",W670*$D$3^2/(2*$H$3))</f>
        <v>0.0105602497712933</v>
      </c>
      <c r="AH670" s="20" t="n">
        <f aca="false">IF(OR(W670="",NOT(ISNUMBER(W670))),"",W670*$D$3^2/2*$F$3)</f>
        <v>103.596050256388</v>
      </c>
    </row>
    <row r="671" customFormat="false" ht="15" hidden="false" customHeight="false" outlineLevel="0" collapsed="false">
      <c r="A671" s="10" t="s">
        <v>1456</v>
      </c>
      <c r="B671" s="23" t="s">
        <v>1273</v>
      </c>
      <c r="C671" s="6" t="s">
        <v>925</v>
      </c>
      <c r="D671" s="6" t="s">
        <v>1457</v>
      </c>
      <c r="E671" s="6" t="s">
        <v>1447</v>
      </c>
      <c r="F671" s="6" t="s">
        <v>68</v>
      </c>
      <c r="G671" s="6" t="n">
        <v>75</v>
      </c>
      <c r="H671" s="6" t="n">
        <v>50</v>
      </c>
      <c r="I671" s="6"/>
      <c r="J671" s="6" t="n">
        <v>16</v>
      </c>
      <c r="K671" s="6" t="s">
        <v>1276</v>
      </c>
      <c r="L671" s="6"/>
      <c r="M671" s="6"/>
      <c r="N671" s="12" t="n">
        <v>61.4</v>
      </c>
      <c r="O671" s="12" t="n">
        <v>40.8</v>
      </c>
      <c r="P671" s="12"/>
      <c r="Q671" s="12"/>
      <c r="R671" s="14" t="n">
        <v>0.018</v>
      </c>
      <c r="S671" s="6" t="n">
        <v>0</v>
      </c>
      <c r="T671" s="6" t="n">
        <v>30</v>
      </c>
      <c r="U671" s="15" t="n">
        <f aca="false">0.8*SIN(RADIANS(T671/2))*(1-(O671/N671)^2)</f>
        <v>0.11562921877903</v>
      </c>
      <c r="V671" s="14"/>
      <c r="W671" s="15" t="n">
        <f aca="false">2.6*SIN(RADIANS(T671/2))*(1-(O671/N671)^2)^2</f>
        <v>0.209861284299984</v>
      </c>
      <c r="X671" s="10" t="s">
        <v>996</v>
      </c>
      <c r="Y671" s="16"/>
      <c r="Z671" s="17" t="s">
        <v>48</v>
      </c>
      <c r="AA671" s="6"/>
      <c r="AB671" s="18" t="n">
        <f aca="false">IF(O671="","",$D$3*PI()*(O671/1000)^2/4*3600)</f>
        <v>7.05998807307681</v>
      </c>
      <c r="AC671" s="19" t="n">
        <f aca="false">IF(OR(U671="",NOT(ISNUMBER(U671))),"",U671*$D$3^2/(2*$H$3))</f>
        <v>0.0132602315113566</v>
      </c>
      <c r="AD671" s="20" t="n">
        <f aca="false">IF(OR(U671="",NOT(ISNUMBER(U671))),"",U671*$D$3^2/2*$F$3)</f>
        <v>130.082871126409</v>
      </c>
      <c r="AE671" s="19" t="str">
        <f aca="false">IF(OR(V671="",NOT(ISNUMBER(V671))),"",V671*$D$3^2/(2*$H$3))</f>
        <v/>
      </c>
      <c r="AF671" s="20" t="str">
        <f aca="false">IF(OR(V671="",NOT(ISNUMBER(V671))),"",V671*$D$3^2/2*$F$3)</f>
        <v/>
      </c>
      <c r="AG671" s="19" t="n">
        <f aca="false">IF(OR(W671="",NOT(ISNUMBER(W671))),"",W671*$D$3^2/(2*$H$3))</f>
        <v>0.0240666610435762</v>
      </c>
      <c r="AH671" s="20" t="n">
        <f aca="false">IF(OR(W671="",NOT(ISNUMBER(W671))),"",W671*$D$3^2/2*$F$3)</f>
        <v>236.093944837482</v>
      </c>
    </row>
    <row r="672" customFormat="false" ht="15" hidden="false" customHeight="false" outlineLevel="0" collapsed="false">
      <c r="A672" s="10" t="s">
        <v>1458</v>
      </c>
      <c r="B672" s="23" t="s">
        <v>1273</v>
      </c>
      <c r="C672" s="6" t="s">
        <v>925</v>
      </c>
      <c r="D672" s="6" t="s">
        <v>1459</v>
      </c>
      <c r="E672" s="6" t="s">
        <v>1447</v>
      </c>
      <c r="F672" s="6" t="s">
        <v>68</v>
      </c>
      <c r="G672" s="6" t="n">
        <v>75</v>
      </c>
      <c r="H672" s="6" t="n">
        <v>63</v>
      </c>
      <c r="I672" s="6"/>
      <c r="J672" s="6" t="n">
        <v>16</v>
      </c>
      <c r="K672" s="6" t="s">
        <v>1276</v>
      </c>
      <c r="L672" s="6"/>
      <c r="M672" s="6"/>
      <c r="N672" s="12" t="n">
        <v>61.4</v>
      </c>
      <c r="O672" s="12" t="n">
        <v>51.4</v>
      </c>
      <c r="P672" s="12"/>
      <c r="Q672" s="12"/>
      <c r="R672" s="14" t="n">
        <v>0.018</v>
      </c>
      <c r="S672" s="6" t="n">
        <v>0</v>
      </c>
      <c r="T672" s="6" t="n">
        <v>30</v>
      </c>
      <c r="U672" s="15" t="n">
        <f aca="false">0.8*SIN(RADIANS(T672/2))*(1-(O672/N672)^2)</f>
        <v>0.0619524627053111</v>
      </c>
      <c r="V672" s="14"/>
      <c r="W672" s="15" t="n">
        <f aca="false">2.6*SIN(RADIANS(T672/2))*(1-(O672/N672)^2)^2</f>
        <v>0.0602440684457316</v>
      </c>
      <c r="X672" s="10" t="s">
        <v>996</v>
      </c>
      <c r="Y672" s="16"/>
      <c r="Z672" s="17" t="s">
        <v>48</v>
      </c>
      <c r="AA672" s="6"/>
      <c r="AB672" s="18" t="n">
        <f aca="false">IF(O672="","",$D$3*PI()*(O672/1000)^2/4*3600)</f>
        <v>11.2049488715554</v>
      </c>
      <c r="AC672" s="19" t="n">
        <f aca="false">IF(OR(U672="",NOT(ISNUMBER(U672))),"",U672*$D$3^2/(2*$H$3))</f>
        <v>0.00710464021849898</v>
      </c>
      <c r="AD672" s="20" t="n">
        <f aca="false">IF(OR(U672="",NOT(ISNUMBER(U672))),"",U672*$D$3^2/2*$F$3)</f>
        <v>69.696520543475</v>
      </c>
      <c r="AE672" s="19" t="str">
        <f aca="false">IF(OR(V672="",NOT(ISNUMBER(V672))),"",V672*$D$3^2/(2*$H$3))</f>
        <v/>
      </c>
      <c r="AF672" s="20" t="str">
        <f aca="false">IF(OR(V672="",NOT(ISNUMBER(V672))),"",V672*$D$3^2/2*$F$3)</f>
        <v/>
      </c>
      <c r="AG672" s="19" t="n">
        <f aca="false">IF(OR(W672="",NOT(ISNUMBER(W672))),"",W672*$D$3^2/(2*$H$3))</f>
        <v>0.00690872344561143</v>
      </c>
      <c r="AH672" s="20" t="n">
        <f aca="false">IF(OR(W672="",NOT(ISNUMBER(W672))),"",W672*$D$3^2/2*$F$3)</f>
        <v>67.7745770014481</v>
      </c>
    </row>
    <row r="673" customFormat="false" ht="15" hidden="false" customHeight="false" outlineLevel="0" collapsed="false">
      <c r="A673" s="10" t="s">
        <v>1460</v>
      </c>
      <c r="B673" s="23" t="s">
        <v>1273</v>
      </c>
      <c r="C673" s="6" t="s">
        <v>925</v>
      </c>
      <c r="D673" s="6" t="s">
        <v>1461</v>
      </c>
      <c r="E673" s="6" t="s">
        <v>1447</v>
      </c>
      <c r="F673" s="6" t="s">
        <v>68</v>
      </c>
      <c r="G673" s="6" t="n">
        <v>90</v>
      </c>
      <c r="H673" s="6" t="n">
        <v>50</v>
      </c>
      <c r="I673" s="6"/>
      <c r="J673" s="6" t="n">
        <v>16</v>
      </c>
      <c r="K673" s="6" t="s">
        <v>1276</v>
      </c>
      <c r="L673" s="6"/>
      <c r="M673" s="6"/>
      <c r="N673" s="12" t="n">
        <v>73.6</v>
      </c>
      <c r="O673" s="12" t="n">
        <v>40.8</v>
      </c>
      <c r="P673" s="12"/>
      <c r="Q673" s="12"/>
      <c r="R673" s="14" t="n">
        <v>0.018</v>
      </c>
      <c r="S673" s="6" t="n">
        <v>0</v>
      </c>
      <c r="T673" s="6" t="n">
        <v>30</v>
      </c>
      <c r="U673" s="15" t="n">
        <f aca="false">0.8*SIN(RADIANS(T673/2))*(1-(O673/N673)^2)</f>
        <v>0.143426848907002</v>
      </c>
      <c r="V673" s="14"/>
      <c r="W673" s="15" t="n">
        <f aca="false">2.6*SIN(RADIANS(T673/2))*(1-(O673/N673)^2)^2</f>
        <v>0.322892574339638</v>
      </c>
      <c r="X673" s="10" t="s">
        <v>996</v>
      </c>
      <c r="Y673" s="16"/>
      <c r="Z673" s="17" t="s">
        <v>48</v>
      </c>
      <c r="AA673" s="6"/>
      <c r="AB673" s="18" t="n">
        <f aca="false">IF(O673="","",$D$3*PI()*(O673/1000)^2/4*3600)</f>
        <v>7.05998807307681</v>
      </c>
      <c r="AC673" s="19" t="n">
        <f aca="false">IF(OR(U673="",NOT(ISNUMBER(U673))),"",U673*$D$3^2/(2*$H$3))</f>
        <v>0.0164480331315369</v>
      </c>
      <c r="AD673" s="20" t="n">
        <f aca="false">IF(OR(U673="",NOT(ISNUMBER(U673))),"",U673*$D$3^2/2*$F$3)</f>
        <v>161.355205020377</v>
      </c>
      <c r="AE673" s="19" t="str">
        <f aca="false">IF(OR(V673="",NOT(ISNUMBER(V673))),"",V673*$D$3^2/(2*$H$3))</f>
        <v/>
      </c>
      <c r="AF673" s="20" t="str">
        <f aca="false">IF(OR(V673="",NOT(ISNUMBER(V673))),"",V673*$D$3^2/2*$F$3)</f>
        <v/>
      </c>
      <c r="AG673" s="19" t="n">
        <f aca="false">IF(OR(W673="",NOT(ISNUMBER(W673))),"",W673*$D$3^2/(2*$H$3))</f>
        <v>0.0370289649472061</v>
      </c>
      <c r="AH673" s="20" t="n">
        <f aca="false">IF(OR(W673="",NOT(ISNUMBER(W673))),"",W673*$D$3^2/2*$F$3)</f>
        <v>363.254146132092</v>
      </c>
    </row>
    <row r="674" customFormat="false" ht="15" hidden="false" customHeight="false" outlineLevel="0" collapsed="false">
      <c r="A674" s="10" t="s">
        <v>1462</v>
      </c>
      <c r="B674" s="23" t="s">
        <v>1273</v>
      </c>
      <c r="C674" s="6" t="s">
        <v>925</v>
      </c>
      <c r="D674" s="6" t="s">
        <v>1463</v>
      </c>
      <c r="E674" s="6" t="s">
        <v>1447</v>
      </c>
      <c r="F674" s="6" t="s">
        <v>68</v>
      </c>
      <c r="G674" s="6" t="n">
        <v>90</v>
      </c>
      <c r="H674" s="6" t="n">
        <v>63</v>
      </c>
      <c r="I674" s="6"/>
      <c r="J674" s="6" t="n">
        <v>16</v>
      </c>
      <c r="K674" s="6" t="s">
        <v>1276</v>
      </c>
      <c r="L674" s="6"/>
      <c r="M674" s="6"/>
      <c r="N674" s="12" t="n">
        <v>73.6</v>
      </c>
      <c r="O674" s="12" t="n">
        <v>51.4</v>
      </c>
      <c r="P674" s="12"/>
      <c r="Q674" s="12"/>
      <c r="R674" s="14" t="n">
        <v>0.018</v>
      </c>
      <c r="S674" s="6" t="n">
        <v>0</v>
      </c>
      <c r="T674" s="6" t="n">
        <v>30</v>
      </c>
      <c r="U674" s="15" t="n">
        <f aca="false">0.8*SIN(RADIANS(T674/2))*(1-(O674/N674)^2)</f>
        <v>0.106070246065615</v>
      </c>
      <c r="V674" s="14"/>
      <c r="W674" s="15" t="n">
        <f aca="false">2.6*SIN(RADIANS(T674/2))*(1-(O674/N674)^2)^2</f>
        <v>0.176597396271021</v>
      </c>
      <c r="X674" s="10" t="s">
        <v>996</v>
      </c>
      <c r="Y674" s="16"/>
      <c r="Z674" s="17" t="s">
        <v>48</v>
      </c>
      <c r="AA674" s="6"/>
      <c r="AB674" s="18" t="n">
        <f aca="false">IF(O674="","",$D$3*PI()*(O674/1000)^2/4*3600)</f>
        <v>11.2049488715554</v>
      </c>
      <c r="AC674" s="19" t="n">
        <f aca="false">IF(OR(U674="",NOT(ISNUMBER(U674))),"",U674*$D$3^2/(2*$H$3))</f>
        <v>0.0121640190442219</v>
      </c>
      <c r="AD674" s="20" t="n">
        <f aca="false">IF(OR(U674="",NOT(ISNUMBER(U674))),"",U674*$D$3^2/2*$F$3)</f>
        <v>119.329026823817</v>
      </c>
      <c r="AE674" s="19" t="str">
        <f aca="false">IF(OR(V674="",NOT(ISNUMBER(V674))),"",V674*$D$3^2/(2*$H$3))</f>
        <v/>
      </c>
      <c r="AF674" s="20" t="str">
        <f aca="false">IF(OR(V674="",NOT(ISNUMBER(V674))),"",V674*$D$3^2/2*$F$3)</f>
        <v/>
      </c>
      <c r="AG674" s="19" t="n">
        <f aca="false">IF(OR(W674="",NOT(ISNUMBER(W674))),"",W674*$D$3^2/(2*$H$3))</f>
        <v>0.0202519949852088</v>
      </c>
      <c r="AH674" s="20" t="n">
        <f aca="false">IF(OR(W674="",NOT(ISNUMBER(W674))),"",W674*$D$3^2/2*$F$3)</f>
        <v>198.672070804898</v>
      </c>
    </row>
    <row r="675" customFormat="false" ht="15" hidden="false" customHeight="false" outlineLevel="0" collapsed="false">
      <c r="A675" s="10" t="s">
        <v>1464</v>
      </c>
      <c r="B675" s="23" t="s">
        <v>1273</v>
      </c>
      <c r="C675" s="6" t="s">
        <v>925</v>
      </c>
      <c r="D675" s="6" t="s">
        <v>1465</v>
      </c>
      <c r="E675" s="6" t="s">
        <v>1447</v>
      </c>
      <c r="F675" s="6" t="s">
        <v>68</v>
      </c>
      <c r="G675" s="6" t="n">
        <v>90</v>
      </c>
      <c r="H675" s="6" t="n">
        <v>75</v>
      </c>
      <c r="I675" s="6"/>
      <c r="J675" s="6" t="n">
        <v>16</v>
      </c>
      <c r="K675" s="6" t="s">
        <v>1276</v>
      </c>
      <c r="L675" s="6"/>
      <c r="M675" s="6"/>
      <c r="N675" s="12" t="n">
        <v>73.6</v>
      </c>
      <c r="O675" s="12" t="n">
        <v>61.4</v>
      </c>
      <c r="P675" s="12"/>
      <c r="Q675" s="12"/>
      <c r="R675" s="14" t="n">
        <v>0.018</v>
      </c>
      <c r="S675" s="6" t="n">
        <v>0</v>
      </c>
      <c r="T675" s="6" t="n">
        <v>30</v>
      </c>
      <c r="U675" s="15" t="n">
        <f aca="false">0.8*SIN(RADIANS(T675/2))*(1-(O675/N675)^2)</f>
        <v>0.0629541244216463</v>
      </c>
      <c r="V675" s="14"/>
      <c r="W675" s="15" t="n">
        <f aca="false">2.6*SIN(RADIANS(T675/2))*(1-(O675/N675)^2)^2</f>
        <v>0.0622078969565895</v>
      </c>
      <c r="X675" s="10" t="s">
        <v>996</v>
      </c>
      <c r="Y675" s="16"/>
      <c r="Z675" s="17" t="s">
        <v>48</v>
      </c>
      <c r="AA675" s="6"/>
      <c r="AB675" s="18" t="n">
        <f aca="false">IF(O675="","",$D$3*PI()*(O675/1000)^2/4*3600)</f>
        <v>15.988966164442</v>
      </c>
      <c r="AC675" s="19" t="n">
        <f aca="false">IF(OR(U675="",NOT(ISNUMBER(U675))),"",U675*$D$3^2/(2*$H$3))</f>
        <v>0.00721950968138146</v>
      </c>
      <c r="AD675" s="20" t="n">
        <f aca="false">IF(OR(U675="",NOT(ISNUMBER(U675))),"",U675*$D$3^2/2*$F$3)</f>
        <v>70.8233899743521</v>
      </c>
      <c r="AE675" s="19" t="str">
        <f aca="false">IF(OR(V675="",NOT(ISNUMBER(V675))),"",V675*$D$3^2/(2*$H$3))</f>
        <v/>
      </c>
      <c r="AF675" s="20" t="str">
        <f aca="false">IF(OR(V675="",NOT(ISNUMBER(V675))),"",V675*$D$3^2/2*$F$3)</f>
        <v/>
      </c>
      <c r="AG675" s="19" t="n">
        <f aca="false">IF(OR(W675="",NOT(ISNUMBER(W675))),"",W675*$D$3^2/(2*$H$3))</f>
        <v>0.00713393313722357</v>
      </c>
      <c r="AH675" s="20" t="n">
        <f aca="false">IF(OR(W675="",NOT(ISNUMBER(W675))),"",W675*$D$3^2/2*$F$3)</f>
        <v>69.9838840761632</v>
      </c>
    </row>
    <row r="676" customFormat="false" ht="15" hidden="false" customHeight="false" outlineLevel="0" collapsed="false">
      <c r="A676" s="10" t="s">
        <v>1466</v>
      </c>
      <c r="B676" s="23" t="s">
        <v>1273</v>
      </c>
      <c r="C676" s="6" t="s">
        <v>925</v>
      </c>
      <c r="D676" s="6" t="s">
        <v>1467</v>
      </c>
      <c r="E676" s="6" t="s">
        <v>1447</v>
      </c>
      <c r="F676" s="6" t="s">
        <v>68</v>
      </c>
      <c r="G676" s="6" t="n">
        <v>110</v>
      </c>
      <c r="H676" s="6" t="n">
        <v>63</v>
      </c>
      <c r="I676" s="6"/>
      <c r="J676" s="6" t="n">
        <v>16</v>
      </c>
      <c r="K676" s="6" t="s">
        <v>1276</v>
      </c>
      <c r="L676" s="6"/>
      <c r="M676" s="6"/>
      <c r="N676" s="12" t="n">
        <v>90</v>
      </c>
      <c r="O676" s="12" t="n">
        <v>51.4</v>
      </c>
      <c r="P676" s="12"/>
      <c r="Q676" s="12"/>
      <c r="R676" s="14" t="n">
        <v>0.017</v>
      </c>
      <c r="S676" s="6" t="n">
        <v>0</v>
      </c>
      <c r="T676" s="6" t="n">
        <v>30</v>
      </c>
      <c r="U676" s="15" t="n">
        <f aca="false">0.8*SIN(RADIANS(T676/2))*(1-(O676/N676)^2)</f>
        <v>0.139520464289517</v>
      </c>
      <c r="V676" s="14"/>
      <c r="W676" s="15" t="n">
        <f aca="false">2.6*SIN(RADIANS(T676/2))*(1-(O676/N676)^2)^2</f>
        <v>0.305543443637032</v>
      </c>
      <c r="X676" s="10" t="s">
        <v>996</v>
      </c>
      <c r="Y676" s="16"/>
      <c r="Z676" s="17" t="s">
        <v>48</v>
      </c>
      <c r="AA676" s="6"/>
      <c r="AB676" s="18" t="n">
        <f aca="false">IF(O676="","",$D$3*PI()*(O676/1000)^2/4*3600)</f>
        <v>11.2049488715554</v>
      </c>
      <c r="AC676" s="19" t="n">
        <f aca="false">IF(OR(U676="",NOT(ISNUMBER(U676))),"",U676*$D$3^2/(2*$H$3))</f>
        <v>0.0160000532442107</v>
      </c>
      <c r="AD676" s="20" t="n">
        <f aca="false">IF(OR(U676="",NOT(ISNUMBER(U676))),"",U676*$D$3^2/2*$F$3)</f>
        <v>156.960522325707</v>
      </c>
      <c r="AE676" s="19" t="str">
        <f aca="false">IF(OR(V676="",NOT(ISNUMBER(V676))),"",V676*$D$3^2/(2*$H$3))</f>
        <v/>
      </c>
      <c r="AF676" s="20" t="str">
        <f aca="false">IF(OR(V676="",NOT(ISNUMBER(V676))),"",V676*$D$3^2/2*$F$3)</f>
        <v/>
      </c>
      <c r="AG676" s="19" t="n">
        <f aca="false">IF(OR(W676="",NOT(ISNUMBER(W676))),"",W676*$D$3^2/(2*$H$3))</f>
        <v>0.0350393857381917</v>
      </c>
      <c r="AH676" s="20" t="n">
        <f aca="false">IF(OR(W676="",NOT(ISNUMBER(W676))),"",W676*$D$3^2/2*$F$3)</f>
        <v>343.736374091661</v>
      </c>
    </row>
    <row r="677" customFormat="false" ht="15" hidden="false" customHeight="false" outlineLevel="0" collapsed="false">
      <c r="A677" s="10" t="s">
        <v>1468</v>
      </c>
      <c r="B677" s="23" t="s">
        <v>1273</v>
      </c>
      <c r="C677" s="6" t="s">
        <v>925</v>
      </c>
      <c r="D677" s="6" t="s">
        <v>1469</v>
      </c>
      <c r="E677" s="6" t="s">
        <v>1447</v>
      </c>
      <c r="F677" s="6" t="s">
        <v>68</v>
      </c>
      <c r="G677" s="6" t="n">
        <v>110</v>
      </c>
      <c r="H677" s="6" t="n">
        <v>75</v>
      </c>
      <c r="I677" s="6"/>
      <c r="J677" s="6" t="n">
        <v>16</v>
      </c>
      <c r="K677" s="6" t="s">
        <v>1276</v>
      </c>
      <c r="L677" s="6"/>
      <c r="M677" s="6"/>
      <c r="N677" s="12" t="n">
        <v>90</v>
      </c>
      <c r="O677" s="12" t="n">
        <v>61.4</v>
      </c>
      <c r="P677" s="12"/>
      <c r="Q677" s="12"/>
      <c r="R677" s="14" t="n">
        <v>0.017</v>
      </c>
      <c r="S677" s="6" t="n">
        <v>0</v>
      </c>
      <c r="T677" s="6" t="n">
        <v>30</v>
      </c>
      <c r="U677" s="15" t="n">
        <f aca="false">0.8*SIN(RADIANS(T677/2))*(1-(O677/N677)^2)</f>
        <v>0.110686105486985</v>
      </c>
      <c r="V677" s="14"/>
      <c r="W677" s="15" t="n">
        <f aca="false">2.6*SIN(RADIANS(T677/2))*(1-(O677/N677)^2)^2</f>
        <v>0.192301803538186</v>
      </c>
      <c r="X677" s="10" t="s">
        <v>996</v>
      </c>
      <c r="Y677" s="16"/>
      <c r="Z677" s="17" t="s">
        <v>48</v>
      </c>
      <c r="AA677" s="6"/>
      <c r="AB677" s="18" t="n">
        <f aca="false">IF(O677="","",$D$3*PI()*(O677/1000)^2/4*3600)</f>
        <v>15.988966164442</v>
      </c>
      <c r="AC677" s="19" t="n">
        <f aca="false">IF(OR(U677="",NOT(ISNUMBER(U677))),"",U677*$D$3^2/(2*$H$3))</f>
        <v>0.0126933607209845</v>
      </c>
      <c r="AD677" s="20" t="n">
        <f aca="false">IF(OR(U677="",NOT(ISNUMBER(U677))),"",U677*$D$3^2/2*$F$3)</f>
        <v>124.521868672858</v>
      </c>
      <c r="AE677" s="19" t="str">
        <f aca="false">IF(OR(V677="",NOT(ISNUMBER(V677))),"",V677*$D$3^2/(2*$H$3))</f>
        <v/>
      </c>
      <c r="AF677" s="20" t="str">
        <f aca="false">IF(OR(V677="",NOT(ISNUMBER(V677))),"",V677*$D$3^2/2*$F$3)</f>
        <v/>
      </c>
      <c r="AG677" s="19" t="n">
        <f aca="false">IF(OR(W677="",NOT(ISNUMBER(W677))),"",W677*$D$3^2/(2*$H$3))</f>
        <v>0.0220529591213516</v>
      </c>
      <c r="AH677" s="20" t="n">
        <f aca="false">IF(OR(W677="",NOT(ISNUMBER(W677))),"",W677*$D$3^2/2*$F$3)</f>
        <v>216.339528980459</v>
      </c>
    </row>
    <row r="678" customFormat="false" ht="15" hidden="false" customHeight="false" outlineLevel="0" collapsed="false">
      <c r="A678" s="10" t="s">
        <v>1470</v>
      </c>
      <c r="B678" s="23" t="s">
        <v>1273</v>
      </c>
      <c r="C678" s="6" t="s">
        <v>925</v>
      </c>
      <c r="D678" s="6" t="s">
        <v>1471</v>
      </c>
      <c r="E678" s="6" t="s">
        <v>1447</v>
      </c>
      <c r="F678" s="6" t="s">
        <v>68</v>
      </c>
      <c r="G678" s="6" t="n">
        <v>110</v>
      </c>
      <c r="H678" s="6" t="n">
        <v>90</v>
      </c>
      <c r="I678" s="6"/>
      <c r="J678" s="6" t="n">
        <v>16</v>
      </c>
      <c r="K678" s="6" t="s">
        <v>1276</v>
      </c>
      <c r="L678" s="6"/>
      <c r="M678" s="6"/>
      <c r="N678" s="12" t="n">
        <v>90</v>
      </c>
      <c r="O678" s="12" t="n">
        <v>73.6</v>
      </c>
      <c r="P678" s="12"/>
      <c r="Q678" s="12"/>
      <c r="R678" s="14" t="n">
        <v>0.017</v>
      </c>
      <c r="S678" s="6" t="n">
        <v>0</v>
      </c>
      <c r="T678" s="6" t="n">
        <v>30</v>
      </c>
      <c r="U678" s="15" t="n">
        <f aca="false">0.8*SIN(RADIANS(T678/2))*(1-(O678/N678)^2)</f>
        <v>0.0685848741503079</v>
      </c>
      <c r="V678" s="14"/>
      <c r="W678" s="15" t="n">
        <f aca="false">2.6*SIN(RADIANS(T678/2))*(1-(O678/N678)^2)^2</f>
        <v>0.0738335644945416</v>
      </c>
      <c r="X678" s="10" t="s">
        <v>996</v>
      </c>
      <c r="Y678" s="16"/>
      <c r="Z678" s="17" t="s">
        <v>48</v>
      </c>
      <c r="AA678" s="6"/>
      <c r="AB678" s="18" t="n">
        <f aca="false">IF(O678="","",$D$3*PI()*(O678/1000)^2/4*3600)</f>
        <v>22.9741403500662</v>
      </c>
      <c r="AC678" s="19" t="n">
        <f aca="false">IF(OR(U678="",NOT(ISNUMBER(U678))),"",U678*$D$3^2/(2*$H$3))</f>
        <v>0.00786523786127384</v>
      </c>
      <c r="AD678" s="20" t="n">
        <f aca="false">IF(OR(U678="",NOT(ISNUMBER(U678))),"",U678*$D$3^2/2*$F$3)</f>
        <v>77.1579834190964</v>
      </c>
      <c r="AE678" s="19" t="str">
        <f aca="false">IF(OR(V678="",NOT(ISNUMBER(V678))),"",V678*$D$3^2/(2*$H$3))</f>
        <v/>
      </c>
      <c r="AF678" s="20" t="str">
        <f aca="false">IF(OR(V678="",NOT(ISNUMBER(V678))),"",V678*$D$3^2/2*$F$3)</f>
        <v/>
      </c>
      <c r="AG678" s="19" t="n">
        <f aca="false">IF(OR(W678="",NOT(ISNUMBER(W678))),"",W678*$D$3^2/(2*$H$3))</f>
        <v>0.00846715189157587</v>
      </c>
      <c r="AH678" s="20" t="n">
        <f aca="false">IF(OR(W678="",NOT(ISNUMBER(W678))),"",W678*$D$3^2/2*$F$3)</f>
        <v>83.0627600563593</v>
      </c>
    </row>
    <row r="679" customFormat="false" ht="15" hidden="false" customHeight="false" outlineLevel="0" collapsed="false">
      <c r="A679" s="10" t="s">
        <v>1472</v>
      </c>
      <c r="B679" s="23" t="s">
        <v>1273</v>
      </c>
      <c r="C679" s="6" t="s">
        <v>925</v>
      </c>
      <c r="D679" s="6" t="s">
        <v>1473</v>
      </c>
      <c r="E679" s="6" t="s">
        <v>1447</v>
      </c>
      <c r="F679" s="6" t="s">
        <v>68</v>
      </c>
      <c r="G679" s="6" t="n">
        <v>125</v>
      </c>
      <c r="H679" s="6" t="n">
        <v>63</v>
      </c>
      <c r="I679" s="6"/>
      <c r="J679" s="6" t="n">
        <v>16</v>
      </c>
      <c r="K679" s="6" t="s">
        <v>1276</v>
      </c>
      <c r="L679" s="6"/>
      <c r="M679" s="6"/>
      <c r="N679" s="12" t="n">
        <v>102.2</v>
      </c>
      <c r="O679" s="12" t="n">
        <v>51.4</v>
      </c>
      <c r="P679" s="12"/>
      <c r="Q679" s="12"/>
      <c r="R679" s="14" t="n">
        <v>0.016</v>
      </c>
      <c r="S679" s="6" t="n">
        <v>0</v>
      </c>
      <c r="T679" s="6" t="n">
        <v>30</v>
      </c>
      <c r="U679" s="15" t="n">
        <f aca="false">0.8*SIN(RADIANS(T679/2))*(1-(O679/N679)^2)</f>
        <v>0.154681848694633</v>
      </c>
      <c r="V679" s="14"/>
      <c r="W679" s="15" t="n">
        <f aca="false">2.6*SIN(RADIANS(T679/2))*(1-(O679/N679)^2)^2</f>
        <v>0.375556991443882</v>
      </c>
      <c r="X679" s="10" t="s">
        <v>996</v>
      </c>
      <c r="Y679" s="16"/>
      <c r="Z679" s="17" t="s">
        <v>48</v>
      </c>
      <c r="AA679" s="6"/>
      <c r="AB679" s="18" t="n">
        <f aca="false">IF(O679="","",$D$3*PI()*(O679/1000)^2/4*3600)</f>
        <v>11.2049488715554</v>
      </c>
      <c r="AC679" s="19" t="n">
        <f aca="false">IF(OR(U679="",NOT(ISNUMBER(U679))),"",U679*$D$3^2/(2*$H$3))</f>
        <v>0.0177387441163569</v>
      </c>
      <c r="AD679" s="20" t="n">
        <f aca="false">IF(OR(U679="",NOT(ISNUMBER(U679))),"",U679*$D$3^2/2*$F$3)</f>
        <v>174.017079781462</v>
      </c>
      <c r="AE679" s="19" t="str">
        <f aca="false">IF(OR(V679="",NOT(ISNUMBER(V679))),"",V679*$D$3^2/(2*$H$3))</f>
        <v/>
      </c>
      <c r="AF679" s="20" t="str">
        <f aca="false">IF(OR(V679="",NOT(ISNUMBER(V679))),"",V679*$D$3^2/2*$F$3)</f>
        <v/>
      </c>
      <c r="AG679" s="19" t="n">
        <f aca="false">IF(OR(W679="",NOT(ISNUMBER(W679))),"",W679*$D$3^2/(2*$H$3))</f>
        <v>0.0430684623215461</v>
      </c>
      <c r="AH679" s="20" t="n">
        <f aca="false">IF(OR(W679="",NOT(ISNUMBER(W679))),"",W679*$D$3^2/2*$F$3)</f>
        <v>422.501615374367</v>
      </c>
    </row>
    <row r="680" customFormat="false" ht="15" hidden="false" customHeight="false" outlineLevel="0" collapsed="false">
      <c r="A680" s="10" t="s">
        <v>1474</v>
      </c>
      <c r="B680" s="23" t="s">
        <v>1273</v>
      </c>
      <c r="C680" s="6" t="s">
        <v>925</v>
      </c>
      <c r="D680" s="6" t="s">
        <v>1475</v>
      </c>
      <c r="E680" s="6" t="s">
        <v>1447</v>
      </c>
      <c r="F680" s="6" t="s">
        <v>68</v>
      </c>
      <c r="G680" s="6" t="n">
        <v>125</v>
      </c>
      <c r="H680" s="6" t="n">
        <v>75</v>
      </c>
      <c r="I680" s="6"/>
      <c r="J680" s="6" t="n">
        <v>16</v>
      </c>
      <c r="K680" s="6" t="s">
        <v>1276</v>
      </c>
      <c r="L680" s="6"/>
      <c r="M680" s="6"/>
      <c r="N680" s="12" t="n">
        <v>102.2</v>
      </c>
      <c r="O680" s="12" t="n">
        <v>61.4</v>
      </c>
      <c r="P680" s="12"/>
      <c r="Q680" s="12"/>
      <c r="R680" s="14" t="n">
        <v>0.016</v>
      </c>
      <c r="S680" s="6" t="n">
        <v>0</v>
      </c>
      <c r="T680" s="6" t="n">
        <v>30</v>
      </c>
      <c r="U680" s="15" t="n">
        <f aca="false">0.8*SIN(RADIANS(T680/2))*(1-(O680/N680)^2)</f>
        <v>0.132320730065672</v>
      </c>
      <c r="V680" s="14"/>
      <c r="W680" s="15" t="n">
        <f aca="false">2.6*SIN(RADIANS(T680/2))*(1-(O680/N680)^2)^2</f>
        <v>0.274822901334768</v>
      </c>
      <c r="X680" s="10" t="s">
        <v>996</v>
      </c>
      <c r="Y680" s="16"/>
      <c r="Z680" s="17" t="s">
        <v>48</v>
      </c>
      <c r="AA680" s="6"/>
      <c r="AB680" s="18" t="n">
        <f aca="false">IF(O680="","",$D$3*PI()*(O680/1000)^2/4*3600)</f>
        <v>15.988966164442</v>
      </c>
      <c r="AC680" s="19" t="n">
        <f aca="false">IF(OR(U680="",NOT(ISNUMBER(U680))),"",U680*$D$3^2/(2*$H$3))</f>
        <v>0.015174395649733</v>
      </c>
      <c r="AD680" s="20" t="n">
        <f aca="false">IF(OR(U680="",NOT(ISNUMBER(U680))),"",U680*$D$3^2/2*$F$3)</f>
        <v>148.860821323881</v>
      </c>
      <c r="AE680" s="19" t="str">
        <f aca="false">IF(OR(V680="",NOT(ISNUMBER(V680))),"",V680*$D$3^2/(2*$H$3))</f>
        <v/>
      </c>
      <c r="AF680" s="20" t="str">
        <f aca="false">IF(OR(V680="",NOT(ISNUMBER(V680))),"",V680*$D$3^2/2*$F$3)</f>
        <v/>
      </c>
      <c r="AG680" s="19" t="n">
        <f aca="false">IF(OR(W680="",NOT(ISNUMBER(W680))),"",W680*$D$3^2/(2*$H$3))</f>
        <v>0.0315163877677486</v>
      </c>
      <c r="AH680" s="20" t="n">
        <f aca="false">IF(OR(W680="",NOT(ISNUMBER(W680))),"",W680*$D$3^2/2*$F$3)</f>
        <v>309.175764001614</v>
      </c>
    </row>
    <row r="681" customFormat="false" ht="15" hidden="false" customHeight="false" outlineLevel="0" collapsed="false">
      <c r="A681" s="10" t="s">
        <v>1476</v>
      </c>
      <c r="B681" s="23" t="s">
        <v>1273</v>
      </c>
      <c r="C681" s="6" t="s">
        <v>925</v>
      </c>
      <c r="D681" s="6" t="s">
        <v>1477</v>
      </c>
      <c r="E681" s="6" t="s">
        <v>1447</v>
      </c>
      <c r="F681" s="6" t="s">
        <v>68</v>
      </c>
      <c r="G681" s="6" t="n">
        <v>125</v>
      </c>
      <c r="H681" s="6" t="n">
        <v>90</v>
      </c>
      <c r="I681" s="6"/>
      <c r="J681" s="6" t="n">
        <v>16</v>
      </c>
      <c r="K681" s="6" t="s">
        <v>1276</v>
      </c>
      <c r="L681" s="6"/>
      <c r="M681" s="6"/>
      <c r="N681" s="12" t="n">
        <v>102.2</v>
      </c>
      <c r="O681" s="12" t="n">
        <v>73.6</v>
      </c>
      <c r="P681" s="12"/>
      <c r="Q681" s="12"/>
      <c r="R681" s="14" t="n">
        <v>0.016</v>
      </c>
      <c r="S681" s="6" t="n">
        <v>0</v>
      </c>
      <c r="T681" s="6" t="n">
        <v>30</v>
      </c>
      <c r="U681" s="15" t="n">
        <f aca="false">0.8*SIN(RADIANS(T681/2))*(1-(O681/N681)^2)</f>
        <v>0.0996711180249817</v>
      </c>
      <c r="V681" s="14"/>
      <c r="W681" s="15" t="n">
        <f aca="false">2.6*SIN(RADIANS(T681/2))*(1-(O681/N681)^2)^2</f>
        <v>0.155932198857062</v>
      </c>
      <c r="X681" s="10" t="s">
        <v>996</v>
      </c>
      <c r="Y681" s="16"/>
      <c r="Z681" s="17" t="s">
        <v>48</v>
      </c>
      <c r="AA681" s="6"/>
      <c r="AB681" s="18" t="n">
        <f aca="false">IF(O681="","",$D$3*PI()*(O681/1000)^2/4*3600)</f>
        <v>22.9741403500662</v>
      </c>
      <c r="AC681" s="19" t="n">
        <f aca="false">IF(OR(U681="",NOT(ISNUMBER(U681))),"",U681*$D$3^2/(2*$H$3))</f>
        <v>0.0114301740854337</v>
      </c>
      <c r="AD681" s="20" t="n">
        <f aca="false">IF(OR(U681="",NOT(ISNUMBER(U681))),"",U681*$D$3^2/2*$F$3)</f>
        <v>112.130007778104</v>
      </c>
      <c r="AE681" s="19" t="str">
        <f aca="false">IF(OR(V681="",NOT(ISNUMBER(V681))),"",V681*$D$3^2/(2*$H$3))</f>
        <v/>
      </c>
      <c r="AF681" s="20" t="str">
        <f aca="false">IF(OR(V681="",NOT(ISNUMBER(V681))),"",V681*$D$3^2/2*$F$3)</f>
        <v/>
      </c>
      <c r="AG681" s="19" t="n">
        <f aca="false">IF(OR(W681="",NOT(ISNUMBER(W681))),"",W681*$D$3^2/(2*$H$3))</f>
        <v>0.0178821328964521</v>
      </c>
      <c r="AH681" s="20" t="n">
        <f aca="false">IF(OR(W681="",NOT(ISNUMBER(W681))),"",W681*$D$3^2/2*$F$3)</f>
        <v>175.423723714195</v>
      </c>
    </row>
    <row r="682" customFormat="false" ht="15" hidden="false" customHeight="false" outlineLevel="0" collapsed="false">
      <c r="A682" s="10" t="s">
        <v>1478</v>
      </c>
      <c r="B682" s="23" t="s">
        <v>1273</v>
      </c>
      <c r="C682" s="6" t="s">
        <v>925</v>
      </c>
      <c r="D682" s="6" t="s">
        <v>1479</v>
      </c>
      <c r="E682" s="6" t="s">
        <v>1447</v>
      </c>
      <c r="F682" s="6" t="s">
        <v>68</v>
      </c>
      <c r="G682" s="6" t="n">
        <v>125</v>
      </c>
      <c r="H682" s="6" t="n">
        <v>110</v>
      </c>
      <c r="I682" s="6"/>
      <c r="J682" s="6" t="n">
        <v>16</v>
      </c>
      <c r="K682" s="6" t="s">
        <v>1276</v>
      </c>
      <c r="L682" s="6"/>
      <c r="M682" s="6"/>
      <c r="N682" s="12" t="n">
        <v>102.2</v>
      </c>
      <c r="O682" s="12" t="n">
        <v>90</v>
      </c>
      <c r="P682" s="12"/>
      <c r="Q682" s="12"/>
      <c r="R682" s="14" t="n">
        <v>0.016</v>
      </c>
      <c r="S682" s="6" t="n">
        <v>0</v>
      </c>
      <c r="T682" s="6" t="n">
        <v>30</v>
      </c>
      <c r="U682" s="15" t="n">
        <f aca="false">0.8*SIN(RADIANS(T682/2))*(1-(O682/N682)^2)</f>
        <v>0.0464833735868195</v>
      </c>
      <c r="V682" s="14"/>
      <c r="W682" s="15" t="n">
        <f aca="false">2.6*SIN(RADIANS(T682/2))*(1-(O682/N682)^2)^2</f>
        <v>0.0339150470083107</v>
      </c>
      <c r="X682" s="10" t="s">
        <v>996</v>
      </c>
      <c r="Y682" s="16"/>
      <c r="Z682" s="17" t="s">
        <v>48</v>
      </c>
      <c r="AA682" s="6"/>
      <c r="AB682" s="18" t="n">
        <f aca="false">IF(O682="","",$D$3*PI()*(O682/1000)^2/4*3600)</f>
        <v>34.3533156670044</v>
      </c>
      <c r="AC682" s="19" t="n">
        <f aca="false">IF(OR(U682="",NOT(ISNUMBER(U682))),"",U682*$D$3^2/(2*$H$3))</f>
        <v>0.00533066210858022</v>
      </c>
      <c r="AD682" s="20" t="n">
        <f aca="false">IF(OR(U682="",NOT(ISNUMBER(U682))),"",U682*$D$3^2/2*$F$3)</f>
        <v>52.293795285172</v>
      </c>
      <c r="AE682" s="19" t="str">
        <f aca="false">IF(OR(V682="",NOT(ISNUMBER(V682))),"",V682*$D$3^2/(2*$H$3))</f>
        <v/>
      </c>
      <c r="AF682" s="20" t="str">
        <f aca="false">IF(OR(V682="",NOT(ISNUMBER(V682))),"",V682*$D$3^2/2*$F$3)</f>
        <v/>
      </c>
      <c r="AG682" s="19" t="n">
        <f aca="false">IF(OR(W682="",NOT(ISNUMBER(W682))),"",W682*$D$3^2/(2*$H$3))</f>
        <v>0.00388934025324663</v>
      </c>
      <c r="AH682" s="20" t="n">
        <f aca="false">IF(OR(W682="",NOT(ISNUMBER(W682))),"",W682*$D$3^2/2*$F$3)</f>
        <v>38.1544278843495</v>
      </c>
    </row>
    <row r="683" customFormat="false" ht="15" hidden="false" customHeight="false" outlineLevel="0" collapsed="false">
      <c r="A683" s="10" t="s">
        <v>1480</v>
      </c>
      <c r="B683" s="23" t="s">
        <v>1273</v>
      </c>
      <c r="C683" s="6" t="s">
        <v>925</v>
      </c>
      <c r="D683" s="6" t="s">
        <v>1481</v>
      </c>
      <c r="E683" s="6" t="s">
        <v>1447</v>
      </c>
      <c r="F683" s="6" t="s">
        <v>68</v>
      </c>
      <c r="G683" s="6" t="n">
        <v>140</v>
      </c>
      <c r="H683" s="6" t="n">
        <v>110</v>
      </c>
      <c r="I683" s="6"/>
      <c r="J683" s="6" t="n">
        <v>16</v>
      </c>
      <c r="K683" s="6" t="s">
        <v>1276</v>
      </c>
      <c r="L683" s="6"/>
      <c r="M683" s="6"/>
      <c r="N683" s="12" t="n">
        <v>114.6</v>
      </c>
      <c r="O683" s="12" t="n">
        <v>90</v>
      </c>
      <c r="P683" s="12"/>
      <c r="Q683" s="12"/>
      <c r="R683" s="14" t="n">
        <v>0.016</v>
      </c>
      <c r="S683" s="6" t="n">
        <v>0</v>
      </c>
      <c r="T683" s="6" t="n">
        <v>30</v>
      </c>
      <c r="U683" s="15" t="n">
        <f aca="false">0.8*SIN(RADIANS(T683/2))*(1-(O683/N683)^2)</f>
        <v>0.0793519710441784</v>
      </c>
      <c r="V683" s="14"/>
      <c r="W683" s="15" t="n">
        <f aca="false">2.6*SIN(RADIANS(T683/2))*(1-(O683/N683)^2)^2</f>
        <v>0.0988354129080381</v>
      </c>
      <c r="X683" s="10" t="s">
        <v>996</v>
      </c>
      <c r="Y683" s="16"/>
      <c r="Z683" s="17" t="s">
        <v>48</v>
      </c>
      <c r="AA683" s="6"/>
      <c r="AB683" s="18" t="n">
        <f aca="false">IF(O683="","",$D$3*PI()*(O683/1000)^2/4*3600)</f>
        <v>34.3533156670044</v>
      </c>
      <c r="AC683" s="19" t="n">
        <f aca="false">IF(OR(U683="",NOT(ISNUMBER(U683))),"",U683*$D$3^2/(2*$H$3))</f>
        <v>0.00909999667937826</v>
      </c>
      <c r="AD683" s="20" t="n">
        <f aca="false">IF(OR(U683="",NOT(ISNUMBER(U683))),"",U683*$D$3^2/2*$F$3)</f>
        <v>89.2709674247007</v>
      </c>
      <c r="AE683" s="19" t="str">
        <f aca="false">IF(OR(V683="",NOT(ISNUMBER(V683))),"",V683*$D$3^2/(2*$H$3))</f>
        <v/>
      </c>
      <c r="AF683" s="20" t="str">
        <f aca="false">IF(OR(V683="",NOT(ISNUMBER(V683))),"",V683*$D$3^2/2*$F$3)</f>
        <v/>
      </c>
      <c r="AG683" s="19" t="n">
        <f aca="false">IF(OR(W683="",NOT(ISNUMBER(W683))),"",W683*$D$3^2/(2*$H$3))</f>
        <v>0.0113343363426649</v>
      </c>
      <c r="AH683" s="20" t="n">
        <f aca="false">IF(OR(W683="",NOT(ISNUMBER(W683))),"",W683*$D$3^2/2*$F$3)</f>
        <v>111.189839521543</v>
      </c>
    </row>
    <row r="684" customFormat="false" ht="15" hidden="false" customHeight="false" outlineLevel="0" collapsed="false">
      <c r="A684" s="10" t="s">
        <v>1482</v>
      </c>
      <c r="B684" s="23" t="s">
        <v>1273</v>
      </c>
      <c r="C684" s="6" t="s">
        <v>925</v>
      </c>
      <c r="D684" s="6" t="s">
        <v>1483</v>
      </c>
      <c r="E684" s="6" t="s">
        <v>1447</v>
      </c>
      <c r="F684" s="6" t="s">
        <v>68</v>
      </c>
      <c r="G684" s="6" t="n">
        <v>140</v>
      </c>
      <c r="H684" s="6" t="n">
        <v>125</v>
      </c>
      <c r="I684" s="6"/>
      <c r="J684" s="6" t="n">
        <v>16</v>
      </c>
      <c r="K684" s="6" t="s">
        <v>1276</v>
      </c>
      <c r="L684" s="6"/>
      <c r="M684" s="6"/>
      <c r="N684" s="12" t="n">
        <v>114.6</v>
      </c>
      <c r="O684" s="12" t="n">
        <v>102.2</v>
      </c>
      <c r="P684" s="12"/>
      <c r="Q684" s="12"/>
      <c r="R684" s="14" t="n">
        <v>0.016</v>
      </c>
      <c r="S684" s="6" t="n">
        <v>0</v>
      </c>
      <c r="T684" s="6" t="n">
        <v>30</v>
      </c>
      <c r="U684" s="15" t="n">
        <f aca="false">0.8*SIN(RADIANS(T684/2))*(1-(O684/N684)^2)</f>
        <v>0.0423836100575952</v>
      </c>
      <c r="V684" s="14"/>
      <c r="W684" s="15" t="n">
        <f aca="false">2.6*SIN(RADIANS(T684/2))*(1-(O684/N684)^2)^2</f>
        <v>0.0281963591715635</v>
      </c>
      <c r="X684" s="10" t="s">
        <v>996</v>
      </c>
      <c r="Y684" s="16"/>
      <c r="Z684" s="17" t="s">
        <v>48</v>
      </c>
      <c r="AA684" s="6"/>
      <c r="AB684" s="18" t="n">
        <f aca="false">IF(O684="","",$D$3*PI()*(O684/1000)^2/4*3600)</f>
        <v>44.2981340260931</v>
      </c>
      <c r="AC684" s="19" t="n">
        <f aca="false">IF(OR(U684="",NOT(ISNUMBER(U684))),"",U684*$D$3^2/(2*$H$3))</f>
        <v>0.00486050574054991</v>
      </c>
      <c r="AD684" s="20" t="n">
        <f aca="false">IF(OR(U684="",NOT(ISNUMBER(U684))),"",U684*$D$3^2/2*$F$3)</f>
        <v>47.6815613147946</v>
      </c>
      <c r="AE684" s="19" t="str">
        <f aca="false">IF(OR(V684="",NOT(ISNUMBER(V684))),"",V684*$D$3^2/(2*$H$3))</f>
        <v/>
      </c>
      <c r="AF684" s="20" t="str">
        <f aca="false">IF(OR(V684="",NOT(ISNUMBER(V684))),"",V684*$D$3^2/2*$F$3)</f>
        <v/>
      </c>
      <c r="AG684" s="19" t="n">
        <f aca="false">IF(OR(W684="",NOT(ISNUMBER(W684))),"",W684*$D$3^2/(2*$H$3))</f>
        <v>0.0032335274279316</v>
      </c>
      <c r="AH684" s="20" t="n">
        <f aca="false">IF(OR(W684="",NOT(ISNUMBER(W684))),"",W684*$D$3^2/2*$F$3)</f>
        <v>31.720904068009</v>
      </c>
    </row>
    <row r="685" customFormat="false" ht="15" hidden="false" customHeight="false" outlineLevel="0" collapsed="false">
      <c r="A685" s="10" t="s">
        <v>1484</v>
      </c>
      <c r="B685" s="23" t="s">
        <v>1273</v>
      </c>
      <c r="C685" s="6" t="s">
        <v>925</v>
      </c>
      <c r="D685" s="6" t="s">
        <v>1485</v>
      </c>
      <c r="E685" s="6" t="s">
        <v>1447</v>
      </c>
      <c r="F685" s="6" t="s">
        <v>68</v>
      </c>
      <c r="G685" s="6" t="n">
        <v>160</v>
      </c>
      <c r="H685" s="6" t="n">
        <v>90</v>
      </c>
      <c r="I685" s="6"/>
      <c r="J685" s="6" t="n">
        <v>16</v>
      </c>
      <c r="K685" s="6" t="s">
        <v>1276</v>
      </c>
      <c r="L685" s="6"/>
      <c r="M685" s="6"/>
      <c r="N685" s="12" t="n">
        <v>130.8</v>
      </c>
      <c r="O685" s="12" t="n">
        <v>73.6</v>
      </c>
      <c r="P685" s="12"/>
      <c r="Q685" s="12"/>
      <c r="R685" s="14" t="n">
        <v>0.015</v>
      </c>
      <c r="S685" s="6" t="n">
        <v>0</v>
      </c>
      <c r="T685" s="6" t="n">
        <v>30</v>
      </c>
      <c r="U685" s="15" t="n">
        <f aca="false">0.8*SIN(RADIANS(T685/2))*(1-(O685/N685)^2)</f>
        <v>0.141497136101724</v>
      </c>
      <c r="V685" s="14"/>
      <c r="W685" s="15" t="n">
        <f aca="false">2.6*SIN(RADIANS(T685/2))*(1-(O685/N685)^2)^2</f>
        <v>0.314262414645925</v>
      </c>
      <c r="X685" s="10" t="s">
        <v>996</v>
      </c>
      <c r="Y685" s="16"/>
      <c r="Z685" s="17" t="s">
        <v>48</v>
      </c>
      <c r="AA685" s="6"/>
      <c r="AB685" s="18" t="n">
        <f aca="false">IF(O685="","",$D$3*PI()*(O685/1000)^2/4*3600)</f>
        <v>22.9741403500662</v>
      </c>
      <c r="AC685" s="19" t="n">
        <f aca="false">IF(OR(U685="",NOT(ISNUMBER(U685))),"",U685*$D$3^2/(2*$H$3))</f>
        <v>0.0162267357914821</v>
      </c>
      <c r="AD685" s="20" t="n">
        <f aca="false">IF(OR(U685="",NOT(ISNUMBER(U685))),"",U685*$D$3^2/2*$F$3)</f>
        <v>159.184278114439</v>
      </c>
      <c r="AE685" s="19" t="str">
        <f aca="false">IF(OR(V685="",NOT(ISNUMBER(V685))),"",V685*$D$3^2/(2*$H$3))</f>
        <v/>
      </c>
      <c r="AF685" s="20" t="str">
        <f aca="false">IF(OR(V685="",NOT(ISNUMBER(V685))),"",V685*$D$3^2/2*$F$3)</f>
        <v/>
      </c>
      <c r="AG685" s="19" t="n">
        <f aca="false">IF(OR(W685="",NOT(ISNUMBER(W685))),"",W685*$D$3^2/(2*$H$3))</f>
        <v>0.0360392677346244</v>
      </c>
      <c r="AH685" s="20" t="n">
        <f aca="false">IF(OR(W685="",NOT(ISNUMBER(W685))),"",W685*$D$3^2/2*$F$3)</f>
        <v>353.545216476665</v>
      </c>
    </row>
    <row r="686" customFormat="false" ht="15" hidden="false" customHeight="false" outlineLevel="0" collapsed="false">
      <c r="A686" s="10" t="s">
        <v>1486</v>
      </c>
      <c r="B686" s="23" t="s">
        <v>1273</v>
      </c>
      <c r="C686" s="6" t="s">
        <v>925</v>
      </c>
      <c r="D686" s="6" t="s">
        <v>1487</v>
      </c>
      <c r="E686" s="6" t="s">
        <v>1447</v>
      </c>
      <c r="F686" s="6" t="s">
        <v>68</v>
      </c>
      <c r="G686" s="6" t="n">
        <v>160</v>
      </c>
      <c r="H686" s="6" t="n">
        <v>110</v>
      </c>
      <c r="I686" s="6"/>
      <c r="J686" s="6" t="n">
        <v>16</v>
      </c>
      <c r="K686" s="6" t="s">
        <v>1276</v>
      </c>
      <c r="L686" s="6"/>
      <c r="M686" s="6"/>
      <c r="N686" s="12" t="n">
        <v>130.8</v>
      </c>
      <c r="O686" s="12" t="n">
        <v>90</v>
      </c>
      <c r="P686" s="12"/>
      <c r="Q686" s="12"/>
      <c r="R686" s="14" t="n">
        <v>0.015</v>
      </c>
      <c r="S686" s="6" t="n">
        <v>0</v>
      </c>
      <c r="T686" s="6" t="n">
        <v>30</v>
      </c>
      <c r="U686" s="15" t="n">
        <f aca="false">0.8*SIN(RADIANS(T686/2))*(1-(O686/N686)^2)</f>
        <v>0.1090259706194</v>
      </c>
      <c r="V686" s="14"/>
      <c r="W686" s="15" t="n">
        <f aca="false">2.6*SIN(RADIANS(T686/2))*(1-(O686/N686)^2)^2</f>
        <v>0.186576553710432</v>
      </c>
      <c r="X686" s="10" t="s">
        <v>996</v>
      </c>
      <c r="Y686" s="16"/>
      <c r="Z686" s="17" t="s">
        <v>48</v>
      </c>
      <c r="AA686" s="6"/>
      <c r="AB686" s="18" t="n">
        <f aca="false">IF(O686="","",$D$3*PI()*(O686/1000)^2/4*3600)</f>
        <v>34.3533156670044</v>
      </c>
      <c r="AC686" s="19" t="n">
        <f aca="false">IF(OR(U686="",NOT(ISNUMBER(U686))),"",U686*$D$3^2/(2*$H$3))</f>
        <v>0.0125029782820413</v>
      </c>
      <c r="AD686" s="20" t="n">
        <f aca="false">IF(OR(U686="",NOT(ISNUMBER(U686))),"",U686*$D$3^2/2*$F$3)</f>
        <v>122.654216946825</v>
      </c>
      <c r="AE686" s="19" t="str">
        <f aca="false">IF(OR(V686="",NOT(ISNUMBER(V686))),"",V686*$D$3^2/(2*$H$3))</f>
        <v/>
      </c>
      <c r="AF686" s="20" t="str">
        <f aca="false">IF(OR(V686="",NOT(ISNUMBER(V686))),"",V686*$D$3^2/2*$F$3)</f>
        <v/>
      </c>
      <c r="AG686" s="19" t="n">
        <f aca="false">IF(OR(W686="",NOT(ISNUMBER(W686))),"",W686*$D$3^2/(2*$H$3))</f>
        <v>0.0213963937741322</v>
      </c>
      <c r="AH686" s="20" t="n">
        <f aca="false">IF(OR(W686="",NOT(ISNUMBER(W686))),"",W686*$D$3^2/2*$F$3)</f>
        <v>209.898622924237</v>
      </c>
    </row>
    <row r="687" customFormat="false" ht="15" hidden="false" customHeight="false" outlineLevel="0" collapsed="false">
      <c r="A687" s="10" t="s">
        <v>1488</v>
      </c>
      <c r="B687" s="23" t="s">
        <v>1273</v>
      </c>
      <c r="C687" s="6" t="s">
        <v>925</v>
      </c>
      <c r="D687" s="6" t="s">
        <v>1489</v>
      </c>
      <c r="E687" s="6" t="s">
        <v>1447</v>
      </c>
      <c r="F687" s="6" t="s">
        <v>68</v>
      </c>
      <c r="G687" s="6" t="n">
        <v>160</v>
      </c>
      <c r="H687" s="6" t="n">
        <v>125</v>
      </c>
      <c r="I687" s="6"/>
      <c r="J687" s="6" t="n">
        <v>16</v>
      </c>
      <c r="K687" s="6" t="s">
        <v>1276</v>
      </c>
      <c r="L687" s="6"/>
      <c r="M687" s="6"/>
      <c r="N687" s="12" t="n">
        <v>130.8</v>
      </c>
      <c r="O687" s="12" t="n">
        <v>102.2</v>
      </c>
      <c r="P687" s="12"/>
      <c r="Q687" s="12"/>
      <c r="R687" s="14" t="n">
        <v>0.015</v>
      </c>
      <c r="S687" s="6" t="n">
        <v>0</v>
      </c>
      <c r="T687" s="6" t="n">
        <v>30</v>
      </c>
      <c r="U687" s="15" t="n">
        <f aca="false">0.8*SIN(RADIANS(T687/2))*(1-(O687/N687)^2)</f>
        <v>0.0806478295296027</v>
      </c>
      <c r="V687" s="14"/>
      <c r="W687" s="15" t="n">
        <f aca="false">2.6*SIN(RADIANS(T687/2))*(1-(O687/N687)^2)^2</f>
        <v>0.10208983711522</v>
      </c>
      <c r="X687" s="10" t="s">
        <v>996</v>
      </c>
      <c r="Y687" s="16"/>
      <c r="Z687" s="17" t="s">
        <v>48</v>
      </c>
      <c r="AA687" s="6"/>
      <c r="AB687" s="18" t="n">
        <f aca="false">IF(O687="","",$D$3*PI()*(O687/1000)^2/4*3600)</f>
        <v>44.2981340260931</v>
      </c>
      <c r="AC687" s="19" t="n">
        <f aca="false">IF(OR(U687="",NOT(ISNUMBER(U687))),"",U687*$D$3^2/(2*$H$3))</f>
        <v>0.00924860430385352</v>
      </c>
      <c r="AD687" s="20" t="n">
        <f aca="false">IF(OR(U687="",NOT(ISNUMBER(U687))),"",U687*$D$3^2/2*$F$3)</f>
        <v>90.7288082208031</v>
      </c>
      <c r="AE687" s="19" t="str">
        <f aca="false">IF(OR(V687="",NOT(ISNUMBER(V687))),"",V687*$D$3^2/(2*$H$3))</f>
        <v/>
      </c>
      <c r="AF687" s="20" t="str">
        <f aca="false">IF(OR(V687="",NOT(ISNUMBER(V687))),"",V687*$D$3^2/2*$F$3)</f>
        <v/>
      </c>
      <c r="AG687" s="19" t="n">
        <f aca="false">IF(OR(W687="",NOT(ISNUMBER(W687))),"",W687*$D$3^2/(2*$H$3))</f>
        <v>0.0117075501278922</v>
      </c>
      <c r="AH687" s="20" t="n">
        <f aca="false">IF(OR(W687="",NOT(ISNUMBER(W687))),"",W687*$D$3^2/2*$F$3)</f>
        <v>114.851066754623</v>
      </c>
    </row>
    <row r="688" customFormat="false" ht="15" hidden="false" customHeight="false" outlineLevel="0" collapsed="false">
      <c r="A688" s="10" t="s">
        <v>1490</v>
      </c>
      <c r="B688" s="23" t="s">
        <v>1273</v>
      </c>
      <c r="C688" s="6" t="s">
        <v>925</v>
      </c>
      <c r="D688" s="6" t="s">
        <v>1491</v>
      </c>
      <c r="E688" s="6" t="s">
        <v>1447</v>
      </c>
      <c r="F688" s="6" t="s">
        <v>68</v>
      </c>
      <c r="G688" s="6" t="n">
        <v>160</v>
      </c>
      <c r="H688" s="6" t="n">
        <v>140</v>
      </c>
      <c r="I688" s="6"/>
      <c r="J688" s="6" t="n">
        <v>16</v>
      </c>
      <c r="K688" s="6" t="s">
        <v>1276</v>
      </c>
      <c r="L688" s="6"/>
      <c r="M688" s="6"/>
      <c r="N688" s="12" t="n">
        <v>130.8</v>
      </c>
      <c r="O688" s="12" t="n">
        <v>114.6</v>
      </c>
      <c r="P688" s="12"/>
      <c r="Q688" s="12"/>
      <c r="R688" s="14" t="n">
        <v>0.015</v>
      </c>
      <c r="S688" s="6" t="n">
        <v>0</v>
      </c>
      <c r="T688" s="6" t="n">
        <v>30</v>
      </c>
      <c r="U688" s="15" t="n">
        <f aca="false">0.8*SIN(RADIANS(T688/2))*(1-(O688/N688)^2)</f>
        <v>0.0481127634890521</v>
      </c>
      <c r="V688" s="14"/>
      <c r="W688" s="15" t="n">
        <f aca="false">2.6*SIN(RADIANS(T688/2))*(1-(O688/N688)^2)^2</f>
        <v>0.0363343795436245</v>
      </c>
      <c r="X688" s="10" t="s">
        <v>996</v>
      </c>
      <c r="Y688" s="16"/>
      <c r="Z688" s="17" t="s">
        <v>48</v>
      </c>
      <c r="AA688" s="6"/>
      <c r="AB688" s="18" t="n">
        <f aca="false">IF(O688="","",$D$3*PI()*(O688/1000)^2/4*3600)</f>
        <v>55.6997026154661</v>
      </c>
      <c r="AC688" s="19" t="n">
        <f aca="false">IF(OR(U688="",NOT(ISNUMBER(U688))),"",U688*$D$3^2/(2*$H$3))</f>
        <v>0.00551751874874451</v>
      </c>
      <c r="AD688" s="20" t="n">
        <f aca="false">IF(OR(U688="",NOT(ISNUMBER(U688))),"",U688*$D$3^2/2*$F$3)</f>
        <v>54.1268589251836</v>
      </c>
      <c r="AE688" s="19" t="str">
        <f aca="false">IF(OR(V688="",NOT(ISNUMBER(V688))),"",V688*$D$3^2/(2*$H$3))</f>
        <v/>
      </c>
      <c r="AF688" s="20" t="str">
        <f aca="false">IF(OR(V688="",NOT(ISNUMBER(V688))),"",V688*$D$3^2/2*$F$3)</f>
        <v/>
      </c>
      <c r="AG688" s="19" t="n">
        <f aca="false">IF(OR(W688="",NOT(ISNUMBER(W688))),"",W688*$D$3^2/(2*$H$3))</f>
        <v>0.00416678664491106</v>
      </c>
      <c r="AH688" s="20" t="n">
        <f aca="false">IF(OR(W688="",NOT(ISNUMBER(W688))),"",W688*$D$3^2/2*$F$3)</f>
        <v>40.8761769865775</v>
      </c>
    </row>
    <row r="689" customFormat="false" ht="15" hidden="false" customHeight="false" outlineLevel="0" collapsed="false">
      <c r="A689" s="10" t="s">
        <v>1492</v>
      </c>
      <c r="B689" s="23" t="s">
        <v>1273</v>
      </c>
      <c r="C689" s="6" t="s">
        <v>925</v>
      </c>
      <c r="D689" s="6" t="s">
        <v>1493</v>
      </c>
      <c r="E689" s="6" t="s">
        <v>1447</v>
      </c>
      <c r="F689" s="6" t="s">
        <v>68</v>
      </c>
      <c r="G689" s="6" t="n">
        <v>180</v>
      </c>
      <c r="H689" s="6" t="n">
        <v>125</v>
      </c>
      <c r="I689" s="6"/>
      <c r="J689" s="6" t="n">
        <v>16</v>
      </c>
      <c r="K689" s="6" t="s">
        <v>1276</v>
      </c>
      <c r="L689" s="6"/>
      <c r="M689" s="6"/>
      <c r="N689" s="12" t="n">
        <v>147.2</v>
      </c>
      <c r="O689" s="12" t="n">
        <v>102.2</v>
      </c>
      <c r="P689" s="12"/>
      <c r="Q689" s="12"/>
      <c r="R689" s="14" t="n">
        <v>0.015</v>
      </c>
      <c r="S689" s="6" t="n">
        <v>0</v>
      </c>
      <c r="T689" s="6" t="n">
        <v>30</v>
      </c>
      <c r="U689" s="15" t="n">
        <f aca="false">0.8*SIN(RADIANS(T689/2))*(1-(O689/N689)^2)</f>
        <v>0.107245619062559</v>
      </c>
      <c r="V689" s="14"/>
      <c r="W689" s="15" t="n">
        <f aca="false">2.6*SIN(RADIANS(T689/2))*(1-(O689/N689)^2)^2</f>
        <v>0.180532860862092</v>
      </c>
      <c r="X689" s="10" t="s">
        <v>996</v>
      </c>
      <c r="Y689" s="16"/>
      <c r="Z689" s="17" t="s">
        <v>48</v>
      </c>
      <c r="AA689" s="6"/>
      <c r="AB689" s="18" t="n">
        <f aca="false">IF(O689="","",$D$3*PI()*(O689/1000)^2/4*3600)</f>
        <v>44.2981340260931</v>
      </c>
      <c r="AC689" s="19" t="n">
        <f aca="false">IF(OR(U689="",NOT(ISNUMBER(U689))),"",U689*$D$3^2/(2*$H$3))</f>
        <v>0.0122988095255228</v>
      </c>
      <c r="AD689" s="20" t="n">
        <f aca="false">IF(OR(U689="",NOT(ISNUMBER(U689))),"",U689*$D$3^2/2*$F$3)</f>
        <v>120.651321445379</v>
      </c>
      <c r="AE689" s="19" t="str">
        <f aca="false">IF(OR(V689="",NOT(ISNUMBER(V689))),"",V689*$D$3^2/(2*$H$3))</f>
        <v/>
      </c>
      <c r="AF689" s="20" t="str">
        <f aca="false">IF(OR(V689="",NOT(ISNUMBER(V689))),"",V689*$D$3^2/2*$F$3)</f>
        <v/>
      </c>
      <c r="AG689" s="19" t="n">
        <f aca="false">IF(OR(W689="",NOT(ISNUMBER(W689))),"",W689*$D$3^2/(2*$H$3))</f>
        <v>0.0207033097318912</v>
      </c>
      <c r="AH689" s="20" t="n">
        <f aca="false">IF(OR(W689="",NOT(ISNUMBER(W689))),"",W689*$D$3^2/2*$F$3)</f>
        <v>203.099468469853</v>
      </c>
    </row>
    <row r="690" customFormat="false" ht="15" hidden="false" customHeight="false" outlineLevel="0" collapsed="false">
      <c r="A690" s="10" t="s">
        <v>1494</v>
      </c>
      <c r="B690" s="23" t="s">
        <v>1273</v>
      </c>
      <c r="C690" s="6" t="s">
        <v>925</v>
      </c>
      <c r="D690" s="6" t="s">
        <v>1495</v>
      </c>
      <c r="E690" s="6" t="s">
        <v>1447</v>
      </c>
      <c r="F690" s="6" t="s">
        <v>68</v>
      </c>
      <c r="G690" s="6" t="n">
        <v>180</v>
      </c>
      <c r="H690" s="6" t="n">
        <v>160</v>
      </c>
      <c r="I690" s="6"/>
      <c r="J690" s="6" t="n">
        <v>16</v>
      </c>
      <c r="K690" s="6" t="s">
        <v>1276</v>
      </c>
      <c r="L690" s="6"/>
      <c r="M690" s="6"/>
      <c r="N690" s="12" t="n">
        <v>147.2</v>
      </c>
      <c r="O690" s="12" t="n">
        <v>130.8</v>
      </c>
      <c r="P690" s="12"/>
      <c r="Q690" s="12"/>
      <c r="R690" s="14" t="n">
        <v>0.015</v>
      </c>
      <c r="S690" s="6" t="n">
        <v>0</v>
      </c>
      <c r="T690" s="6" t="n">
        <v>30</v>
      </c>
      <c r="U690" s="15" t="n">
        <f aca="false">0.8*SIN(RADIANS(T690/2))*(1-(O690/N690)^2)</f>
        <v>0.0435671590866985</v>
      </c>
      <c r="V690" s="14"/>
      <c r="W690" s="15" t="n">
        <f aca="false">2.6*SIN(RADIANS(T690/2))*(1-(O690/N690)^2)^2</f>
        <v>0.0297930953455096</v>
      </c>
      <c r="X690" s="10" t="s">
        <v>996</v>
      </c>
      <c r="Y690" s="16"/>
      <c r="Z690" s="17" t="s">
        <v>48</v>
      </c>
      <c r="AA690" s="6"/>
      <c r="AB690" s="18" t="n">
        <f aca="false">IF(O690="","",$D$3*PI()*(O690/1000)^2/4*3600)</f>
        <v>72.5603099448318</v>
      </c>
      <c r="AC690" s="19" t="n">
        <f aca="false">IF(OR(U690="",NOT(ISNUMBER(U690))),"",U690*$D$3^2/(2*$H$3))</f>
        <v>0.00499623384021772</v>
      </c>
      <c r="AD690" s="20" t="n">
        <f aca="false">IF(OR(U690="",NOT(ISNUMBER(U690))),"",U690*$D$3^2/2*$F$3)</f>
        <v>49.0130539725358</v>
      </c>
      <c r="AE690" s="19" t="str">
        <f aca="false">IF(OR(V690="",NOT(ISNUMBER(V690))),"",V690*$D$3^2/(2*$H$3))</f>
        <v/>
      </c>
      <c r="AF690" s="20" t="str">
        <f aca="false">IF(OR(V690="",NOT(ISNUMBER(V690))),"",V690*$D$3^2/2*$F$3)</f>
        <v/>
      </c>
      <c r="AG690" s="19" t="n">
        <f aca="false">IF(OR(W690="",NOT(ISNUMBER(W690))),"",W690*$D$3^2/(2*$H$3))</f>
        <v>0.00341663937448504</v>
      </c>
      <c r="AH690" s="20" t="n">
        <f aca="false">IF(OR(W690="",NOT(ISNUMBER(W690))),"",W690*$D$3^2/2*$F$3)</f>
        <v>33.5172322636983</v>
      </c>
    </row>
    <row r="691" customFormat="false" ht="15" hidden="false" customHeight="false" outlineLevel="0" collapsed="false">
      <c r="A691" s="10" t="s">
        <v>1496</v>
      </c>
      <c r="B691" s="23" t="s">
        <v>1273</v>
      </c>
      <c r="C691" s="6" t="s">
        <v>925</v>
      </c>
      <c r="D691" s="6" t="s">
        <v>1497</v>
      </c>
      <c r="E691" s="6" t="s">
        <v>1447</v>
      </c>
      <c r="F691" s="6" t="s">
        <v>68</v>
      </c>
      <c r="G691" s="6" t="n">
        <v>200</v>
      </c>
      <c r="H691" s="6" t="n">
        <v>110</v>
      </c>
      <c r="I691" s="6"/>
      <c r="J691" s="6" t="n">
        <v>16</v>
      </c>
      <c r="K691" s="6" t="s">
        <v>1276</v>
      </c>
      <c r="L691" s="6"/>
      <c r="M691" s="6"/>
      <c r="N691" s="12" t="n">
        <v>163.6</v>
      </c>
      <c r="O691" s="12" t="n">
        <v>90</v>
      </c>
      <c r="P691" s="12"/>
      <c r="Q691" s="12"/>
      <c r="R691" s="14" t="n">
        <v>0.014</v>
      </c>
      <c r="S691" s="6" t="n">
        <v>0</v>
      </c>
      <c r="T691" s="6" t="n">
        <v>30</v>
      </c>
      <c r="U691" s="15" t="n">
        <f aca="false">0.8*SIN(RADIANS(T691/2))*(1-(O691/N691)^2)</f>
        <v>0.14439318045913</v>
      </c>
      <c r="V691" s="14"/>
      <c r="W691" s="15" t="n">
        <f aca="false">2.6*SIN(RADIANS(T691/2))*(1-(O691/N691)^2)^2</f>
        <v>0.327258178118441</v>
      </c>
      <c r="X691" s="10" t="s">
        <v>996</v>
      </c>
      <c r="Y691" s="16"/>
      <c r="Z691" s="17" t="s">
        <v>48</v>
      </c>
      <c r="AA691" s="6"/>
      <c r="AB691" s="18" t="n">
        <f aca="false">IF(O691="","",$D$3*PI()*(O691/1000)^2/4*3600)</f>
        <v>34.3533156670044</v>
      </c>
      <c r="AC691" s="19" t="n">
        <f aca="false">IF(OR(U691="",NOT(ISNUMBER(U691))),"",U691*$D$3^2/(2*$H$3))</f>
        <v>0.0165588509700837</v>
      </c>
      <c r="AD691" s="20" t="n">
        <f aca="false">IF(OR(U691="",NOT(ISNUMBER(U691))),"",U691*$D$3^2/2*$F$3)</f>
        <v>162.442328016521</v>
      </c>
      <c r="AE691" s="19" t="str">
        <f aca="false">IF(OR(V691="",NOT(ISNUMBER(V691))),"",V691*$D$3^2/(2*$H$3))</f>
        <v/>
      </c>
      <c r="AF691" s="20" t="str">
        <f aca="false">IF(OR(V691="",NOT(ISNUMBER(V691))),"",V691*$D$3^2/2*$F$3)</f>
        <v/>
      </c>
      <c r="AG691" s="19" t="n">
        <f aca="false">IF(OR(W691="",NOT(ISNUMBER(W691))),"",W691*$D$3^2/(2*$H$3))</f>
        <v>0.03752960758239</v>
      </c>
      <c r="AH691" s="20" t="n">
        <f aca="false">IF(OR(W691="",NOT(ISNUMBER(W691))),"",W691*$D$3^2/2*$F$3)</f>
        <v>368.165450383246</v>
      </c>
    </row>
    <row r="692" customFormat="false" ht="15" hidden="false" customHeight="false" outlineLevel="0" collapsed="false">
      <c r="A692" s="10" t="s">
        <v>1498</v>
      </c>
      <c r="B692" s="23" t="s">
        <v>1273</v>
      </c>
      <c r="C692" s="6" t="s">
        <v>925</v>
      </c>
      <c r="D692" s="6" t="s">
        <v>1499</v>
      </c>
      <c r="E692" s="6" t="s">
        <v>1447</v>
      </c>
      <c r="F692" s="6" t="s">
        <v>68</v>
      </c>
      <c r="G692" s="6" t="n">
        <v>200</v>
      </c>
      <c r="H692" s="6" t="n">
        <v>160</v>
      </c>
      <c r="I692" s="6"/>
      <c r="J692" s="6" t="n">
        <v>16</v>
      </c>
      <c r="K692" s="6" t="s">
        <v>1276</v>
      </c>
      <c r="L692" s="6"/>
      <c r="M692" s="6"/>
      <c r="N692" s="12" t="n">
        <v>163.6</v>
      </c>
      <c r="O692" s="12" t="n">
        <v>130.8</v>
      </c>
      <c r="P692" s="12"/>
      <c r="Q692" s="12"/>
      <c r="R692" s="14" t="n">
        <v>0.014</v>
      </c>
      <c r="S692" s="6" t="n">
        <v>0</v>
      </c>
      <c r="T692" s="6" t="n">
        <v>30</v>
      </c>
      <c r="U692" s="15" t="n">
        <f aca="false">0.8*SIN(RADIANS(T692/2))*(1-(O692/N692)^2)</f>
        <v>0.0747018346854805</v>
      </c>
      <c r="V692" s="14"/>
      <c r="W692" s="15" t="n">
        <f aca="false">2.6*SIN(RADIANS(T692/2))*(1-(O692/N692)^2)^2</f>
        <v>0.0875910394040499</v>
      </c>
      <c r="X692" s="10" t="s">
        <v>996</v>
      </c>
      <c r="Y692" s="16"/>
      <c r="Z692" s="17" t="s">
        <v>48</v>
      </c>
      <c r="AA692" s="6"/>
      <c r="AB692" s="18" t="n">
        <f aca="false">IF(O692="","",$D$3*PI()*(O692/1000)^2/4*3600)</f>
        <v>72.5603099448318</v>
      </c>
      <c r="AC692" s="19" t="n">
        <f aca="false">IF(OR(U692="",NOT(ISNUMBER(U692))),"",U692*$D$3^2/(2*$H$3))</f>
        <v>0.00856672416117896</v>
      </c>
      <c r="AD692" s="20" t="n">
        <f aca="false">IF(OR(U692="",NOT(ISNUMBER(U692))),"",U692*$D$3^2/2*$F$3)</f>
        <v>84.0395640211656</v>
      </c>
      <c r="AE692" s="19" t="str">
        <f aca="false">IF(OR(V692="",NOT(ISNUMBER(V692))),"",V692*$D$3^2/(2*$H$3))</f>
        <v/>
      </c>
      <c r="AF692" s="20" t="str">
        <f aca="false">IF(OR(V692="",NOT(ISNUMBER(V692))),"",V692*$D$3^2/2*$F$3)</f>
        <v/>
      </c>
      <c r="AG692" s="19" t="n">
        <f aca="false">IF(OR(W692="",NOT(ISNUMBER(W692))),"",W692*$D$3^2/(2*$H$3))</f>
        <v>0.0100448439683544</v>
      </c>
      <c r="AH692" s="20" t="n">
        <f aca="false">IF(OR(W692="",NOT(ISNUMBER(W692))),"",W692*$D$3^2/2*$F$3)</f>
        <v>98.5399193295562</v>
      </c>
    </row>
    <row r="693" customFormat="false" ht="15" hidden="false" customHeight="false" outlineLevel="0" collapsed="false">
      <c r="A693" s="10" t="s">
        <v>1500</v>
      </c>
      <c r="B693" s="23" t="s">
        <v>1273</v>
      </c>
      <c r="C693" s="6" t="s">
        <v>925</v>
      </c>
      <c r="D693" s="6" t="s">
        <v>1501</v>
      </c>
      <c r="E693" s="6" t="s">
        <v>1447</v>
      </c>
      <c r="F693" s="6" t="s">
        <v>68</v>
      </c>
      <c r="G693" s="6" t="n">
        <v>225</v>
      </c>
      <c r="H693" s="6" t="n">
        <v>160</v>
      </c>
      <c r="I693" s="6"/>
      <c r="J693" s="6" t="n">
        <v>16</v>
      </c>
      <c r="K693" s="6" t="s">
        <v>1276</v>
      </c>
      <c r="L693" s="6"/>
      <c r="M693" s="6"/>
      <c r="N693" s="12" t="n">
        <v>184</v>
      </c>
      <c r="O693" s="12" t="n">
        <v>130.8</v>
      </c>
      <c r="P693" s="12"/>
      <c r="Q693" s="12"/>
      <c r="R693" s="14" t="n">
        <v>0.014</v>
      </c>
      <c r="S693" s="6" t="n">
        <v>0</v>
      </c>
      <c r="T693" s="6" t="n">
        <v>30</v>
      </c>
      <c r="U693" s="15" t="n">
        <f aca="false">0.8*SIN(RADIANS(T693/2))*(1-(O693/N693)^2)</f>
        <v>0.102422866805013</v>
      </c>
      <c r="V693" s="14"/>
      <c r="W693" s="15" t="n">
        <f aca="false">2.6*SIN(RADIANS(T693/2))*(1-(O693/N693)^2)^2</f>
        <v>0.164661094739506</v>
      </c>
      <c r="X693" s="10" t="s">
        <v>996</v>
      </c>
      <c r="Y693" s="16"/>
      <c r="Z693" s="17" t="s">
        <v>48</v>
      </c>
      <c r="AA693" s="6"/>
      <c r="AB693" s="18" t="n">
        <f aca="false">IF(O693="","",$D$3*PI()*(O693/1000)^2/4*3600)</f>
        <v>72.5603099448318</v>
      </c>
      <c r="AC693" s="19" t="n">
        <f aca="false">IF(OR(U693="",NOT(ISNUMBER(U693))),"",U693*$D$3^2/(2*$H$3))</f>
        <v>0.0117457416060795</v>
      </c>
      <c r="AD693" s="20" t="n">
        <f aca="false">IF(OR(U693="",NOT(ISNUMBER(U693))),"",U693*$D$3^2/2*$F$3)</f>
        <v>115.22572515564</v>
      </c>
      <c r="AE693" s="19" t="str">
        <f aca="false">IF(OR(V693="",NOT(ISNUMBER(V693))),"",V693*$D$3^2/(2*$H$3))</f>
        <v/>
      </c>
      <c r="AF693" s="20" t="str">
        <f aca="false">IF(OR(V693="",NOT(ISNUMBER(V693))),"",V693*$D$3^2/2*$F$3)</f>
        <v/>
      </c>
      <c r="AG693" s="19" t="n">
        <f aca="false">IF(OR(W693="",NOT(ISNUMBER(W693))),"",W693*$D$3^2/(2*$H$3))</f>
        <v>0.0188831530664571</v>
      </c>
      <c r="AH693" s="20" t="n">
        <f aca="false">IF(OR(W693="",NOT(ISNUMBER(W693))),"",W693*$D$3^2/2*$F$3)</f>
        <v>185.243731581944</v>
      </c>
    </row>
    <row r="694" customFormat="false" ht="15" hidden="false" customHeight="false" outlineLevel="0" collapsed="false">
      <c r="A694" s="10" t="s">
        <v>1502</v>
      </c>
      <c r="B694" s="23" t="s">
        <v>1273</v>
      </c>
      <c r="C694" s="6" t="s">
        <v>925</v>
      </c>
      <c r="D694" s="6" t="s">
        <v>1503</v>
      </c>
      <c r="E694" s="6" t="s">
        <v>1447</v>
      </c>
      <c r="F694" s="6" t="s">
        <v>68</v>
      </c>
      <c r="G694" s="6" t="n">
        <v>225</v>
      </c>
      <c r="H694" s="6" t="n">
        <v>200</v>
      </c>
      <c r="I694" s="6"/>
      <c r="J694" s="6" t="n">
        <v>16</v>
      </c>
      <c r="K694" s="6" t="s">
        <v>1276</v>
      </c>
      <c r="L694" s="6"/>
      <c r="M694" s="6"/>
      <c r="N694" s="12" t="n">
        <v>184</v>
      </c>
      <c r="O694" s="12" t="n">
        <v>163.6</v>
      </c>
      <c r="P694" s="12"/>
      <c r="Q694" s="12"/>
      <c r="R694" s="14" t="n">
        <v>0.014</v>
      </c>
      <c r="S694" s="6" t="n">
        <v>0</v>
      </c>
      <c r="T694" s="6" t="n">
        <v>30</v>
      </c>
      <c r="U694" s="15" t="n">
        <f aca="false">0.8*SIN(RADIANS(T694/2))*(1-(O694/N694)^2)</f>
        <v>0.0433671125137944</v>
      </c>
      <c r="V694" s="14"/>
      <c r="W694" s="15" t="n">
        <f aca="false">2.6*SIN(RADIANS(T694/2))*(1-(O694/N694)^2)^2</f>
        <v>0.0295201226057244</v>
      </c>
      <c r="X694" s="10" t="s">
        <v>996</v>
      </c>
      <c r="Y694" s="16"/>
      <c r="Z694" s="17" t="s">
        <v>48</v>
      </c>
      <c r="AA694" s="6"/>
      <c r="AB694" s="18" t="n">
        <f aca="false">IF(O694="","",$D$3*PI()*(O694/1000)^2/4*3600)</f>
        <v>113.514212307993</v>
      </c>
      <c r="AC694" s="19" t="n">
        <f aca="false">IF(OR(U694="",NOT(ISNUMBER(U694))),"",U694*$D$3^2/(2*$H$3))</f>
        <v>0.00497329271947184</v>
      </c>
      <c r="AD694" s="20" t="n">
        <f aca="false">IF(OR(U694="",NOT(ISNUMBER(U694))),"",U694*$D$3^2/2*$F$3)</f>
        <v>48.7880015780187</v>
      </c>
      <c r="AE694" s="19" t="str">
        <f aca="false">IF(OR(V694="",NOT(ISNUMBER(V694))),"",V694*$D$3^2/(2*$H$3))</f>
        <v/>
      </c>
      <c r="AF694" s="20" t="str">
        <f aca="false">IF(OR(V694="",NOT(ISNUMBER(V694))),"",V694*$D$3^2/2*$F$3)</f>
        <v/>
      </c>
      <c r="AG694" s="19" t="n">
        <f aca="false">IF(OR(W694="",NOT(ISNUMBER(W694))),"",W694*$D$3^2/(2*$H$3))</f>
        <v>0.00338533516120692</v>
      </c>
      <c r="AH694" s="20" t="n">
        <f aca="false">IF(OR(W694="",NOT(ISNUMBER(W694))),"",W694*$D$3^2/2*$F$3)</f>
        <v>33.2101379314399</v>
      </c>
    </row>
    <row r="695" customFormat="false" ht="15" hidden="false" customHeight="false" outlineLevel="0" collapsed="false">
      <c r="A695" s="10" t="s">
        <v>1504</v>
      </c>
      <c r="B695" s="23" t="s">
        <v>1273</v>
      </c>
      <c r="C695" s="6" t="s">
        <v>925</v>
      </c>
      <c r="D695" s="6" t="s">
        <v>1505</v>
      </c>
      <c r="E695" s="6" t="s">
        <v>1447</v>
      </c>
      <c r="F695" s="6" t="s">
        <v>68</v>
      </c>
      <c r="G695" s="6" t="n">
        <v>250</v>
      </c>
      <c r="H695" s="6" t="n">
        <v>160</v>
      </c>
      <c r="I695" s="6"/>
      <c r="J695" s="6" t="n">
        <v>16</v>
      </c>
      <c r="K695" s="6" t="s">
        <v>1276</v>
      </c>
      <c r="L695" s="6"/>
      <c r="M695" s="6"/>
      <c r="N695" s="12" t="n">
        <v>204.6</v>
      </c>
      <c r="O695" s="12" t="n">
        <v>130.8</v>
      </c>
      <c r="P695" s="12"/>
      <c r="Q695" s="12"/>
      <c r="R695" s="14" t="n">
        <v>0.014</v>
      </c>
      <c r="S695" s="6" t="n">
        <v>0</v>
      </c>
      <c r="T695" s="6" t="n">
        <v>30</v>
      </c>
      <c r="U695" s="15" t="n">
        <f aca="false">0.8*SIN(RADIANS(T695/2))*(1-(O695/N695)^2)</f>
        <v>0.122431840690149</v>
      </c>
      <c r="V695" s="14"/>
      <c r="W695" s="15" t="n">
        <f aca="false">2.6*SIN(RADIANS(T695/2))*(1-(O695/N695)^2)^2</f>
        <v>0.235280482009794</v>
      </c>
      <c r="X695" s="10" t="s">
        <v>996</v>
      </c>
      <c r="Y695" s="16"/>
      <c r="Z695" s="17" t="s">
        <v>48</v>
      </c>
      <c r="AA695" s="6"/>
      <c r="AB695" s="18" t="n">
        <f aca="false">IF(O695="","",$D$3*PI()*(O695/1000)^2/4*3600)</f>
        <v>72.5603099448318</v>
      </c>
      <c r="AC695" s="19" t="n">
        <f aca="false">IF(OR(U695="",NOT(ISNUMBER(U695))),"",U695*$D$3^2/(2*$H$3))</f>
        <v>0.0140403487029987</v>
      </c>
      <c r="AD695" s="20" t="n">
        <f aca="false">IF(OR(U695="",NOT(ISNUMBER(U695))),"",U695*$D$3^2/2*$F$3)</f>
        <v>137.735820776418</v>
      </c>
      <c r="AE695" s="19" t="str">
        <f aca="false">IF(OR(V695="",NOT(ISNUMBER(V695))),"",V695*$D$3^2/(2*$H$3))</f>
        <v/>
      </c>
      <c r="AF695" s="20" t="str">
        <f aca="false">IF(OR(V695="",NOT(ISNUMBER(V695))),"",V695*$D$3^2/2*$F$3)</f>
        <v/>
      </c>
      <c r="AG695" s="19" t="n">
        <f aca="false">IF(OR(W695="",NOT(ISNUMBER(W695))),"",W695*$D$3^2/(2*$H$3))</f>
        <v>0.0269817066524993</v>
      </c>
      <c r="AH695" s="20" t="n">
        <f aca="false">IF(OR(W695="",NOT(ISNUMBER(W695))),"",W695*$D$3^2/2*$F$3)</f>
        <v>264.690542261018</v>
      </c>
    </row>
    <row r="696" customFormat="false" ht="15" hidden="false" customHeight="false" outlineLevel="0" collapsed="false">
      <c r="A696" s="10" t="s">
        <v>1506</v>
      </c>
      <c r="B696" s="23" t="s">
        <v>1273</v>
      </c>
      <c r="C696" s="6" t="s">
        <v>925</v>
      </c>
      <c r="D696" s="6" t="s">
        <v>1507</v>
      </c>
      <c r="E696" s="6" t="s">
        <v>1447</v>
      </c>
      <c r="F696" s="6" t="s">
        <v>68</v>
      </c>
      <c r="G696" s="6" t="n">
        <v>250</v>
      </c>
      <c r="H696" s="6" t="n">
        <v>200</v>
      </c>
      <c r="I696" s="6"/>
      <c r="J696" s="6" t="n">
        <v>16</v>
      </c>
      <c r="K696" s="6" t="s">
        <v>1276</v>
      </c>
      <c r="L696" s="6"/>
      <c r="M696" s="6"/>
      <c r="N696" s="12" t="n">
        <v>204.6</v>
      </c>
      <c r="O696" s="12" t="n">
        <v>163.6</v>
      </c>
      <c r="P696" s="12"/>
      <c r="Q696" s="12"/>
      <c r="R696" s="14" t="n">
        <v>0.014</v>
      </c>
      <c r="S696" s="6" t="n">
        <v>0</v>
      </c>
      <c r="T696" s="6" t="n">
        <v>30</v>
      </c>
      <c r="U696" s="15" t="n">
        <f aca="false">0.8*SIN(RADIANS(T696/2))*(1-(O696/N696)^2)</f>
        <v>0.0746693893561798</v>
      </c>
      <c r="V696" s="14"/>
      <c r="W696" s="15" t="n">
        <f aca="false">2.6*SIN(RADIANS(T696/2))*(1-(O696/N696)^2)^2</f>
        <v>0.0875149689042534</v>
      </c>
      <c r="X696" s="10" t="s">
        <v>996</v>
      </c>
      <c r="Y696" s="16"/>
      <c r="Z696" s="17" t="s">
        <v>48</v>
      </c>
      <c r="AA696" s="6"/>
      <c r="AB696" s="18" t="n">
        <f aca="false">IF(O696="","",$D$3*PI()*(O696/1000)^2/4*3600)</f>
        <v>113.514212307993</v>
      </c>
      <c r="AC696" s="19" t="n">
        <f aca="false">IF(OR(U696="",NOT(ISNUMBER(U696))),"",U696*$D$3^2/(2*$H$3))</f>
        <v>0.00856300336653438</v>
      </c>
      <c r="AD696" s="20" t="n">
        <f aca="false">IF(OR(U696="",NOT(ISNUMBER(U696))),"",U696*$D$3^2/2*$F$3)</f>
        <v>84.0030630257023</v>
      </c>
      <c r="AE696" s="19" t="str">
        <f aca="false">IF(OR(V696="",NOT(ISNUMBER(V696))),"",V696*$D$3^2/(2*$H$3))</f>
        <v/>
      </c>
      <c r="AF696" s="20" t="str">
        <f aca="false">IF(OR(V696="",NOT(ISNUMBER(V696))),"",V696*$D$3^2/2*$F$3)</f>
        <v/>
      </c>
      <c r="AG696" s="19" t="n">
        <f aca="false">IF(OR(W696="",NOT(ISNUMBER(W696))),"",W696*$D$3^2/(2*$H$3))</f>
        <v>0.010036120287185</v>
      </c>
      <c r="AH696" s="20" t="n">
        <f aca="false">IF(OR(W696="",NOT(ISNUMBER(W696))),"",W696*$D$3^2/2*$F$3)</f>
        <v>98.454340017285</v>
      </c>
    </row>
    <row r="697" customFormat="false" ht="15" hidden="false" customHeight="false" outlineLevel="0" collapsed="false">
      <c r="A697" s="10" t="s">
        <v>1508</v>
      </c>
      <c r="B697" s="23" t="s">
        <v>1273</v>
      </c>
      <c r="C697" s="6" t="s">
        <v>925</v>
      </c>
      <c r="D697" s="6" t="s">
        <v>1509</v>
      </c>
      <c r="E697" s="6" t="s">
        <v>1447</v>
      </c>
      <c r="F697" s="6" t="s">
        <v>68</v>
      </c>
      <c r="G697" s="6" t="n">
        <v>250</v>
      </c>
      <c r="H697" s="6" t="n">
        <v>225</v>
      </c>
      <c r="I697" s="6"/>
      <c r="J697" s="6" t="n">
        <v>16</v>
      </c>
      <c r="K697" s="6" t="s">
        <v>1276</v>
      </c>
      <c r="L697" s="6"/>
      <c r="M697" s="6"/>
      <c r="N697" s="12" t="n">
        <v>204.6</v>
      </c>
      <c r="O697" s="12" t="n">
        <v>184</v>
      </c>
      <c r="P697" s="12"/>
      <c r="Q697" s="12"/>
      <c r="R697" s="14" t="n">
        <v>0.014</v>
      </c>
      <c r="S697" s="6" t="n">
        <v>0</v>
      </c>
      <c r="T697" s="6" t="n">
        <v>30</v>
      </c>
      <c r="U697" s="15" t="n">
        <f aca="false">0.8*SIN(RADIANS(T697/2))*(1-(O697/N697)^2)</f>
        <v>0.0395954219537709</v>
      </c>
      <c r="V697" s="14"/>
      <c r="W697" s="15" t="n">
        <f aca="false">2.6*SIN(RADIANS(T697/2))*(1-(O697/N697)^2)^2</f>
        <v>0.0246086106076422</v>
      </c>
      <c r="X697" s="10" t="s">
        <v>996</v>
      </c>
      <c r="Y697" s="16"/>
      <c r="Z697" s="17" t="s">
        <v>48</v>
      </c>
      <c r="AA697" s="6"/>
      <c r="AB697" s="18" t="n">
        <f aca="false">IF(O697="","",$D$3*PI()*(O697/1000)^2/4*3600)</f>
        <v>143.588377187914</v>
      </c>
      <c r="AC697" s="19" t="n">
        <f aca="false">IF(OR(U697="",NOT(ISNUMBER(U697))),"",U697*$D$3^2/(2*$H$3))</f>
        <v>0.00454075939836822</v>
      </c>
      <c r="AD697" s="20" t="n">
        <f aca="false">IF(OR(U697="",NOT(ISNUMBER(U697))),"",U697*$D$3^2/2*$F$3)</f>
        <v>44.5448496979923</v>
      </c>
      <c r="AE697" s="19" t="str">
        <f aca="false">IF(OR(V697="",NOT(ISNUMBER(V697))),"",V697*$D$3^2/(2*$H$3))</f>
        <v/>
      </c>
      <c r="AF697" s="20" t="str">
        <f aca="false">IF(OR(V697="",NOT(ISNUMBER(V697))),"",V697*$D$3^2/2*$F$3)</f>
        <v/>
      </c>
      <c r="AG697" s="19" t="n">
        <f aca="false">IF(OR(W697="",NOT(ISNUMBER(W697))),"",W697*$D$3^2/(2*$H$3))</f>
        <v>0.00282208837243603</v>
      </c>
      <c r="AH697" s="20" t="n">
        <f aca="false">IF(OR(W697="",NOT(ISNUMBER(W697))),"",W697*$D$3^2/2*$F$3)</f>
        <v>27.6846869335975</v>
      </c>
    </row>
    <row r="698" customFormat="false" ht="15" hidden="false" customHeight="false" outlineLevel="0" collapsed="false">
      <c r="A698" s="10" t="s">
        <v>1510</v>
      </c>
      <c r="B698" s="23" t="s">
        <v>1273</v>
      </c>
      <c r="C698" s="6" t="s">
        <v>925</v>
      </c>
      <c r="D698" s="6" t="s">
        <v>1511</v>
      </c>
      <c r="E698" s="6" t="s">
        <v>1447</v>
      </c>
      <c r="F698" s="6" t="s">
        <v>68</v>
      </c>
      <c r="G698" s="6" t="n">
        <v>280</v>
      </c>
      <c r="H698" s="6" t="n">
        <v>250</v>
      </c>
      <c r="I698" s="6"/>
      <c r="J698" s="6" t="n">
        <v>16</v>
      </c>
      <c r="K698" s="6" t="s">
        <v>1276</v>
      </c>
      <c r="L698" s="6"/>
      <c r="M698" s="6"/>
      <c r="N698" s="12" t="n">
        <v>229.2</v>
      </c>
      <c r="O698" s="12" t="n">
        <v>204.6</v>
      </c>
      <c r="P698" s="12"/>
      <c r="Q698" s="12"/>
      <c r="R698" s="14" t="n">
        <v>0.014</v>
      </c>
      <c r="S698" s="6" t="n">
        <v>0</v>
      </c>
      <c r="T698" s="6" t="n">
        <v>30</v>
      </c>
      <c r="U698" s="15" t="n">
        <f aca="false">0.8*SIN(RADIANS(T698/2))*(1-(O698/N698)^2)</f>
        <v>0.0420611987279626</v>
      </c>
      <c r="V698" s="14"/>
      <c r="W698" s="15" t="n">
        <f aca="false">2.6*SIN(RADIANS(T698/2))*(1-(O698/N698)^2)^2</f>
        <v>0.0277690124321718</v>
      </c>
      <c r="X698" s="10" t="s">
        <v>996</v>
      </c>
      <c r="Y698" s="16"/>
      <c r="Z698" s="17" t="s">
        <v>48</v>
      </c>
      <c r="AA698" s="6"/>
      <c r="AB698" s="18" t="n">
        <f aca="false">IF(O698="","",$D$3*PI()*(O698/1000)^2/4*3600)</f>
        <v>177.539462181108</v>
      </c>
      <c r="AC698" s="19" t="n">
        <f aca="false">IF(OR(U698="",NOT(ISNUMBER(U698))),"",U698*$D$3^2/(2*$H$3))</f>
        <v>0.0048235319642159</v>
      </c>
      <c r="AD698" s="20" t="n">
        <f aca="false">IF(OR(U698="",NOT(ISNUMBER(U698))),"",U698*$D$3^2/2*$F$3)</f>
        <v>47.318848568958</v>
      </c>
      <c r="AE698" s="19" t="str">
        <f aca="false">IF(OR(V698="",NOT(ISNUMBER(V698))),"",V698*$D$3^2/(2*$H$3))</f>
        <v/>
      </c>
      <c r="AF698" s="20" t="str">
        <f aca="false">IF(OR(V698="",NOT(ISNUMBER(V698))),"",V698*$D$3^2/2*$F$3)</f>
        <v/>
      </c>
      <c r="AG698" s="19" t="n">
        <f aca="false">IF(OR(W698="",NOT(ISNUMBER(W698))),"",W698*$D$3^2/(2*$H$3))</f>
        <v>0.00318451977433163</v>
      </c>
      <c r="AH698" s="20" t="n">
        <f aca="false">IF(OR(W698="",NOT(ISNUMBER(W698))),"",W698*$D$3^2/2*$F$3)</f>
        <v>31.2401389861933</v>
      </c>
    </row>
    <row r="699" customFormat="false" ht="15" hidden="false" customHeight="false" outlineLevel="0" collapsed="false">
      <c r="A699" s="10" t="s">
        <v>1512</v>
      </c>
      <c r="B699" s="23" t="s">
        <v>1273</v>
      </c>
      <c r="C699" s="6" t="s">
        <v>925</v>
      </c>
      <c r="D699" s="6" t="s">
        <v>1513</v>
      </c>
      <c r="E699" s="6" t="s">
        <v>1447</v>
      </c>
      <c r="F699" s="6" t="s">
        <v>68</v>
      </c>
      <c r="G699" s="6" t="n">
        <v>315</v>
      </c>
      <c r="H699" s="6" t="n">
        <v>200</v>
      </c>
      <c r="I699" s="6"/>
      <c r="J699" s="6" t="n">
        <v>16</v>
      </c>
      <c r="K699" s="6" t="s">
        <v>1276</v>
      </c>
      <c r="L699" s="6"/>
      <c r="M699" s="6"/>
      <c r="N699" s="12" t="n">
        <v>257.8</v>
      </c>
      <c r="O699" s="12" t="n">
        <v>163.6</v>
      </c>
      <c r="P699" s="12"/>
      <c r="Q699" s="12"/>
      <c r="R699" s="14" t="n">
        <v>0.013</v>
      </c>
      <c r="S699" s="6" t="n">
        <v>0</v>
      </c>
      <c r="T699" s="6" t="n">
        <v>30</v>
      </c>
      <c r="U699" s="15" t="n">
        <f aca="false">0.8*SIN(RADIANS(T699/2))*(1-(O699/N699)^2)</f>
        <v>0.123670417119064</v>
      </c>
      <c r="V699" s="14"/>
      <c r="W699" s="15" t="n">
        <f aca="false">2.6*SIN(RADIANS(T699/2))*(1-(O699/N699)^2)^2</f>
        <v>0.240064970919749</v>
      </c>
      <c r="X699" s="10" t="s">
        <v>996</v>
      </c>
      <c r="Y699" s="16"/>
      <c r="Z699" s="17" t="s">
        <v>48</v>
      </c>
      <c r="AA699" s="6"/>
      <c r="AB699" s="18" t="n">
        <f aca="false">IF(O699="","",$D$3*PI()*(O699/1000)^2/4*3600)</f>
        <v>113.514212307993</v>
      </c>
      <c r="AC699" s="19" t="n">
        <f aca="false">IF(OR(U699="",NOT(ISNUMBER(U699))),"",U699*$D$3^2/(2*$H$3))</f>
        <v>0.0141823872842964</v>
      </c>
      <c r="AD699" s="20" t="n">
        <f aca="false">IF(OR(U699="",NOT(ISNUMBER(U699))),"",U699*$D$3^2/2*$F$3)</f>
        <v>139.129219258947</v>
      </c>
      <c r="AE699" s="19" t="str">
        <f aca="false">IF(OR(V699="",NOT(ISNUMBER(V699))),"",V699*$D$3^2/(2*$H$3))</f>
        <v/>
      </c>
      <c r="AF699" s="20" t="str">
        <f aca="false">IF(OR(V699="",NOT(ISNUMBER(V699))),"",V699*$D$3^2/2*$F$3)</f>
        <v/>
      </c>
      <c r="AG699" s="19" t="n">
        <f aca="false">IF(OR(W699="",NOT(ISNUMBER(W699))),"",W699*$D$3^2/(2*$H$3))</f>
        <v>0.0275303865733657</v>
      </c>
      <c r="AH699" s="20" t="n">
        <f aca="false">IF(OR(W699="",NOT(ISNUMBER(W699))),"",W699*$D$3^2/2*$F$3)</f>
        <v>270.073092284717</v>
      </c>
    </row>
    <row r="700" customFormat="false" ht="15" hidden="false" customHeight="false" outlineLevel="0" collapsed="false">
      <c r="A700" s="10" t="s">
        <v>1514</v>
      </c>
      <c r="B700" s="23" t="s">
        <v>1273</v>
      </c>
      <c r="C700" s="6" t="s">
        <v>925</v>
      </c>
      <c r="D700" s="6" t="s">
        <v>1515</v>
      </c>
      <c r="E700" s="6" t="s">
        <v>1447</v>
      </c>
      <c r="F700" s="6" t="s">
        <v>68</v>
      </c>
      <c r="G700" s="6" t="n">
        <v>315</v>
      </c>
      <c r="H700" s="6" t="n">
        <v>250</v>
      </c>
      <c r="I700" s="6"/>
      <c r="J700" s="6" t="n">
        <v>16</v>
      </c>
      <c r="K700" s="6" t="s">
        <v>1276</v>
      </c>
      <c r="L700" s="6"/>
      <c r="M700" s="6"/>
      <c r="N700" s="12" t="n">
        <v>257.8</v>
      </c>
      <c r="O700" s="12" t="n">
        <v>204.6</v>
      </c>
      <c r="P700" s="12"/>
      <c r="Q700" s="12"/>
      <c r="R700" s="14" t="n">
        <v>0.013</v>
      </c>
      <c r="S700" s="6" t="n">
        <v>0</v>
      </c>
      <c r="T700" s="6" t="n">
        <v>30</v>
      </c>
      <c r="U700" s="15" t="n">
        <f aca="false">0.8*SIN(RADIANS(T700/2))*(1-(O700/N700)^2)</f>
        <v>0.0766390035085633</v>
      </c>
      <c r="V700" s="14"/>
      <c r="W700" s="15" t="n">
        <f aca="false">2.6*SIN(RADIANS(T700/2))*(1-(O700/N700)^2)^2</f>
        <v>0.0921927653328786</v>
      </c>
      <c r="X700" s="10" t="s">
        <v>996</v>
      </c>
      <c r="Y700" s="16"/>
      <c r="Z700" s="17" t="s">
        <v>48</v>
      </c>
      <c r="AA700" s="6"/>
      <c r="AB700" s="18" t="n">
        <f aca="false">IF(O700="","",$D$3*PI()*(O700/1000)^2/4*3600)</f>
        <v>177.539462181108</v>
      </c>
      <c r="AC700" s="19" t="n">
        <f aca="false">IF(OR(U700="",NOT(ISNUMBER(U700))),"",U700*$D$3^2/(2*$H$3))</f>
        <v>0.00878887654914717</v>
      </c>
      <c r="AD700" s="20" t="n">
        <f aca="false">IF(OR(U700="",NOT(ISNUMBER(U700))),"",U700*$D$3^2/2*$F$3)</f>
        <v>86.2188789471337</v>
      </c>
      <c r="AE700" s="19" t="str">
        <f aca="false">IF(OR(V700="",NOT(ISNUMBER(V700))),"",V700*$D$3^2/(2*$H$3))</f>
        <v/>
      </c>
      <c r="AF700" s="20" t="str">
        <f aca="false">IF(OR(V700="",NOT(ISNUMBER(V700))),"",V700*$D$3^2/2*$F$3)</f>
        <v/>
      </c>
      <c r="AG700" s="19" t="n">
        <f aca="false">IF(OR(W700="",NOT(ISNUMBER(W700))),"",W700*$D$3^2/(2*$H$3))</f>
        <v>0.0105725648317521</v>
      </c>
      <c r="AH700" s="20" t="n">
        <f aca="false">IF(OR(W700="",NOT(ISNUMBER(W700))),"",W700*$D$3^2/2*$F$3)</f>
        <v>103.716860999488</v>
      </c>
    </row>
    <row r="701" customFormat="false" ht="15" hidden="false" customHeight="false" outlineLevel="0" collapsed="false">
      <c r="A701" s="10" t="s">
        <v>1516</v>
      </c>
      <c r="B701" s="23" t="s">
        <v>1273</v>
      </c>
      <c r="C701" s="6" t="s">
        <v>925</v>
      </c>
      <c r="D701" s="6" t="s">
        <v>1517</v>
      </c>
      <c r="E701" s="6" t="s">
        <v>1518</v>
      </c>
      <c r="F701" s="6" t="s">
        <v>247</v>
      </c>
      <c r="G701" s="6" t="n">
        <v>63</v>
      </c>
      <c r="H701" s="6" t="n">
        <v>63</v>
      </c>
      <c r="I701" s="6"/>
      <c r="J701" s="6" t="n">
        <v>10</v>
      </c>
      <c r="K701" s="6" t="s">
        <v>1276</v>
      </c>
      <c r="L701" s="6"/>
      <c r="M701" s="6"/>
      <c r="N701" s="12" t="n">
        <v>51.4</v>
      </c>
      <c r="O701" s="12" t="n">
        <v>51.4</v>
      </c>
      <c r="P701" s="12"/>
      <c r="Q701" s="12"/>
      <c r="R701" s="14" t="n">
        <v>0.019</v>
      </c>
      <c r="S701" s="6" t="n">
        <v>20</v>
      </c>
      <c r="T701" s="6"/>
      <c r="U701" s="15" t="n">
        <f aca="false">20*R701</f>
        <v>0.38</v>
      </c>
      <c r="V701" s="15" t="n">
        <f aca="false">60*R701+0.5*(1-(O701/N701)^2)</f>
        <v>1.14</v>
      </c>
      <c r="W701" s="14"/>
      <c r="X701" s="10" t="s">
        <v>1116</v>
      </c>
      <c r="Y701" s="16"/>
      <c r="Z701" s="17" t="s">
        <v>48</v>
      </c>
      <c r="AA701" s="6"/>
      <c r="AB701" s="18" t="n">
        <f aca="false">IF(O701="","",$D$3*PI()*(O701/1000)^2/4*3600)</f>
        <v>11.2049488715554</v>
      </c>
      <c r="AC701" s="19" t="n">
        <f aca="false">IF(OR(U701="",NOT(ISNUMBER(U701))),"",U701*$D$3^2/(2*$H$3))</f>
        <v>0.0435779816513761</v>
      </c>
      <c r="AD701" s="20" t="n">
        <f aca="false">IF(OR(U701="",NOT(ISNUMBER(U701))),"",U701*$D$3^2/2*$F$3)</f>
        <v>427.5</v>
      </c>
      <c r="AE701" s="19" t="n">
        <f aca="false">IF(OR(V701="",NOT(ISNUMBER(V701))),"",V701*$D$3^2/(2*$H$3))</f>
        <v>0.130733944954128</v>
      </c>
      <c r="AF701" s="20" t="n">
        <f aca="false">IF(OR(V701="",NOT(ISNUMBER(V701))),"",V701*$D$3^2/2*$F$3)</f>
        <v>1282.5</v>
      </c>
      <c r="AG701" s="19" t="str">
        <f aca="false">IF(OR(W701="",NOT(ISNUMBER(W701))),"",W701*$D$3^2/(2*$H$3))</f>
        <v/>
      </c>
      <c r="AH701" s="20" t="str">
        <f aca="false">IF(OR(W701="",NOT(ISNUMBER(W701))),"",W701*$D$3^2/2*$F$3)</f>
        <v/>
      </c>
    </row>
    <row r="702" customFormat="false" ht="15" hidden="false" customHeight="false" outlineLevel="0" collapsed="false">
      <c r="A702" s="10" t="s">
        <v>1519</v>
      </c>
      <c r="B702" s="23" t="s">
        <v>1273</v>
      </c>
      <c r="C702" s="6" t="s">
        <v>925</v>
      </c>
      <c r="D702" s="6" t="s">
        <v>1520</v>
      </c>
      <c r="E702" s="6" t="s">
        <v>1518</v>
      </c>
      <c r="F702" s="6" t="s">
        <v>247</v>
      </c>
      <c r="G702" s="6" t="n">
        <v>75</v>
      </c>
      <c r="H702" s="6" t="n">
        <v>75</v>
      </c>
      <c r="I702" s="6"/>
      <c r="J702" s="6" t="n">
        <v>10</v>
      </c>
      <c r="K702" s="6" t="s">
        <v>1276</v>
      </c>
      <c r="L702" s="6"/>
      <c r="M702" s="6"/>
      <c r="N702" s="12" t="n">
        <v>61.4</v>
      </c>
      <c r="O702" s="12" t="n">
        <v>61.4</v>
      </c>
      <c r="P702" s="12"/>
      <c r="Q702" s="12"/>
      <c r="R702" s="14" t="n">
        <v>0.018</v>
      </c>
      <c r="S702" s="6" t="n">
        <v>20</v>
      </c>
      <c r="T702" s="6"/>
      <c r="U702" s="15" t="n">
        <f aca="false">20*R702</f>
        <v>0.36</v>
      </c>
      <c r="V702" s="15" t="n">
        <f aca="false">60*R702+0.5*(1-(O702/N702)^2)</f>
        <v>1.08</v>
      </c>
      <c r="W702" s="14"/>
      <c r="X702" s="10" t="s">
        <v>1116</v>
      </c>
      <c r="Y702" s="16"/>
      <c r="Z702" s="17" t="s">
        <v>48</v>
      </c>
      <c r="AA702" s="6"/>
      <c r="AB702" s="18" t="n">
        <f aca="false">IF(O702="","",$D$3*PI()*(O702/1000)^2/4*3600)</f>
        <v>15.988966164442</v>
      </c>
      <c r="AC702" s="19" t="n">
        <f aca="false">IF(OR(U702="",NOT(ISNUMBER(U702))),"",U702*$D$3^2/(2*$H$3))</f>
        <v>0.0412844036697248</v>
      </c>
      <c r="AD702" s="20" t="n">
        <f aca="false">IF(OR(U702="",NOT(ISNUMBER(U702))),"",U702*$D$3^2/2*$F$3)</f>
        <v>405</v>
      </c>
      <c r="AE702" s="19" t="n">
        <f aca="false">IF(OR(V702="",NOT(ISNUMBER(V702))),"",V702*$D$3^2/(2*$H$3))</f>
        <v>0.123853211009174</v>
      </c>
      <c r="AF702" s="20" t="n">
        <f aca="false">IF(OR(V702="",NOT(ISNUMBER(V702))),"",V702*$D$3^2/2*$F$3)</f>
        <v>1215</v>
      </c>
      <c r="AG702" s="19" t="str">
        <f aca="false">IF(OR(W702="",NOT(ISNUMBER(W702))),"",W702*$D$3^2/(2*$H$3))</f>
        <v/>
      </c>
      <c r="AH702" s="20" t="str">
        <f aca="false">IF(OR(W702="",NOT(ISNUMBER(W702))),"",W702*$D$3^2/2*$F$3)</f>
        <v/>
      </c>
    </row>
    <row r="703" customFormat="false" ht="15" hidden="false" customHeight="false" outlineLevel="0" collapsed="false">
      <c r="A703" s="10" t="s">
        <v>1521</v>
      </c>
      <c r="B703" s="23" t="s">
        <v>1273</v>
      </c>
      <c r="C703" s="6" t="s">
        <v>925</v>
      </c>
      <c r="D703" s="6" t="s">
        <v>1522</v>
      </c>
      <c r="E703" s="6" t="s">
        <v>1518</v>
      </c>
      <c r="F703" s="6" t="s">
        <v>247</v>
      </c>
      <c r="G703" s="6" t="n">
        <v>90</v>
      </c>
      <c r="H703" s="6" t="n">
        <v>90</v>
      </c>
      <c r="I703" s="6"/>
      <c r="J703" s="6" t="n">
        <v>10</v>
      </c>
      <c r="K703" s="6" t="s">
        <v>1276</v>
      </c>
      <c r="L703" s="6"/>
      <c r="M703" s="6"/>
      <c r="N703" s="12" t="n">
        <v>73.6</v>
      </c>
      <c r="O703" s="12" t="n">
        <v>73.6</v>
      </c>
      <c r="P703" s="12"/>
      <c r="Q703" s="12"/>
      <c r="R703" s="14" t="n">
        <v>0.018</v>
      </c>
      <c r="S703" s="6" t="n">
        <v>20</v>
      </c>
      <c r="T703" s="6"/>
      <c r="U703" s="15" t="n">
        <f aca="false">20*R703</f>
        <v>0.36</v>
      </c>
      <c r="V703" s="15" t="n">
        <f aca="false">60*R703+0.5*(1-(O703/N703)^2)</f>
        <v>1.08</v>
      </c>
      <c r="W703" s="14"/>
      <c r="X703" s="10" t="s">
        <v>1116</v>
      </c>
      <c r="Y703" s="16"/>
      <c r="Z703" s="17" t="s">
        <v>48</v>
      </c>
      <c r="AA703" s="6"/>
      <c r="AB703" s="18" t="n">
        <f aca="false">IF(O703="","",$D$3*PI()*(O703/1000)^2/4*3600)</f>
        <v>22.9741403500662</v>
      </c>
      <c r="AC703" s="19" t="n">
        <f aca="false">IF(OR(U703="",NOT(ISNUMBER(U703))),"",U703*$D$3^2/(2*$H$3))</f>
        <v>0.0412844036697248</v>
      </c>
      <c r="AD703" s="20" t="n">
        <f aca="false">IF(OR(U703="",NOT(ISNUMBER(U703))),"",U703*$D$3^2/2*$F$3)</f>
        <v>405</v>
      </c>
      <c r="AE703" s="19" t="n">
        <f aca="false">IF(OR(V703="",NOT(ISNUMBER(V703))),"",V703*$D$3^2/(2*$H$3))</f>
        <v>0.123853211009174</v>
      </c>
      <c r="AF703" s="20" t="n">
        <f aca="false">IF(OR(V703="",NOT(ISNUMBER(V703))),"",V703*$D$3^2/2*$F$3)</f>
        <v>1215</v>
      </c>
      <c r="AG703" s="19" t="str">
        <f aca="false">IF(OR(W703="",NOT(ISNUMBER(W703))),"",W703*$D$3^2/(2*$H$3))</f>
        <v/>
      </c>
      <c r="AH703" s="20" t="str">
        <f aca="false">IF(OR(W703="",NOT(ISNUMBER(W703))),"",W703*$D$3^2/2*$F$3)</f>
        <v/>
      </c>
    </row>
    <row r="704" customFormat="false" ht="15" hidden="false" customHeight="false" outlineLevel="0" collapsed="false">
      <c r="A704" s="10" t="s">
        <v>1523</v>
      </c>
      <c r="B704" s="23" t="s">
        <v>1273</v>
      </c>
      <c r="C704" s="6" t="s">
        <v>925</v>
      </c>
      <c r="D704" s="6" t="s">
        <v>1524</v>
      </c>
      <c r="E704" s="6" t="s">
        <v>1518</v>
      </c>
      <c r="F704" s="6" t="s">
        <v>247</v>
      </c>
      <c r="G704" s="6" t="n">
        <v>110</v>
      </c>
      <c r="H704" s="6" t="n">
        <v>110</v>
      </c>
      <c r="I704" s="6"/>
      <c r="J704" s="6" t="n">
        <v>10</v>
      </c>
      <c r="K704" s="6" t="s">
        <v>1276</v>
      </c>
      <c r="L704" s="6"/>
      <c r="M704" s="6"/>
      <c r="N704" s="12" t="n">
        <v>90</v>
      </c>
      <c r="O704" s="12" t="n">
        <v>90</v>
      </c>
      <c r="P704" s="12"/>
      <c r="Q704" s="12"/>
      <c r="R704" s="14" t="n">
        <v>0.017</v>
      </c>
      <c r="S704" s="6" t="n">
        <v>20</v>
      </c>
      <c r="T704" s="6"/>
      <c r="U704" s="15" t="n">
        <f aca="false">20*R704</f>
        <v>0.34</v>
      </c>
      <c r="V704" s="15" t="n">
        <f aca="false">60*R704+0.5*(1-(O704/N704)^2)</f>
        <v>1.02</v>
      </c>
      <c r="W704" s="14"/>
      <c r="X704" s="10" t="s">
        <v>1116</v>
      </c>
      <c r="Y704" s="16"/>
      <c r="Z704" s="17" t="s">
        <v>48</v>
      </c>
      <c r="AA704" s="6"/>
      <c r="AB704" s="18" t="n">
        <f aca="false">IF(O704="","",$D$3*PI()*(O704/1000)^2/4*3600)</f>
        <v>34.3533156670044</v>
      </c>
      <c r="AC704" s="19" t="n">
        <f aca="false">IF(OR(U704="",NOT(ISNUMBER(U704))),"",U704*$D$3^2/(2*$H$3))</f>
        <v>0.0389908256880734</v>
      </c>
      <c r="AD704" s="20" t="n">
        <f aca="false">IF(OR(U704="",NOT(ISNUMBER(U704))),"",U704*$D$3^2/2*$F$3)</f>
        <v>382.5</v>
      </c>
      <c r="AE704" s="19" t="n">
        <f aca="false">IF(OR(V704="",NOT(ISNUMBER(V704))),"",V704*$D$3^2/(2*$H$3))</f>
        <v>0.11697247706422</v>
      </c>
      <c r="AF704" s="20" t="n">
        <f aca="false">IF(OR(V704="",NOT(ISNUMBER(V704))),"",V704*$D$3^2/2*$F$3)</f>
        <v>1147.5</v>
      </c>
      <c r="AG704" s="19" t="str">
        <f aca="false">IF(OR(W704="",NOT(ISNUMBER(W704))),"",W704*$D$3^2/(2*$H$3))</f>
        <v/>
      </c>
      <c r="AH704" s="20" t="str">
        <f aca="false">IF(OR(W704="",NOT(ISNUMBER(W704))),"",W704*$D$3^2/2*$F$3)</f>
        <v/>
      </c>
    </row>
    <row r="705" customFormat="false" ht="15" hidden="false" customHeight="false" outlineLevel="0" collapsed="false">
      <c r="A705" s="10" t="s">
        <v>1525</v>
      </c>
      <c r="B705" s="23" t="s">
        <v>1273</v>
      </c>
      <c r="C705" s="6" t="s">
        <v>925</v>
      </c>
      <c r="D705" s="6" t="s">
        <v>1526</v>
      </c>
      <c r="E705" s="6" t="s">
        <v>1518</v>
      </c>
      <c r="F705" s="6" t="s">
        <v>247</v>
      </c>
      <c r="G705" s="6" t="n">
        <v>125</v>
      </c>
      <c r="H705" s="6" t="n">
        <v>125</v>
      </c>
      <c r="I705" s="6"/>
      <c r="J705" s="6" t="n">
        <v>10</v>
      </c>
      <c r="K705" s="6" t="s">
        <v>1276</v>
      </c>
      <c r="L705" s="6"/>
      <c r="M705" s="6"/>
      <c r="N705" s="12" t="n">
        <v>102.2</v>
      </c>
      <c r="O705" s="12" t="n">
        <v>102.2</v>
      </c>
      <c r="P705" s="12"/>
      <c r="Q705" s="12"/>
      <c r="R705" s="14" t="n">
        <v>0.016</v>
      </c>
      <c r="S705" s="6" t="n">
        <v>20</v>
      </c>
      <c r="T705" s="6"/>
      <c r="U705" s="15" t="n">
        <f aca="false">20*R705</f>
        <v>0.32</v>
      </c>
      <c r="V705" s="15" t="n">
        <f aca="false">60*R705+0.5*(1-(O705/N705)^2)</f>
        <v>0.96</v>
      </c>
      <c r="W705" s="14"/>
      <c r="X705" s="10" t="s">
        <v>1116</v>
      </c>
      <c r="Y705" s="16"/>
      <c r="Z705" s="17" t="s">
        <v>48</v>
      </c>
      <c r="AA705" s="6"/>
      <c r="AB705" s="18" t="n">
        <f aca="false">IF(O705="","",$D$3*PI()*(O705/1000)^2/4*3600)</f>
        <v>44.2981340260931</v>
      </c>
      <c r="AC705" s="19" t="n">
        <f aca="false">IF(OR(U705="",NOT(ISNUMBER(U705))),"",U705*$D$3^2/(2*$H$3))</f>
        <v>0.036697247706422</v>
      </c>
      <c r="AD705" s="20" t="n">
        <f aca="false">IF(OR(U705="",NOT(ISNUMBER(U705))),"",U705*$D$3^2/2*$F$3)</f>
        <v>360</v>
      </c>
      <c r="AE705" s="19" t="n">
        <f aca="false">IF(OR(V705="",NOT(ISNUMBER(V705))),"",V705*$D$3^2/(2*$H$3))</f>
        <v>0.110091743119266</v>
      </c>
      <c r="AF705" s="20" t="n">
        <f aca="false">IF(OR(V705="",NOT(ISNUMBER(V705))),"",V705*$D$3^2/2*$F$3)</f>
        <v>1080</v>
      </c>
      <c r="AG705" s="19" t="str">
        <f aca="false">IF(OR(W705="",NOT(ISNUMBER(W705))),"",W705*$D$3^2/(2*$H$3))</f>
        <v/>
      </c>
      <c r="AH705" s="20" t="str">
        <f aca="false">IF(OR(W705="",NOT(ISNUMBER(W705))),"",W705*$D$3^2/2*$F$3)</f>
        <v/>
      </c>
    </row>
    <row r="706" customFormat="false" ht="15" hidden="false" customHeight="false" outlineLevel="0" collapsed="false">
      <c r="A706" s="10" t="s">
        <v>1527</v>
      </c>
      <c r="B706" s="23" t="s">
        <v>1273</v>
      </c>
      <c r="C706" s="6" t="s">
        <v>925</v>
      </c>
      <c r="D706" s="6" t="s">
        <v>1528</v>
      </c>
      <c r="E706" s="6" t="s">
        <v>1518</v>
      </c>
      <c r="F706" s="6" t="s">
        <v>247</v>
      </c>
      <c r="G706" s="6" t="n">
        <v>140</v>
      </c>
      <c r="H706" s="6" t="n">
        <v>140</v>
      </c>
      <c r="I706" s="6"/>
      <c r="J706" s="6" t="n">
        <v>10</v>
      </c>
      <c r="K706" s="6" t="s">
        <v>1276</v>
      </c>
      <c r="L706" s="6"/>
      <c r="M706" s="6"/>
      <c r="N706" s="12" t="n">
        <v>114.6</v>
      </c>
      <c r="O706" s="12" t="n">
        <v>114.6</v>
      </c>
      <c r="P706" s="12"/>
      <c r="Q706" s="12"/>
      <c r="R706" s="14" t="n">
        <v>0.016</v>
      </c>
      <c r="S706" s="6" t="n">
        <v>20</v>
      </c>
      <c r="T706" s="6"/>
      <c r="U706" s="15" t="n">
        <f aca="false">20*R706</f>
        <v>0.32</v>
      </c>
      <c r="V706" s="15" t="n">
        <f aca="false">60*R706+0.5*(1-(O706/N706)^2)</f>
        <v>0.96</v>
      </c>
      <c r="W706" s="14"/>
      <c r="X706" s="10" t="s">
        <v>1116</v>
      </c>
      <c r="Y706" s="16"/>
      <c r="Z706" s="17" t="s">
        <v>48</v>
      </c>
      <c r="AA706" s="6"/>
      <c r="AB706" s="18" t="n">
        <f aca="false">IF(O706="","",$D$3*PI()*(O706/1000)^2/4*3600)</f>
        <v>55.6997026154661</v>
      </c>
      <c r="AC706" s="19" t="n">
        <f aca="false">IF(OR(U706="",NOT(ISNUMBER(U706))),"",U706*$D$3^2/(2*$H$3))</f>
        <v>0.036697247706422</v>
      </c>
      <c r="AD706" s="20" t="n">
        <f aca="false">IF(OR(U706="",NOT(ISNUMBER(U706))),"",U706*$D$3^2/2*$F$3)</f>
        <v>360</v>
      </c>
      <c r="AE706" s="19" t="n">
        <f aca="false">IF(OR(V706="",NOT(ISNUMBER(V706))),"",V706*$D$3^2/(2*$H$3))</f>
        <v>0.110091743119266</v>
      </c>
      <c r="AF706" s="20" t="n">
        <f aca="false">IF(OR(V706="",NOT(ISNUMBER(V706))),"",V706*$D$3^2/2*$F$3)</f>
        <v>1080</v>
      </c>
      <c r="AG706" s="19" t="str">
        <f aca="false">IF(OR(W706="",NOT(ISNUMBER(W706))),"",W706*$D$3^2/(2*$H$3))</f>
        <v/>
      </c>
      <c r="AH706" s="20" t="str">
        <f aca="false">IF(OR(W706="",NOT(ISNUMBER(W706))),"",W706*$D$3^2/2*$F$3)</f>
        <v/>
      </c>
    </row>
    <row r="707" customFormat="false" ht="15" hidden="false" customHeight="false" outlineLevel="0" collapsed="false">
      <c r="A707" s="10" t="s">
        <v>1529</v>
      </c>
      <c r="B707" s="23" t="s">
        <v>1273</v>
      </c>
      <c r="C707" s="6" t="s">
        <v>925</v>
      </c>
      <c r="D707" s="6" t="s">
        <v>1530</v>
      </c>
      <c r="E707" s="6" t="s">
        <v>1518</v>
      </c>
      <c r="F707" s="6" t="s">
        <v>247</v>
      </c>
      <c r="G707" s="6" t="n">
        <v>160</v>
      </c>
      <c r="H707" s="6" t="n">
        <v>160</v>
      </c>
      <c r="I707" s="6"/>
      <c r="J707" s="6" t="n">
        <v>10</v>
      </c>
      <c r="K707" s="6" t="s">
        <v>1276</v>
      </c>
      <c r="L707" s="6"/>
      <c r="M707" s="6"/>
      <c r="N707" s="12" t="n">
        <v>130.8</v>
      </c>
      <c r="O707" s="12" t="n">
        <v>130.8</v>
      </c>
      <c r="P707" s="12"/>
      <c r="Q707" s="12"/>
      <c r="R707" s="14" t="n">
        <v>0.015</v>
      </c>
      <c r="S707" s="6" t="n">
        <v>20</v>
      </c>
      <c r="T707" s="6"/>
      <c r="U707" s="15" t="n">
        <f aca="false">20*R707</f>
        <v>0.3</v>
      </c>
      <c r="V707" s="15" t="n">
        <f aca="false">60*R707+0.5*(1-(O707/N707)^2)</f>
        <v>0.9</v>
      </c>
      <c r="W707" s="14"/>
      <c r="X707" s="10" t="s">
        <v>1116</v>
      </c>
      <c r="Y707" s="16"/>
      <c r="Z707" s="17" t="s">
        <v>48</v>
      </c>
      <c r="AA707" s="6"/>
      <c r="AB707" s="18" t="n">
        <f aca="false">IF(O707="","",$D$3*PI()*(O707/1000)^2/4*3600)</f>
        <v>72.5603099448318</v>
      </c>
      <c r="AC707" s="19" t="n">
        <f aca="false">IF(OR(U707="",NOT(ISNUMBER(U707))),"",U707*$D$3^2/(2*$H$3))</f>
        <v>0.0344036697247706</v>
      </c>
      <c r="AD707" s="20" t="n">
        <f aca="false">IF(OR(U707="",NOT(ISNUMBER(U707))),"",U707*$D$3^2/2*$F$3)</f>
        <v>337.5</v>
      </c>
      <c r="AE707" s="19" t="n">
        <f aca="false">IF(OR(V707="",NOT(ISNUMBER(V707))),"",V707*$D$3^2/(2*$H$3))</f>
        <v>0.103211009174312</v>
      </c>
      <c r="AF707" s="20" t="n">
        <f aca="false">IF(OR(V707="",NOT(ISNUMBER(V707))),"",V707*$D$3^2/2*$F$3)</f>
        <v>1012.5</v>
      </c>
      <c r="AG707" s="19" t="str">
        <f aca="false">IF(OR(W707="",NOT(ISNUMBER(W707))),"",W707*$D$3^2/(2*$H$3))</f>
        <v/>
      </c>
      <c r="AH707" s="20" t="str">
        <f aca="false">IF(OR(W707="",NOT(ISNUMBER(W707))),"",W707*$D$3^2/2*$F$3)</f>
        <v/>
      </c>
    </row>
    <row r="708" customFormat="false" ht="15" hidden="false" customHeight="false" outlineLevel="0" collapsed="false">
      <c r="A708" s="10" t="s">
        <v>1531</v>
      </c>
      <c r="B708" s="23" t="s">
        <v>1273</v>
      </c>
      <c r="C708" s="6" t="s">
        <v>925</v>
      </c>
      <c r="D708" s="6" t="s">
        <v>1532</v>
      </c>
      <c r="E708" s="6" t="s">
        <v>1518</v>
      </c>
      <c r="F708" s="6" t="s">
        <v>247</v>
      </c>
      <c r="G708" s="6" t="n">
        <v>180</v>
      </c>
      <c r="H708" s="6" t="n">
        <v>180</v>
      </c>
      <c r="I708" s="6"/>
      <c r="J708" s="6" t="n">
        <v>10</v>
      </c>
      <c r="K708" s="6" t="s">
        <v>1276</v>
      </c>
      <c r="L708" s="6"/>
      <c r="M708" s="6"/>
      <c r="N708" s="12" t="n">
        <v>147.2</v>
      </c>
      <c r="O708" s="12" t="n">
        <v>147.2</v>
      </c>
      <c r="P708" s="12"/>
      <c r="Q708" s="12"/>
      <c r="R708" s="14" t="n">
        <v>0.015</v>
      </c>
      <c r="S708" s="6" t="n">
        <v>20</v>
      </c>
      <c r="T708" s="6"/>
      <c r="U708" s="15" t="n">
        <f aca="false">20*R708</f>
        <v>0.3</v>
      </c>
      <c r="V708" s="15" t="n">
        <f aca="false">60*R708+0.5*(1-(O708/N708)^2)</f>
        <v>0.9</v>
      </c>
      <c r="W708" s="14"/>
      <c r="X708" s="10" t="s">
        <v>1116</v>
      </c>
      <c r="Y708" s="16"/>
      <c r="Z708" s="17" t="s">
        <v>48</v>
      </c>
      <c r="AA708" s="6"/>
      <c r="AB708" s="18" t="n">
        <f aca="false">IF(O708="","",$D$3*PI()*(O708/1000)^2/4*3600)</f>
        <v>91.8965614002647</v>
      </c>
      <c r="AC708" s="19" t="n">
        <f aca="false">IF(OR(U708="",NOT(ISNUMBER(U708))),"",U708*$D$3^2/(2*$H$3))</f>
        <v>0.0344036697247706</v>
      </c>
      <c r="AD708" s="20" t="n">
        <f aca="false">IF(OR(U708="",NOT(ISNUMBER(U708))),"",U708*$D$3^2/2*$F$3)</f>
        <v>337.5</v>
      </c>
      <c r="AE708" s="19" t="n">
        <f aca="false">IF(OR(V708="",NOT(ISNUMBER(V708))),"",V708*$D$3^2/(2*$H$3))</f>
        <v>0.103211009174312</v>
      </c>
      <c r="AF708" s="20" t="n">
        <f aca="false">IF(OR(V708="",NOT(ISNUMBER(V708))),"",V708*$D$3^2/2*$F$3)</f>
        <v>1012.5</v>
      </c>
      <c r="AG708" s="19" t="str">
        <f aca="false">IF(OR(W708="",NOT(ISNUMBER(W708))),"",W708*$D$3^2/(2*$H$3))</f>
        <v/>
      </c>
      <c r="AH708" s="20" t="str">
        <f aca="false">IF(OR(W708="",NOT(ISNUMBER(W708))),"",W708*$D$3^2/2*$F$3)</f>
        <v/>
      </c>
    </row>
    <row r="709" customFormat="false" ht="15" hidden="false" customHeight="false" outlineLevel="0" collapsed="false">
      <c r="A709" s="10" t="s">
        <v>1533</v>
      </c>
      <c r="B709" s="23" t="s">
        <v>1273</v>
      </c>
      <c r="C709" s="6" t="s">
        <v>925</v>
      </c>
      <c r="D709" s="6" t="s">
        <v>1534</v>
      </c>
      <c r="E709" s="6" t="s">
        <v>1518</v>
      </c>
      <c r="F709" s="6" t="s">
        <v>247</v>
      </c>
      <c r="G709" s="6" t="n">
        <v>200</v>
      </c>
      <c r="H709" s="6" t="n">
        <v>200</v>
      </c>
      <c r="I709" s="6"/>
      <c r="J709" s="6" t="n">
        <v>10</v>
      </c>
      <c r="K709" s="6" t="s">
        <v>1276</v>
      </c>
      <c r="L709" s="6"/>
      <c r="M709" s="6"/>
      <c r="N709" s="12" t="n">
        <v>163.6</v>
      </c>
      <c r="O709" s="12" t="n">
        <v>163.6</v>
      </c>
      <c r="P709" s="12"/>
      <c r="Q709" s="12"/>
      <c r="R709" s="14" t="n">
        <v>0.014</v>
      </c>
      <c r="S709" s="6" t="n">
        <v>20</v>
      </c>
      <c r="T709" s="6"/>
      <c r="U709" s="15" t="n">
        <f aca="false">20*R709</f>
        <v>0.28</v>
      </c>
      <c r="V709" s="15" t="n">
        <f aca="false">60*R709+0.5*(1-(O709/N709)^2)</f>
        <v>0.84</v>
      </c>
      <c r="W709" s="14"/>
      <c r="X709" s="10" t="s">
        <v>1116</v>
      </c>
      <c r="Y709" s="16"/>
      <c r="Z709" s="17" t="s">
        <v>48</v>
      </c>
      <c r="AA709" s="6"/>
      <c r="AB709" s="18" t="n">
        <f aca="false">IF(O709="","",$D$3*PI()*(O709/1000)^2/4*3600)</f>
        <v>113.514212307993</v>
      </c>
      <c r="AC709" s="19" t="n">
        <f aca="false">IF(OR(U709="",NOT(ISNUMBER(U709))),"",U709*$D$3^2/(2*$H$3))</f>
        <v>0.0321100917431193</v>
      </c>
      <c r="AD709" s="20" t="n">
        <f aca="false">IF(OR(U709="",NOT(ISNUMBER(U709))),"",U709*$D$3^2/2*$F$3)</f>
        <v>315</v>
      </c>
      <c r="AE709" s="19" t="n">
        <f aca="false">IF(OR(V709="",NOT(ISNUMBER(V709))),"",V709*$D$3^2/(2*$H$3))</f>
        <v>0.0963302752293578</v>
      </c>
      <c r="AF709" s="20" t="n">
        <f aca="false">IF(OR(V709="",NOT(ISNUMBER(V709))),"",V709*$D$3^2/2*$F$3)</f>
        <v>945</v>
      </c>
      <c r="AG709" s="19" t="str">
        <f aca="false">IF(OR(W709="",NOT(ISNUMBER(W709))),"",W709*$D$3^2/(2*$H$3))</f>
        <v/>
      </c>
      <c r="AH709" s="20" t="str">
        <f aca="false">IF(OR(W709="",NOT(ISNUMBER(W709))),"",W709*$D$3^2/2*$F$3)</f>
        <v/>
      </c>
    </row>
    <row r="710" customFormat="false" ht="15" hidden="false" customHeight="false" outlineLevel="0" collapsed="false">
      <c r="A710" s="10" t="s">
        <v>1535</v>
      </c>
      <c r="B710" s="23" t="s">
        <v>1273</v>
      </c>
      <c r="C710" s="6" t="s">
        <v>925</v>
      </c>
      <c r="D710" s="6" t="s">
        <v>1536</v>
      </c>
      <c r="E710" s="6" t="s">
        <v>1518</v>
      </c>
      <c r="F710" s="6" t="s">
        <v>247</v>
      </c>
      <c r="G710" s="6" t="n">
        <v>225</v>
      </c>
      <c r="H710" s="6" t="n">
        <v>225</v>
      </c>
      <c r="I710" s="6"/>
      <c r="J710" s="6" t="n">
        <v>10</v>
      </c>
      <c r="K710" s="6" t="s">
        <v>1276</v>
      </c>
      <c r="L710" s="6"/>
      <c r="M710" s="6"/>
      <c r="N710" s="12" t="n">
        <v>184</v>
      </c>
      <c r="O710" s="12" t="n">
        <v>184</v>
      </c>
      <c r="P710" s="12"/>
      <c r="Q710" s="12"/>
      <c r="R710" s="14" t="n">
        <v>0.014</v>
      </c>
      <c r="S710" s="6" t="n">
        <v>20</v>
      </c>
      <c r="T710" s="6"/>
      <c r="U710" s="15" t="n">
        <f aca="false">20*R710</f>
        <v>0.28</v>
      </c>
      <c r="V710" s="15" t="n">
        <f aca="false">60*R710+0.5*(1-(O710/N710)^2)</f>
        <v>0.84</v>
      </c>
      <c r="W710" s="14"/>
      <c r="X710" s="10" t="s">
        <v>1116</v>
      </c>
      <c r="Y710" s="16"/>
      <c r="Z710" s="17" t="s">
        <v>48</v>
      </c>
      <c r="AA710" s="6"/>
      <c r="AB710" s="18" t="n">
        <f aca="false">IF(O710="","",$D$3*PI()*(O710/1000)^2/4*3600)</f>
        <v>143.588377187914</v>
      </c>
      <c r="AC710" s="19" t="n">
        <f aca="false">IF(OR(U710="",NOT(ISNUMBER(U710))),"",U710*$D$3^2/(2*$H$3))</f>
        <v>0.0321100917431193</v>
      </c>
      <c r="AD710" s="20" t="n">
        <f aca="false">IF(OR(U710="",NOT(ISNUMBER(U710))),"",U710*$D$3^2/2*$F$3)</f>
        <v>315</v>
      </c>
      <c r="AE710" s="19" t="n">
        <f aca="false">IF(OR(V710="",NOT(ISNUMBER(V710))),"",V710*$D$3^2/(2*$H$3))</f>
        <v>0.0963302752293578</v>
      </c>
      <c r="AF710" s="20" t="n">
        <f aca="false">IF(OR(V710="",NOT(ISNUMBER(V710))),"",V710*$D$3^2/2*$F$3)</f>
        <v>945</v>
      </c>
      <c r="AG710" s="19" t="str">
        <f aca="false">IF(OR(W710="",NOT(ISNUMBER(W710))),"",W710*$D$3^2/(2*$H$3))</f>
        <v/>
      </c>
      <c r="AH710" s="20" t="str">
        <f aca="false">IF(OR(W710="",NOT(ISNUMBER(W710))),"",W710*$D$3^2/2*$F$3)</f>
        <v/>
      </c>
    </row>
    <row r="711" customFormat="false" ht="15" hidden="false" customHeight="false" outlineLevel="0" collapsed="false">
      <c r="A711" s="10" t="s">
        <v>1537</v>
      </c>
      <c r="B711" s="23" t="s">
        <v>1273</v>
      </c>
      <c r="C711" s="6" t="s">
        <v>925</v>
      </c>
      <c r="D711" s="6" t="s">
        <v>1538</v>
      </c>
      <c r="E711" s="6" t="s">
        <v>1518</v>
      </c>
      <c r="F711" s="6" t="s">
        <v>247</v>
      </c>
      <c r="G711" s="6" t="n">
        <v>250</v>
      </c>
      <c r="H711" s="6" t="n">
        <v>250</v>
      </c>
      <c r="I711" s="6"/>
      <c r="J711" s="6" t="n">
        <v>10</v>
      </c>
      <c r="K711" s="6" t="s">
        <v>1276</v>
      </c>
      <c r="L711" s="6"/>
      <c r="M711" s="6"/>
      <c r="N711" s="12" t="n">
        <v>204.6</v>
      </c>
      <c r="O711" s="12" t="n">
        <v>204.6</v>
      </c>
      <c r="P711" s="12"/>
      <c r="Q711" s="12"/>
      <c r="R711" s="14" t="n">
        <v>0.014</v>
      </c>
      <c r="S711" s="6" t="n">
        <v>20</v>
      </c>
      <c r="T711" s="6"/>
      <c r="U711" s="15" t="n">
        <f aca="false">20*R711</f>
        <v>0.28</v>
      </c>
      <c r="V711" s="15" t="n">
        <f aca="false">60*R711+0.5*(1-(O711/N711)^2)</f>
        <v>0.84</v>
      </c>
      <c r="W711" s="14"/>
      <c r="X711" s="10" t="s">
        <v>1116</v>
      </c>
      <c r="Y711" s="16"/>
      <c r="Z711" s="17" t="s">
        <v>48</v>
      </c>
      <c r="AA711" s="6"/>
      <c r="AB711" s="18" t="n">
        <f aca="false">IF(O711="","",$D$3*PI()*(O711/1000)^2/4*3600)</f>
        <v>177.539462181108</v>
      </c>
      <c r="AC711" s="19" t="n">
        <f aca="false">IF(OR(U711="",NOT(ISNUMBER(U711))),"",U711*$D$3^2/(2*$H$3))</f>
        <v>0.0321100917431193</v>
      </c>
      <c r="AD711" s="20" t="n">
        <f aca="false">IF(OR(U711="",NOT(ISNUMBER(U711))),"",U711*$D$3^2/2*$F$3)</f>
        <v>315</v>
      </c>
      <c r="AE711" s="19" t="n">
        <f aca="false">IF(OR(V711="",NOT(ISNUMBER(V711))),"",V711*$D$3^2/(2*$H$3))</f>
        <v>0.0963302752293578</v>
      </c>
      <c r="AF711" s="20" t="n">
        <f aca="false">IF(OR(V711="",NOT(ISNUMBER(V711))),"",V711*$D$3^2/2*$F$3)</f>
        <v>945</v>
      </c>
      <c r="AG711" s="19" t="str">
        <f aca="false">IF(OR(W711="",NOT(ISNUMBER(W711))),"",W711*$D$3^2/(2*$H$3))</f>
        <v/>
      </c>
      <c r="AH711" s="20" t="str">
        <f aca="false">IF(OR(W711="",NOT(ISNUMBER(W711))),"",W711*$D$3^2/2*$F$3)</f>
        <v/>
      </c>
    </row>
    <row r="712" customFormat="false" ht="15" hidden="false" customHeight="false" outlineLevel="0" collapsed="false">
      <c r="A712" s="10" t="s">
        <v>1539</v>
      </c>
      <c r="B712" s="23" t="s">
        <v>1273</v>
      </c>
      <c r="C712" s="6" t="s">
        <v>925</v>
      </c>
      <c r="D712" s="6" t="s">
        <v>1540</v>
      </c>
      <c r="E712" s="6" t="s">
        <v>1518</v>
      </c>
      <c r="F712" s="6" t="s">
        <v>247</v>
      </c>
      <c r="G712" s="6" t="n">
        <v>280</v>
      </c>
      <c r="H712" s="6" t="n">
        <v>280</v>
      </c>
      <c r="I712" s="6"/>
      <c r="J712" s="6" t="n">
        <v>10</v>
      </c>
      <c r="K712" s="6" t="s">
        <v>1276</v>
      </c>
      <c r="L712" s="6"/>
      <c r="M712" s="6"/>
      <c r="N712" s="12" t="n">
        <v>229.2</v>
      </c>
      <c r="O712" s="12" t="n">
        <v>229.2</v>
      </c>
      <c r="P712" s="12"/>
      <c r="Q712" s="12"/>
      <c r="R712" s="14" t="n">
        <v>0.014</v>
      </c>
      <c r="S712" s="6" t="n">
        <v>20</v>
      </c>
      <c r="T712" s="6"/>
      <c r="U712" s="15" t="n">
        <f aca="false">20*R712</f>
        <v>0.28</v>
      </c>
      <c r="V712" s="15" t="n">
        <f aca="false">60*R712+0.5*(1-(O712/N712)^2)</f>
        <v>0.84</v>
      </c>
      <c r="W712" s="14"/>
      <c r="X712" s="10" t="s">
        <v>1116</v>
      </c>
      <c r="Y712" s="16"/>
      <c r="Z712" s="17" t="s">
        <v>48</v>
      </c>
      <c r="AA712" s="6"/>
      <c r="AB712" s="18" t="n">
        <f aca="false">IF(O712="","",$D$3*PI()*(O712/1000)^2/4*3600)</f>
        <v>222.798810461864</v>
      </c>
      <c r="AC712" s="19" t="n">
        <f aca="false">IF(OR(U712="",NOT(ISNUMBER(U712))),"",U712*$D$3^2/(2*$H$3))</f>
        <v>0.0321100917431193</v>
      </c>
      <c r="AD712" s="20" t="n">
        <f aca="false">IF(OR(U712="",NOT(ISNUMBER(U712))),"",U712*$D$3^2/2*$F$3)</f>
        <v>315</v>
      </c>
      <c r="AE712" s="19" t="n">
        <f aca="false">IF(OR(V712="",NOT(ISNUMBER(V712))),"",V712*$D$3^2/(2*$H$3))</f>
        <v>0.0963302752293578</v>
      </c>
      <c r="AF712" s="20" t="n">
        <f aca="false">IF(OR(V712="",NOT(ISNUMBER(V712))),"",V712*$D$3^2/2*$F$3)</f>
        <v>945</v>
      </c>
      <c r="AG712" s="19" t="str">
        <f aca="false">IF(OR(W712="",NOT(ISNUMBER(W712))),"",W712*$D$3^2/(2*$H$3))</f>
        <v/>
      </c>
      <c r="AH712" s="20" t="str">
        <f aca="false">IF(OR(W712="",NOT(ISNUMBER(W712))),"",W712*$D$3^2/2*$F$3)</f>
        <v/>
      </c>
    </row>
    <row r="713" customFormat="false" ht="15" hidden="false" customHeight="false" outlineLevel="0" collapsed="false">
      <c r="A713" s="10" t="s">
        <v>1541</v>
      </c>
      <c r="B713" s="23" t="s">
        <v>1273</v>
      </c>
      <c r="C713" s="6" t="s">
        <v>925</v>
      </c>
      <c r="D713" s="6" t="s">
        <v>1542</v>
      </c>
      <c r="E713" s="6" t="s">
        <v>1518</v>
      </c>
      <c r="F713" s="6" t="s">
        <v>247</v>
      </c>
      <c r="G713" s="6" t="n">
        <v>315</v>
      </c>
      <c r="H713" s="6" t="n">
        <v>315</v>
      </c>
      <c r="I713" s="6"/>
      <c r="J713" s="6" t="n">
        <v>10</v>
      </c>
      <c r="K713" s="6" t="s">
        <v>1276</v>
      </c>
      <c r="L713" s="6"/>
      <c r="M713" s="6"/>
      <c r="N713" s="12" t="n">
        <v>257.8</v>
      </c>
      <c r="O713" s="12" t="n">
        <v>257.8</v>
      </c>
      <c r="P713" s="12"/>
      <c r="Q713" s="12"/>
      <c r="R713" s="14" t="n">
        <v>0.013</v>
      </c>
      <c r="S713" s="6" t="n">
        <v>20</v>
      </c>
      <c r="T713" s="6"/>
      <c r="U713" s="15" t="n">
        <f aca="false">20*R713</f>
        <v>0.26</v>
      </c>
      <c r="V713" s="15" t="n">
        <f aca="false">60*R713+0.5*(1-(O713/N713)^2)</f>
        <v>0.78</v>
      </c>
      <c r="W713" s="14"/>
      <c r="X713" s="10" t="s">
        <v>1116</v>
      </c>
      <c r="Y713" s="16"/>
      <c r="Z713" s="17" t="s">
        <v>48</v>
      </c>
      <c r="AA713" s="6"/>
      <c r="AB713" s="18" t="n">
        <f aca="false">IF(O713="","",$D$3*PI()*(O713/1000)^2/4*3600)</f>
        <v>281.870397038799</v>
      </c>
      <c r="AC713" s="19" t="n">
        <f aca="false">IF(OR(U713="",NOT(ISNUMBER(U713))),"",U713*$D$3^2/(2*$H$3))</f>
        <v>0.0298165137614679</v>
      </c>
      <c r="AD713" s="20" t="n">
        <f aca="false">IF(OR(U713="",NOT(ISNUMBER(U713))),"",U713*$D$3^2/2*$F$3)</f>
        <v>292.5</v>
      </c>
      <c r="AE713" s="19" t="n">
        <f aca="false">IF(OR(V713="",NOT(ISNUMBER(V713))),"",V713*$D$3^2/(2*$H$3))</f>
        <v>0.0894495412844037</v>
      </c>
      <c r="AF713" s="20" t="n">
        <f aca="false">IF(OR(V713="",NOT(ISNUMBER(V713))),"",V713*$D$3^2/2*$F$3)</f>
        <v>877.5</v>
      </c>
      <c r="AG713" s="19" t="str">
        <f aca="false">IF(OR(W713="",NOT(ISNUMBER(W713))),"",W713*$D$3^2/(2*$H$3))</f>
        <v/>
      </c>
      <c r="AH713" s="20" t="str">
        <f aca="false">IF(OR(W713="",NOT(ISNUMBER(W713))),"",W713*$D$3^2/2*$F$3)</f>
        <v/>
      </c>
    </row>
    <row r="714" customFormat="false" ht="15" hidden="false" customHeight="false" outlineLevel="0" collapsed="false">
      <c r="A714" s="10" t="s">
        <v>1543</v>
      </c>
      <c r="B714" s="23" t="s">
        <v>1273</v>
      </c>
      <c r="C714" s="6" t="s">
        <v>925</v>
      </c>
      <c r="D714" s="6" t="s">
        <v>1544</v>
      </c>
      <c r="E714" s="6" t="s">
        <v>1545</v>
      </c>
      <c r="F714" s="6" t="s">
        <v>247</v>
      </c>
      <c r="G714" s="6" t="n">
        <v>63</v>
      </c>
      <c r="H714" s="6" t="n">
        <v>63</v>
      </c>
      <c r="I714" s="6"/>
      <c r="J714" s="6" t="n">
        <v>16</v>
      </c>
      <c r="K714" s="6" t="s">
        <v>1276</v>
      </c>
      <c r="L714" s="6"/>
      <c r="M714" s="6"/>
      <c r="N714" s="12" t="n">
        <v>51.4</v>
      </c>
      <c r="O714" s="12" t="n">
        <v>51.4</v>
      </c>
      <c r="P714" s="12"/>
      <c r="Q714" s="12"/>
      <c r="R714" s="14" t="n">
        <v>0.019</v>
      </c>
      <c r="S714" s="6" t="n">
        <v>20</v>
      </c>
      <c r="T714" s="6"/>
      <c r="U714" s="15" t="n">
        <f aca="false">20*R714</f>
        <v>0.38</v>
      </c>
      <c r="V714" s="15" t="n">
        <f aca="false">60*R714+0.5*(1-(O714/N714)^2)</f>
        <v>1.14</v>
      </c>
      <c r="W714" s="14"/>
      <c r="X714" s="10" t="s">
        <v>1116</v>
      </c>
      <c r="Y714" s="16"/>
      <c r="Z714" s="17" t="s">
        <v>48</v>
      </c>
      <c r="AA714" s="6"/>
      <c r="AB714" s="18" t="n">
        <f aca="false">IF(O714="","",$D$3*PI()*(O714/1000)^2/4*3600)</f>
        <v>11.2049488715554</v>
      </c>
      <c r="AC714" s="19" t="n">
        <f aca="false">IF(OR(U714="",NOT(ISNUMBER(U714))),"",U714*$D$3^2/(2*$H$3))</f>
        <v>0.0435779816513761</v>
      </c>
      <c r="AD714" s="20" t="n">
        <f aca="false">IF(OR(U714="",NOT(ISNUMBER(U714))),"",U714*$D$3^2/2*$F$3)</f>
        <v>427.5</v>
      </c>
      <c r="AE714" s="19" t="n">
        <f aca="false">IF(OR(V714="",NOT(ISNUMBER(V714))),"",V714*$D$3^2/(2*$H$3))</f>
        <v>0.130733944954128</v>
      </c>
      <c r="AF714" s="20" t="n">
        <f aca="false">IF(OR(V714="",NOT(ISNUMBER(V714))),"",V714*$D$3^2/2*$F$3)</f>
        <v>1282.5</v>
      </c>
      <c r="AG714" s="19" t="str">
        <f aca="false">IF(OR(W714="",NOT(ISNUMBER(W714))),"",W714*$D$3^2/(2*$H$3))</f>
        <v/>
      </c>
      <c r="AH714" s="20" t="str">
        <f aca="false">IF(OR(W714="",NOT(ISNUMBER(W714))),"",W714*$D$3^2/2*$F$3)</f>
        <v/>
      </c>
    </row>
    <row r="715" customFormat="false" ht="15" hidden="false" customHeight="false" outlineLevel="0" collapsed="false">
      <c r="A715" s="10" t="s">
        <v>1546</v>
      </c>
      <c r="B715" s="23" t="s">
        <v>1273</v>
      </c>
      <c r="C715" s="6" t="s">
        <v>925</v>
      </c>
      <c r="D715" s="6" t="s">
        <v>1547</v>
      </c>
      <c r="E715" s="6" t="s">
        <v>1545</v>
      </c>
      <c r="F715" s="6" t="s">
        <v>247</v>
      </c>
      <c r="G715" s="6" t="n">
        <v>75</v>
      </c>
      <c r="H715" s="6" t="n">
        <v>75</v>
      </c>
      <c r="I715" s="6"/>
      <c r="J715" s="6" t="n">
        <v>16</v>
      </c>
      <c r="K715" s="6" t="s">
        <v>1276</v>
      </c>
      <c r="L715" s="6"/>
      <c r="M715" s="6"/>
      <c r="N715" s="12" t="n">
        <v>61.4</v>
      </c>
      <c r="O715" s="12" t="n">
        <v>61.4</v>
      </c>
      <c r="P715" s="12"/>
      <c r="Q715" s="12"/>
      <c r="R715" s="14" t="n">
        <v>0.018</v>
      </c>
      <c r="S715" s="6" t="n">
        <v>20</v>
      </c>
      <c r="T715" s="6"/>
      <c r="U715" s="15" t="n">
        <f aca="false">20*R715</f>
        <v>0.36</v>
      </c>
      <c r="V715" s="15" t="n">
        <f aca="false">60*R715+0.5*(1-(O715/N715)^2)</f>
        <v>1.08</v>
      </c>
      <c r="W715" s="14"/>
      <c r="X715" s="10" t="s">
        <v>1116</v>
      </c>
      <c r="Y715" s="16"/>
      <c r="Z715" s="17" t="s">
        <v>48</v>
      </c>
      <c r="AA715" s="6"/>
      <c r="AB715" s="18" t="n">
        <f aca="false">IF(O715="","",$D$3*PI()*(O715/1000)^2/4*3600)</f>
        <v>15.988966164442</v>
      </c>
      <c r="AC715" s="19" t="n">
        <f aca="false">IF(OR(U715="",NOT(ISNUMBER(U715))),"",U715*$D$3^2/(2*$H$3))</f>
        <v>0.0412844036697248</v>
      </c>
      <c r="AD715" s="20" t="n">
        <f aca="false">IF(OR(U715="",NOT(ISNUMBER(U715))),"",U715*$D$3^2/2*$F$3)</f>
        <v>405</v>
      </c>
      <c r="AE715" s="19" t="n">
        <f aca="false">IF(OR(V715="",NOT(ISNUMBER(V715))),"",V715*$D$3^2/(2*$H$3))</f>
        <v>0.123853211009174</v>
      </c>
      <c r="AF715" s="20" t="n">
        <f aca="false">IF(OR(V715="",NOT(ISNUMBER(V715))),"",V715*$D$3^2/2*$F$3)</f>
        <v>1215</v>
      </c>
      <c r="AG715" s="19" t="str">
        <f aca="false">IF(OR(W715="",NOT(ISNUMBER(W715))),"",W715*$D$3^2/(2*$H$3))</f>
        <v/>
      </c>
      <c r="AH715" s="20" t="str">
        <f aca="false">IF(OR(W715="",NOT(ISNUMBER(W715))),"",W715*$D$3^2/2*$F$3)</f>
        <v/>
      </c>
    </row>
    <row r="716" customFormat="false" ht="15" hidden="false" customHeight="false" outlineLevel="0" collapsed="false">
      <c r="A716" s="10" t="s">
        <v>1548</v>
      </c>
      <c r="B716" s="23" t="s">
        <v>1273</v>
      </c>
      <c r="C716" s="6" t="s">
        <v>925</v>
      </c>
      <c r="D716" s="6" t="s">
        <v>1549</v>
      </c>
      <c r="E716" s="6" t="s">
        <v>1545</v>
      </c>
      <c r="F716" s="6" t="s">
        <v>247</v>
      </c>
      <c r="G716" s="6" t="n">
        <v>90</v>
      </c>
      <c r="H716" s="6" t="n">
        <v>90</v>
      </c>
      <c r="I716" s="6"/>
      <c r="J716" s="6" t="n">
        <v>16</v>
      </c>
      <c r="K716" s="6" t="s">
        <v>1276</v>
      </c>
      <c r="L716" s="6"/>
      <c r="M716" s="6"/>
      <c r="N716" s="12" t="n">
        <v>73.6</v>
      </c>
      <c r="O716" s="12" t="n">
        <v>73.6</v>
      </c>
      <c r="P716" s="12"/>
      <c r="Q716" s="12"/>
      <c r="R716" s="14" t="n">
        <v>0.018</v>
      </c>
      <c r="S716" s="6" t="n">
        <v>20</v>
      </c>
      <c r="T716" s="6"/>
      <c r="U716" s="15" t="n">
        <f aca="false">20*R716</f>
        <v>0.36</v>
      </c>
      <c r="V716" s="15" t="n">
        <f aca="false">60*R716+0.5*(1-(O716/N716)^2)</f>
        <v>1.08</v>
      </c>
      <c r="W716" s="14"/>
      <c r="X716" s="10" t="s">
        <v>1116</v>
      </c>
      <c r="Y716" s="16"/>
      <c r="Z716" s="17" t="s">
        <v>48</v>
      </c>
      <c r="AA716" s="6"/>
      <c r="AB716" s="18" t="n">
        <f aca="false">IF(O716="","",$D$3*PI()*(O716/1000)^2/4*3600)</f>
        <v>22.9741403500662</v>
      </c>
      <c r="AC716" s="19" t="n">
        <f aca="false">IF(OR(U716="",NOT(ISNUMBER(U716))),"",U716*$D$3^2/(2*$H$3))</f>
        <v>0.0412844036697248</v>
      </c>
      <c r="AD716" s="20" t="n">
        <f aca="false">IF(OR(U716="",NOT(ISNUMBER(U716))),"",U716*$D$3^2/2*$F$3)</f>
        <v>405</v>
      </c>
      <c r="AE716" s="19" t="n">
        <f aca="false">IF(OR(V716="",NOT(ISNUMBER(V716))),"",V716*$D$3^2/(2*$H$3))</f>
        <v>0.123853211009174</v>
      </c>
      <c r="AF716" s="20" t="n">
        <f aca="false">IF(OR(V716="",NOT(ISNUMBER(V716))),"",V716*$D$3^2/2*$F$3)</f>
        <v>1215</v>
      </c>
      <c r="AG716" s="19" t="str">
        <f aca="false">IF(OR(W716="",NOT(ISNUMBER(W716))),"",W716*$D$3^2/(2*$H$3))</f>
        <v/>
      </c>
      <c r="AH716" s="20" t="str">
        <f aca="false">IF(OR(W716="",NOT(ISNUMBER(W716))),"",W716*$D$3^2/2*$F$3)</f>
        <v/>
      </c>
    </row>
    <row r="717" customFormat="false" ht="15" hidden="false" customHeight="false" outlineLevel="0" collapsed="false">
      <c r="A717" s="10" t="s">
        <v>1550</v>
      </c>
      <c r="B717" s="23" t="s">
        <v>1273</v>
      </c>
      <c r="C717" s="6" t="s">
        <v>925</v>
      </c>
      <c r="D717" s="6" t="s">
        <v>1551</v>
      </c>
      <c r="E717" s="6" t="s">
        <v>1545</v>
      </c>
      <c r="F717" s="6" t="s">
        <v>247</v>
      </c>
      <c r="G717" s="6" t="n">
        <v>110</v>
      </c>
      <c r="H717" s="6" t="n">
        <v>110</v>
      </c>
      <c r="I717" s="6"/>
      <c r="J717" s="6" t="n">
        <v>16</v>
      </c>
      <c r="K717" s="6" t="s">
        <v>1276</v>
      </c>
      <c r="L717" s="6"/>
      <c r="M717" s="6"/>
      <c r="N717" s="12" t="n">
        <v>90</v>
      </c>
      <c r="O717" s="12" t="n">
        <v>90</v>
      </c>
      <c r="P717" s="12"/>
      <c r="Q717" s="12"/>
      <c r="R717" s="14" t="n">
        <v>0.017</v>
      </c>
      <c r="S717" s="6" t="n">
        <v>20</v>
      </c>
      <c r="T717" s="6"/>
      <c r="U717" s="15" t="n">
        <f aca="false">20*R717</f>
        <v>0.34</v>
      </c>
      <c r="V717" s="15" t="n">
        <f aca="false">60*R717+0.5*(1-(O717/N717)^2)</f>
        <v>1.02</v>
      </c>
      <c r="W717" s="14"/>
      <c r="X717" s="10" t="s">
        <v>1116</v>
      </c>
      <c r="Y717" s="16"/>
      <c r="Z717" s="17" t="s">
        <v>48</v>
      </c>
      <c r="AA717" s="6"/>
      <c r="AB717" s="18" t="n">
        <f aca="false">IF(O717="","",$D$3*PI()*(O717/1000)^2/4*3600)</f>
        <v>34.3533156670044</v>
      </c>
      <c r="AC717" s="19" t="n">
        <f aca="false">IF(OR(U717="",NOT(ISNUMBER(U717))),"",U717*$D$3^2/(2*$H$3))</f>
        <v>0.0389908256880734</v>
      </c>
      <c r="AD717" s="20" t="n">
        <f aca="false">IF(OR(U717="",NOT(ISNUMBER(U717))),"",U717*$D$3^2/2*$F$3)</f>
        <v>382.5</v>
      </c>
      <c r="AE717" s="19" t="n">
        <f aca="false">IF(OR(V717="",NOT(ISNUMBER(V717))),"",V717*$D$3^2/(2*$H$3))</f>
        <v>0.11697247706422</v>
      </c>
      <c r="AF717" s="20" t="n">
        <f aca="false">IF(OR(V717="",NOT(ISNUMBER(V717))),"",V717*$D$3^2/2*$F$3)</f>
        <v>1147.5</v>
      </c>
      <c r="AG717" s="19" t="str">
        <f aca="false">IF(OR(W717="",NOT(ISNUMBER(W717))),"",W717*$D$3^2/(2*$H$3))</f>
        <v/>
      </c>
      <c r="AH717" s="20" t="str">
        <f aca="false">IF(OR(W717="",NOT(ISNUMBER(W717))),"",W717*$D$3^2/2*$F$3)</f>
        <v/>
      </c>
    </row>
    <row r="718" customFormat="false" ht="15" hidden="false" customHeight="false" outlineLevel="0" collapsed="false">
      <c r="A718" s="10" t="s">
        <v>1552</v>
      </c>
      <c r="B718" s="23" t="s">
        <v>1273</v>
      </c>
      <c r="C718" s="6" t="s">
        <v>925</v>
      </c>
      <c r="D718" s="6" t="s">
        <v>1553</v>
      </c>
      <c r="E718" s="6" t="s">
        <v>1545</v>
      </c>
      <c r="F718" s="6" t="s">
        <v>247</v>
      </c>
      <c r="G718" s="6" t="n">
        <v>125</v>
      </c>
      <c r="H718" s="6" t="n">
        <v>125</v>
      </c>
      <c r="I718" s="6"/>
      <c r="J718" s="6" t="n">
        <v>16</v>
      </c>
      <c r="K718" s="6" t="s">
        <v>1276</v>
      </c>
      <c r="L718" s="6"/>
      <c r="M718" s="6"/>
      <c r="N718" s="12" t="n">
        <v>102.2</v>
      </c>
      <c r="O718" s="12" t="n">
        <v>102.2</v>
      </c>
      <c r="P718" s="12"/>
      <c r="Q718" s="12"/>
      <c r="R718" s="14" t="n">
        <v>0.016</v>
      </c>
      <c r="S718" s="6" t="n">
        <v>20</v>
      </c>
      <c r="T718" s="6"/>
      <c r="U718" s="15" t="n">
        <f aca="false">20*R718</f>
        <v>0.32</v>
      </c>
      <c r="V718" s="15" t="n">
        <f aca="false">60*R718+0.5*(1-(O718/N718)^2)</f>
        <v>0.96</v>
      </c>
      <c r="W718" s="14"/>
      <c r="X718" s="10" t="s">
        <v>1116</v>
      </c>
      <c r="Y718" s="16"/>
      <c r="Z718" s="17" t="s">
        <v>48</v>
      </c>
      <c r="AA718" s="6"/>
      <c r="AB718" s="18" t="n">
        <f aca="false">IF(O718="","",$D$3*PI()*(O718/1000)^2/4*3600)</f>
        <v>44.2981340260931</v>
      </c>
      <c r="AC718" s="19" t="n">
        <f aca="false">IF(OR(U718="",NOT(ISNUMBER(U718))),"",U718*$D$3^2/(2*$H$3))</f>
        <v>0.036697247706422</v>
      </c>
      <c r="AD718" s="20" t="n">
        <f aca="false">IF(OR(U718="",NOT(ISNUMBER(U718))),"",U718*$D$3^2/2*$F$3)</f>
        <v>360</v>
      </c>
      <c r="AE718" s="19" t="n">
        <f aca="false">IF(OR(V718="",NOT(ISNUMBER(V718))),"",V718*$D$3^2/(2*$H$3))</f>
        <v>0.110091743119266</v>
      </c>
      <c r="AF718" s="20" t="n">
        <f aca="false">IF(OR(V718="",NOT(ISNUMBER(V718))),"",V718*$D$3^2/2*$F$3)</f>
        <v>1080</v>
      </c>
      <c r="AG718" s="19" t="str">
        <f aca="false">IF(OR(W718="",NOT(ISNUMBER(W718))),"",W718*$D$3^2/(2*$H$3))</f>
        <v/>
      </c>
      <c r="AH718" s="20" t="str">
        <f aca="false">IF(OR(W718="",NOT(ISNUMBER(W718))),"",W718*$D$3^2/2*$F$3)</f>
        <v/>
      </c>
    </row>
    <row r="719" customFormat="false" ht="15" hidden="false" customHeight="false" outlineLevel="0" collapsed="false">
      <c r="A719" s="10" t="s">
        <v>1554</v>
      </c>
      <c r="B719" s="23" t="s">
        <v>1273</v>
      </c>
      <c r="C719" s="6" t="s">
        <v>925</v>
      </c>
      <c r="D719" s="6" t="s">
        <v>1555</v>
      </c>
      <c r="E719" s="6" t="s">
        <v>1545</v>
      </c>
      <c r="F719" s="6" t="s">
        <v>247</v>
      </c>
      <c r="G719" s="6" t="n">
        <v>140</v>
      </c>
      <c r="H719" s="6" t="n">
        <v>140</v>
      </c>
      <c r="I719" s="6"/>
      <c r="J719" s="6" t="n">
        <v>16</v>
      </c>
      <c r="K719" s="6" t="s">
        <v>1276</v>
      </c>
      <c r="L719" s="6"/>
      <c r="M719" s="6"/>
      <c r="N719" s="12" t="n">
        <v>114.6</v>
      </c>
      <c r="O719" s="12" t="n">
        <v>114.6</v>
      </c>
      <c r="P719" s="12"/>
      <c r="Q719" s="12"/>
      <c r="R719" s="14" t="n">
        <v>0.016</v>
      </c>
      <c r="S719" s="6" t="n">
        <v>20</v>
      </c>
      <c r="T719" s="6"/>
      <c r="U719" s="15" t="n">
        <f aca="false">20*R719</f>
        <v>0.32</v>
      </c>
      <c r="V719" s="15" t="n">
        <f aca="false">60*R719+0.5*(1-(O719/N719)^2)</f>
        <v>0.96</v>
      </c>
      <c r="W719" s="14"/>
      <c r="X719" s="10" t="s">
        <v>1116</v>
      </c>
      <c r="Y719" s="16"/>
      <c r="Z719" s="17" t="s">
        <v>48</v>
      </c>
      <c r="AA719" s="6"/>
      <c r="AB719" s="18" t="n">
        <f aca="false">IF(O719="","",$D$3*PI()*(O719/1000)^2/4*3600)</f>
        <v>55.6997026154661</v>
      </c>
      <c r="AC719" s="19" t="n">
        <f aca="false">IF(OR(U719="",NOT(ISNUMBER(U719))),"",U719*$D$3^2/(2*$H$3))</f>
        <v>0.036697247706422</v>
      </c>
      <c r="AD719" s="20" t="n">
        <f aca="false">IF(OR(U719="",NOT(ISNUMBER(U719))),"",U719*$D$3^2/2*$F$3)</f>
        <v>360</v>
      </c>
      <c r="AE719" s="19" t="n">
        <f aca="false">IF(OR(V719="",NOT(ISNUMBER(V719))),"",V719*$D$3^2/(2*$H$3))</f>
        <v>0.110091743119266</v>
      </c>
      <c r="AF719" s="20" t="n">
        <f aca="false">IF(OR(V719="",NOT(ISNUMBER(V719))),"",V719*$D$3^2/2*$F$3)</f>
        <v>1080</v>
      </c>
      <c r="AG719" s="19" t="str">
        <f aca="false">IF(OR(W719="",NOT(ISNUMBER(W719))),"",W719*$D$3^2/(2*$H$3))</f>
        <v/>
      </c>
      <c r="AH719" s="20" t="str">
        <f aca="false">IF(OR(W719="",NOT(ISNUMBER(W719))),"",W719*$D$3^2/2*$F$3)</f>
        <v/>
      </c>
    </row>
    <row r="720" customFormat="false" ht="15" hidden="false" customHeight="false" outlineLevel="0" collapsed="false">
      <c r="A720" s="10" t="s">
        <v>1556</v>
      </c>
      <c r="B720" s="23" t="s">
        <v>1273</v>
      </c>
      <c r="C720" s="6" t="s">
        <v>925</v>
      </c>
      <c r="D720" s="6" t="s">
        <v>1557</v>
      </c>
      <c r="E720" s="6" t="s">
        <v>1545</v>
      </c>
      <c r="F720" s="6" t="s">
        <v>247</v>
      </c>
      <c r="G720" s="6" t="n">
        <v>160</v>
      </c>
      <c r="H720" s="6" t="n">
        <v>160</v>
      </c>
      <c r="I720" s="6"/>
      <c r="J720" s="6" t="n">
        <v>16</v>
      </c>
      <c r="K720" s="6" t="s">
        <v>1276</v>
      </c>
      <c r="L720" s="6"/>
      <c r="M720" s="6"/>
      <c r="N720" s="12" t="n">
        <v>130.8</v>
      </c>
      <c r="O720" s="12" t="n">
        <v>130.8</v>
      </c>
      <c r="P720" s="12"/>
      <c r="Q720" s="12"/>
      <c r="R720" s="14" t="n">
        <v>0.015</v>
      </c>
      <c r="S720" s="6" t="n">
        <v>20</v>
      </c>
      <c r="T720" s="6"/>
      <c r="U720" s="15" t="n">
        <f aca="false">20*R720</f>
        <v>0.3</v>
      </c>
      <c r="V720" s="15" t="n">
        <f aca="false">60*R720+0.5*(1-(O720/N720)^2)</f>
        <v>0.9</v>
      </c>
      <c r="W720" s="14"/>
      <c r="X720" s="10" t="s">
        <v>1116</v>
      </c>
      <c r="Y720" s="16"/>
      <c r="Z720" s="17" t="s">
        <v>48</v>
      </c>
      <c r="AA720" s="6"/>
      <c r="AB720" s="18" t="n">
        <f aca="false">IF(O720="","",$D$3*PI()*(O720/1000)^2/4*3600)</f>
        <v>72.5603099448318</v>
      </c>
      <c r="AC720" s="19" t="n">
        <f aca="false">IF(OR(U720="",NOT(ISNUMBER(U720))),"",U720*$D$3^2/(2*$H$3))</f>
        <v>0.0344036697247706</v>
      </c>
      <c r="AD720" s="20" t="n">
        <f aca="false">IF(OR(U720="",NOT(ISNUMBER(U720))),"",U720*$D$3^2/2*$F$3)</f>
        <v>337.5</v>
      </c>
      <c r="AE720" s="19" t="n">
        <f aca="false">IF(OR(V720="",NOT(ISNUMBER(V720))),"",V720*$D$3^2/(2*$H$3))</f>
        <v>0.103211009174312</v>
      </c>
      <c r="AF720" s="20" t="n">
        <f aca="false">IF(OR(V720="",NOT(ISNUMBER(V720))),"",V720*$D$3^2/2*$F$3)</f>
        <v>1012.5</v>
      </c>
      <c r="AG720" s="19" t="str">
        <f aca="false">IF(OR(W720="",NOT(ISNUMBER(W720))),"",W720*$D$3^2/(2*$H$3))</f>
        <v/>
      </c>
      <c r="AH720" s="20" t="str">
        <f aca="false">IF(OR(W720="",NOT(ISNUMBER(W720))),"",W720*$D$3^2/2*$F$3)</f>
        <v/>
      </c>
    </row>
    <row r="721" customFormat="false" ht="15" hidden="false" customHeight="false" outlineLevel="0" collapsed="false">
      <c r="A721" s="10" t="s">
        <v>1558</v>
      </c>
      <c r="B721" s="23" t="s">
        <v>1273</v>
      </c>
      <c r="C721" s="6" t="s">
        <v>925</v>
      </c>
      <c r="D721" s="6" t="s">
        <v>1559</v>
      </c>
      <c r="E721" s="6" t="s">
        <v>1545</v>
      </c>
      <c r="F721" s="6" t="s">
        <v>247</v>
      </c>
      <c r="G721" s="6" t="n">
        <v>180</v>
      </c>
      <c r="H721" s="6" t="n">
        <v>180</v>
      </c>
      <c r="I721" s="6"/>
      <c r="J721" s="6" t="n">
        <v>16</v>
      </c>
      <c r="K721" s="6" t="s">
        <v>1276</v>
      </c>
      <c r="L721" s="6"/>
      <c r="M721" s="6"/>
      <c r="N721" s="12" t="n">
        <v>147.2</v>
      </c>
      <c r="O721" s="12" t="n">
        <v>147.2</v>
      </c>
      <c r="P721" s="12"/>
      <c r="Q721" s="12"/>
      <c r="R721" s="14" t="n">
        <v>0.015</v>
      </c>
      <c r="S721" s="6" t="n">
        <v>20</v>
      </c>
      <c r="T721" s="6"/>
      <c r="U721" s="15" t="n">
        <f aca="false">20*R721</f>
        <v>0.3</v>
      </c>
      <c r="V721" s="15" t="n">
        <f aca="false">60*R721+0.5*(1-(O721/N721)^2)</f>
        <v>0.9</v>
      </c>
      <c r="W721" s="14"/>
      <c r="X721" s="10" t="s">
        <v>1116</v>
      </c>
      <c r="Y721" s="16"/>
      <c r="Z721" s="17" t="s">
        <v>48</v>
      </c>
      <c r="AA721" s="6"/>
      <c r="AB721" s="18" t="n">
        <f aca="false">IF(O721="","",$D$3*PI()*(O721/1000)^2/4*3600)</f>
        <v>91.8965614002647</v>
      </c>
      <c r="AC721" s="19" t="n">
        <f aca="false">IF(OR(U721="",NOT(ISNUMBER(U721))),"",U721*$D$3^2/(2*$H$3))</f>
        <v>0.0344036697247706</v>
      </c>
      <c r="AD721" s="20" t="n">
        <f aca="false">IF(OR(U721="",NOT(ISNUMBER(U721))),"",U721*$D$3^2/2*$F$3)</f>
        <v>337.5</v>
      </c>
      <c r="AE721" s="19" t="n">
        <f aca="false">IF(OR(V721="",NOT(ISNUMBER(V721))),"",V721*$D$3^2/(2*$H$3))</f>
        <v>0.103211009174312</v>
      </c>
      <c r="AF721" s="20" t="n">
        <f aca="false">IF(OR(V721="",NOT(ISNUMBER(V721))),"",V721*$D$3^2/2*$F$3)</f>
        <v>1012.5</v>
      </c>
      <c r="AG721" s="19" t="str">
        <f aca="false">IF(OR(W721="",NOT(ISNUMBER(W721))),"",W721*$D$3^2/(2*$H$3))</f>
        <v/>
      </c>
      <c r="AH721" s="20" t="str">
        <f aca="false">IF(OR(W721="",NOT(ISNUMBER(W721))),"",W721*$D$3^2/2*$F$3)</f>
        <v/>
      </c>
    </row>
    <row r="722" customFormat="false" ht="15" hidden="false" customHeight="false" outlineLevel="0" collapsed="false">
      <c r="A722" s="10" t="s">
        <v>1560</v>
      </c>
      <c r="B722" s="23" t="s">
        <v>1273</v>
      </c>
      <c r="C722" s="6" t="s">
        <v>925</v>
      </c>
      <c r="D722" s="6" t="s">
        <v>1561</v>
      </c>
      <c r="E722" s="6" t="s">
        <v>1545</v>
      </c>
      <c r="F722" s="6" t="s">
        <v>247</v>
      </c>
      <c r="G722" s="6" t="n">
        <v>200</v>
      </c>
      <c r="H722" s="6" t="n">
        <v>200</v>
      </c>
      <c r="I722" s="6"/>
      <c r="J722" s="6" t="n">
        <v>16</v>
      </c>
      <c r="K722" s="6" t="s">
        <v>1276</v>
      </c>
      <c r="L722" s="6"/>
      <c r="M722" s="6"/>
      <c r="N722" s="12" t="n">
        <v>163.6</v>
      </c>
      <c r="O722" s="12" t="n">
        <v>163.6</v>
      </c>
      <c r="P722" s="12"/>
      <c r="Q722" s="12"/>
      <c r="R722" s="14" t="n">
        <v>0.014</v>
      </c>
      <c r="S722" s="6" t="n">
        <v>20</v>
      </c>
      <c r="T722" s="6"/>
      <c r="U722" s="15" t="n">
        <f aca="false">20*R722</f>
        <v>0.28</v>
      </c>
      <c r="V722" s="15" t="n">
        <f aca="false">60*R722+0.5*(1-(O722/N722)^2)</f>
        <v>0.84</v>
      </c>
      <c r="W722" s="14"/>
      <c r="X722" s="10" t="s">
        <v>1116</v>
      </c>
      <c r="Y722" s="16"/>
      <c r="Z722" s="17" t="s">
        <v>48</v>
      </c>
      <c r="AA722" s="6"/>
      <c r="AB722" s="18" t="n">
        <f aca="false">IF(O722="","",$D$3*PI()*(O722/1000)^2/4*3600)</f>
        <v>113.514212307993</v>
      </c>
      <c r="AC722" s="19" t="n">
        <f aca="false">IF(OR(U722="",NOT(ISNUMBER(U722))),"",U722*$D$3^2/(2*$H$3))</f>
        <v>0.0321100917431193</v>
      </c>
      <c r="AD722" s="20" t="n">
        <f aca="false">IF(OR(U722="",NOT(ISNUMBER(U722))),"",U722*$D$3^2/2*$F$3)</f>
        <v>315</v>
      </c>
      <c r="AE722" s="19" t="n">
        <f aca="false">IF(OR(V722="",NOT(ISNUMBER(V722))),"",V722*$D$3^2/(2*$H$3))</f>
        <v>0.0963302752293578</v>
      </c>
      <c r="AF722" s="20" t="n">
        <f aca="false">IF(OR(V722="",NOT(ISNUMBER(V722))),"",V722*$D$3^2/2*$F$3)</f>
        <v>945</v>
      </c>
      <c r="AG722" s="19" t="str">
        <f aca="false">IF(OR(W722="",NOT(ISNUMBER(W722))),"",W722*$D$3^2/(2*$H$3))</f>
        <v/>
      </c>
      <c r="AH722" s="20" t="str">
        <f aca="false">IF(OR(W722="",NOT(ISNUMBER(W722))),"",W722*$D$3^2/2*$F$3)</f>
        <v/>
      </c>
    </row>
    <row r="723" customFormat="false" ht="15" hidden="false" customHeight="false" outlineLevel="0" collapsed="false">
      <c r="A723" s="10" t="s">
        <v>1562</v>
      </c>
      <c r="B723" s="23" t="s">
        <v>1273</v>
      </c>
      <c r="C723" s="6" t="s">
        <v>925</v>
      </c>
      <c r="D723" s="6" t="s">
        <v>1563</v>
      </c>
      <c r="E723" s="6" t="s">
        <v>1545</v>
      </c>
      <c r="F723" s="6" t="s">
        <v>247</v>
      </c>
      <c r="G723" s="6" t="n">
        <v>225</v>
      </c>
      <c r="H723" s="6" t="n">
        <v>225</v>
      </c>
      <c r="I723" s="6"/>
      <c r="J723" s="6" t="n">
        <v>16</v>
      </c>
      <c r="K723" s="6" t="s">
        <v>1276</v>
      </c>
      <c r="L723" s="6"/>
      <c r="M723" s="6"/>
      <c r="N723" s="12" t="n">
        <v>184</v>
      </c>
      <c r="O723" s="12" t="n">
        <v>184</v>
      </c>
      <c r="P723" s="12"/>
      <c r="Q723" s="12"/>
      <c r="R723" s="14" t="n">
        <v>0.014</v>
      </c>
      <c r="S723" s="6" t="n">
        <v>20</v>
      </c>
      <c r="T723" s="6"/>
      <c r="U723" s="15" t="n">
        <f aca="false">20*R723</f>
        <v>0.28</v>
      </c>
      <c r="V723" s="15" t="n">
        <f aca="false">60*R723+0.5*(1-(O723/N723)^2)</f>
        <v>0.84</v>
      </c>
      <c r="W723" s="14"/>
      <c r="X723" s="10" t="s">
        <v>1116</v>
      </c>
      <c r="Y723" s="16"/>
      <c r="Z723" s="17" t="s">
        <v>48</v>
      </c>
      <c r="AA723" s="6"/>
      <c r="AB723" s="18" t="n">
        <f aca="false">IF(O723="","",$D$3*PI()*(O723/1000)^2/4*3600)</f>
        <v>143.588377187914</v>
      </c>
      <c r="AC723" s="19" t="n">
        <f aca="false">IF(OR(U723="",NOT(ISNUMBER(U723))),"",U723*$D$3^2/(2*$H$3))</f>
        <v>0.0321100917431193</v>
      </c>
      <c r="AD723" s="20" t="n">
        <f aca="false">IF(OR(U723="",NOT(ISNUMBER(U723))),"",U723*$D$3^2/2*$F$3)</f>
        <v>315</v>
      </c>
      <c r="AE723" s="19" t="n">
        <f aca="false">IF(OR(V723="",NOT(ISNUMBER(V723))),"",V723*$D$3^2/(2*$H$3))</f>
        <v>0.0963302752293578</v>
      </c>
      <c r="AF723" s="20" t="n">
        <f aca="false">IF(OR(V723="",NOT(ISNUMBER(V723))),"",V723*$D$3^2/2*$F$3)</f>
        <v>945</v>
      </c>
      <c r="AG723" s="19" t="str">
        <f aca="false">IF(OR(W723="",NOT(ISNUMBER(W723))),"",W723*$D$3^2/(2*$H$3))</f>
        <v/>
      </c>
      <c r="AH723" s="20" t="str">
        <f aca="false">IF(OR(W723="",NOT(ISNUMBER(W723))),"",W723*$D$3^2/2*$F$3)</f>
        <v/>
      </c>
    </row>
    <row r="724" customFormat="false" ht="15" hidden="false" customHeight="false" outlineLevel="0" collapsed="false">
      <c r="A724" s="10" t="s">
        <v>1564</v>
      </c>
      <c r="B724" s="23" t="s">
        <v>1273</v>
      </c>
      <c r="C724" s="6" t="s">
        <v>925</v>
      </c>
      <c r="D724" s="6" t="s">
        <v>1565</v>
      </c>
      <c r="E724" s="6" t="s">
        <v>1545</v>
      </c>
      <c r="F724" s="6" t="s">
        <v>247</v>
      </c>
      <c r="G724" s="6" t="n">
        <v>250</v>
      </c>
      <c r="H724" s="6" t="n">
        <v>250</v>
      </c>
      <c r="I724" s="6"/>
      <c r="J724" s="6" t="n">
        <v>16</v>
      </c>
      <c r="K724" s="6" t="s">
        <v>1276</v>
      </c>
      <c r="L724" s="6"/>
      <c r="M724" s="6"/>
      <c r="N724" s="12" t="n">
        <v>204.6</v>
      </c>
      <c r="O724" s="12" t="n">
        <v>204.6</v>
      </c>
      <c r="P724" s="12"/>
      <c r="Q724" s="12"/>
      <c r="R724" s="14" t="n">
        <v>0.014</v>
      </c>
      <c r="S724" s="6" t="n">
        <v>20</v>
      </c>
      <c r="T724" s="6"/>
      <c r="U724" s="15" t="n">
        <f aca="false">20*R724</f>
        <v>0.28</v>
      </c>
      <c r="V724" s="15" t="n">
        <f aca="false">60*R724+0.5*(1-(O724/N724)^2)</f>
        <v>0.84</v>
      </c>
      <c r="W724" s="14"/>
      <c r="X724" s="10" t="s">
        <v>1116</v>
      </c>
      <c r="Y724" s="16"/>
      <c r="Z724" s="17" t="s">
        <v>48</v>
      </c>
      <c r="AA724" s="6"/>
      <c r="AB724" s="18" t="n">
        <f aca="false">IF(O724="","",$D$3*PI()*(O724/1000)^2/4*3600)</f>
        <v>177.539462181108</v>
      </c>
      <c r="AC724" s="19" t="n">
        <f aca="false">IF(OR(U724="",NOT(ISNUMBER(U724))),"",U724*$D$3^2/(2*$H$3))</f>
        <v>0.0321100917431193</v>
      </c>
      <c r="AD724" s="20" t="n">
        <f aca="false">IF(OR(U724="",NOT(ISNUMBER(U724))),"",U724*$D$3^2/2*$F$3)</f>
        <v>315</v>
      </c>
      <c r="AE724" s="19" t="n">
        <f aca="false">IF(OR(V724="",NOT(ISNUMBER(V724))),"",V724*$D$3^2/(2*$H$3))</f>
        <v>0.0963302752293578</v>
      </c>
      <c r="AF724" s="20" t="n">
        <f aca="false">IF(OR(V724="",NOT(ISNUMBER(V724))),"",V724*$D$3^2/2*$F$3)</f>
        <v>945</v>
      </c>
      <c r="AG724" s="19" t="str">
        <f aca="false">IF(OR(W724="",NOT(ISNUMBER(W724))),"",W724*$D$3^2/(2*$H$3))</f>
        <v/>
      </c>
      <c r="AH724" s="20" t="str">
        <f aca="false">IF(OR(W724="",NOT(ISNUMBER(W724))),"",W724*$D$3^2/2*$F$3)</f>
        <v/>
      </c>
    </row>
    <row r="725" customFormat="false" ht="15" hidden="false" customHeight="false" outlineLevel="0" collapsed="false">
      <c r="A725" s="10" t="s">
        <v>1566</v>
      </c>
      <c r="B725" s="23" t="s">
        <v>1273</v>
      </c>
      <c r="C725" s="6" t="s">
        <v>925</v>
      </c>
      <c r="D725" s="6" t="s">
        <v>1567</v>
      </c>
      <c r="E725" s="6" t="s">
        <v>1545</v>
      </c>
      <c r="F725" s="6" t="s">
        <v>247</v>
      </c>
      <c r="G725" s="6" t="n">
        <v>280</v>
      </c>
      <c r="H725" s="6" t="n">
        <v>280</v>
      </c>
      <c r="I725" s="6"/>
      <c r="J725" s="6" t="n">
        <v>16</v>
      </c>
      <c r="K725" s="6" t="s">
        <v>1276</v>
      </c>
      <c r="L725" s="6"/>
      <c r="M725" s="6"/>
      <c r="N725" s="12" t="n">
        <v>229.2</v>
      </c>
      <c r="O725" s="12" t="n">
        <v>229.2</v>
      </c>
      <c r="P725" s="12"/>
      <c r="Q725" s="12"/>
      <c r="R725" s="14" t="n">
        <v>0.014</v>
      </c>
      <c r="S725" s="6" t="n">
        <v>20</v>
      </c>
      <c r="T725" s="6"/>
      <c r="U725" s="15" t="n">
        <f aca="false">20*R725</f>
        <v>0.28</v>
      </c>
      <c r="V725" s="15" t="n">
        <f aca="false">60*R725+0.5*(1-(O725/N725)^2)</f>
        <v>0.84</v>
      </c>
      <c r="W725" s="14"/>
      <c r="X725" s="10" t="s">
        <v>1116</v>
      </c>
      <c r="Y725" s="16"/>
      <c r="Z725" s="17" t="s">
        <v>48</v>
      </c>
      <c r="AA725" s="6"/>
      <c r="AB725" s="18" t="n">
        <f aca="false">IF(O725="","",$D$3*PI()*(O725/1000)^2/4*3600)</f>
        <v>222.798810461864</v>
      </c>
      <c r="AC725" s="19" t="n">
        <f aca="false">IF(OR(U725="",NOT(ISNUMBER(U725))),"",U725*$D$3^2/(2*$H$3))</f>
        <v>0.0321100917431193</v>
      </c>
      <c r="AD725" s="20" t="n">
        <f aca="false">IF(OR(U725="",NOT(ISNUMBER(U725))),"",U725*$D$3^2/2*$F$3)</f>
        <v>315</v>
      </c>
      <c r="AE725" s="19" t="n">
        <f aca="false">IF(OR(V725="",NOT(ISNUMBER(V725))),"",V725*$D$3^2/(2*$H$3))</f>
        <v>0.0963302752293578</v>
      </c>
      <c r="AF725" s="20" t="n">
        <f aca="false">IF(OR(V725="",NOT(ISNUMBER(V725))),"",V725*$D$3^2/2*$F$3)</f>
        <v>945</v>
      </c>
      <c r="AG725" s="19" t="str">
        <f aca="false">IF(OR(W725="",NOT(ISNUMBER(W725))),"",W725*$D$3^2/(2*$H$3))</f>
        <v/>
      </c>
      <c r="AH725" s="20" t="str">
        <f aca="false">IF(OR(W725="",NOT(ISNUMBER(W725))),"",W725*$D$3^2/2*$F$3)</f>
        <v/>
      </c>
    </row>
    <row r="726" customFormat="false" ht="15" hidden="false" customHeight="false" outlineLevel="0" collapsed="false">
      <c r="A726" s="10" t="s">
        <v>1568</v>
      </c>
      <c r="B726" s="23" t="s">
        <v>1273</v>
      </c>
      <c r="C726" s="6" t="s">
        <v>925</v>
      </c>
      <c r="D726" s="6" t="s">
        <v>1569</v>
      </c>
      <c r="E726" s="6" t="s">
        <v>1545</v>
      </c>
      <c r="F726" s="6" t="s">
        <v>247</v>
      </c>
      <c r="G726" s="6" t="n">
        <v>315</v>
      </c>
      <c r="H726" s="6" t="n">
        <v>315</v>
      </c>
      <c r="I726" s="6"/>
      <c r="J726" s="6" t="n">
        <v>16</v>
      </c>
      <c r="K726" s="6" t="s">
        <v>1276</v>
      </c>
      <c r="L726" s="6"/>
      <c r="M726" s="6"/>
      <c r="N726" s="12" t="n">
        <v>257.8</v>
      </c>
      <c r="O726" s="12" t="n">
        <v>257.8</v>
      </c>
      <c r="P726" s="12"/>
      <c r="Q726" s="12"/>
      <c r="R726" s="14" t="n">
        <v>0.013</v>
      </c>
      <c r="S726" s="6" t="n">
        <v>20</v>
      </c>
      <c r="T726" s="6"/>
      <c r="U726" s="15" t="n">
        <f aca="false">20*R726</f>
        <v>0.26</v>
      </c>
      <c r="V726" s="15" t="n">
        <f aca="false">60*R726+0.5*(1-(O726/N726)^2)</f>
        <v>0.78</v>
      </c>
      <c r="W726" s="14"/>
      <c r="X726" s="10" t="s">
        <v>1116</v>
      </c>
      <c r="Y726" s="16"/>
      <c r="Z726" s="17" t="s">
        <v>48</v>
      </c>
      <c r="AA726" s="6"/>
      <c r="AB726" s="18" t="n">
        <f aca="false">IF(O726="","",$D$3*PI()*(O726/1000)^2/4*3600)</f>
        <v>281.870397038799</v>
      </c>
      <c r="AC726" s="19" t="n">
        <f aca="false">IF(OR(U726="",NOT(ISNUMBER(U726))),"",U726*$D$3^2/(2*$H$3))</f>
        <v>0.0298165137614679</v>
      </c>
      <c r="AD726" s="20" t="n">
        <f aca="false">IF(OR(U726="",NOT(ISNUMBER(U726))),"",U726*$D$3^2/2*$F$3)</f>
        <v>292.5</v>
      </c>
      <c r="AE726" s="19" t="n">
        <f aca="false">IF(OR(V726="",NOT(ISNUMBER(V726))),"",V726*$D$3^2/(2*$H$3))</f>
        <v>0.0894495412844037</v>
      </c>
      <c r="AF726" s="20" t="n">
        <f aca="false">IF(OR(V726="",NOT(ISNUMBER(V726))),"",V726*$D$3^2/2*$F$3)</f>
        <v>877.5</v>
      </c>
      <c r="AG726" s="19" t="str">
        <f aca="false">IF(OR(W726="",NOT(ISNUMBER(W726))),"",W726*$D$3^2/(2*$H$3))</f>
        <v/>
      </c>
      <c r="AH726" s="20" t="str">
        <f aca="false">IF(OR(W726="",NOT(ISNUMBER(W726))),"",W726*$D$3^2/2*$F$3)</f>
        <v/>
      </c>
    </row>
    <row r="727" customFormat="false" ht="15" hidden="false" customHeight="false" outlineLevel="0" collapsed="false">
      <c r="A727" s="10" t="s">
        <v>1570</v>
      </c>
      <c r="B727" s="23" t="s">
        <v>1273</v>
      </c>
      <c r="C727" s="6" t="s">
        <v>925</v>
      </c>
      <c r="D727" s="6" t="s">
        <v>1571</v>
      </c>
      <c r="E727" s="6" t="s">
        <v>1572</v>
      </c>
      <c r="F727" s="6" t="s">
        <v>247</v>
      </c>
      <c r="G727" s="6" t="n">
        <v>90</v>
      </c>
      <c r="H727" s="6" t="n">
        <v>63</v>
      </c>
      <c r="I727" s="6"/>
      <c r="J727" s="6" t="n">
        <v>16</v>
      </c>
      <c r="K727" s="6" t="s">
        <v>1276</v>
      </c>
      <c r="L727" s="6"/>
      <c r="M727" s="6"/>
      <c r="N727" s="12" t="n">
        <v>73.6</v>
      </c>
      <c r="O727" s="12" t="n">
        <v>51.4</v>
      </c>
      <c r="P727" s="12"/>
      <c r="Q727" s="12"/>
      <c r="R727" s="14" t="n">
        <v>0.018</v>
      </c>
      <c r="S727" s="6" t="n">
        <v>20</v>
      </c>
      <c r="T727" s="6"/>
      <c r="U727" s="15" t="n">
        <f aca="false">20*R727</f>
        <v>0.36</v>
      </c>
      <c r="V727" s="15" t="n">
        <f aca="false">60*R727+0.5*(1-(O727/N727)^2)</f>
        <v>1.33613997518904</v>
      </c>
      <c r="W727" s="14"/>
      <c r="X727" s="10" t="s">
        <v>1116</v>
      </c>
      <c r="Y727" s="16"/>
      <c r="Z727" s="17" t="s">
        <v>48</v>
      </c>
      <c r="AA727" s="6"/>
      <c r="AB727" s="18" t="n">
        <f aca="false">IF(O727="","",$D$3*PI()*(O727/1000)^2/4*3600)</f>
        <v>11.2049488715554</v>
      </c>
      <c r="AC727" s="19" t="n">
        <f aca="false">IF(OR(U727="",NOT(ISNUMBER(U727))),"",U727*$D$3^2/(2*$H$3))</f>
        <v>0.0412844036697248</v>
      </c>
      <c r="AD727" s="20" t="n">
        <f aca="false">IF(OR(U727="",NOT(ISNUMBER(U727))),"",U727*$D$3^2/2*$F$3)</f>
        <v>405</v>
      </c>
      <c r="AE727" s="19" t="n">
        <f aca="false">IF(OR(V727="",NOT(ISNUMBER(V727))),"",V727*$D$3^2/(2*$H$3))</f>
        <v>0.153227061374889</v>
      </c>
      <c r="AF727" s="20" t="n">
        <f aca="false">IF(OR(V727="",NOT(ISNUMBER(V727))),"",V727*$D$3^2/2*$F$3)</f>
        <v>1503.15747208767</v>
      </c>
      <c r="AG727" s="19" t="str">
        <f aca="false">IF(OR(W727="",NOT(ISNUMBER(W727))),"",W727*$D$3^2/(2*$H$3))</f>
        <v/>
      </c>
      <c r="AH727" s="20" t="str">
        <f aca="false">IF(OR(W727="",NOT(ISNUMBER(W727))),"",W727*$D$3^2/2*$F$3)</f>
        <v/>
      </c>
    </row>
    <row r="728" customFormat="false" ht="15" hidden="false" customHeight="false" outlineLevel="0" collapsed="false">
      <c r="A728" s="10" t="s">
        <v>1573</v>
      </c>
      <c r="B728" s="23" t="s">
        <v>1273</v>
      </c>
      <c r="C728" s="6" t="s">
        <v>925</v>
      </c>
      <c r="D728" s="6" t="s">
        <v>1574</v>
      </c>
      <c r="E728" s="6" t="s">
        <v>1572</v>
      </c>
      <c r="F728" s="6" t="s">
        <v>247</v>
      </c>
      <c r="G728" s="6" t="n">
        <v>110</v>
      </c>
      <c r="H728" s="6" t="n">
        <v>63</v>
      </c>
      <c r="I728" s="6"/>
      <c r="J728" s="6" t="n">
        <v>16</v>
      </c>
      <c r="K728" s="6" t="s">
        <v>1276</v>
      </c>
      <c r="L728" s="6"/>
      <c r="M728" s="6"/>
      <c r="N728" s="12" t="n">
        <v>90</v>
      </c>
      <c r="O728" s="12" t="n">
        <v>51.4</v>
      </c>
      <c r="P728" s="12"/>
      <c r="Q728" s="12"/>
      <c r="R728" s="14" t="n">
        <v>0.017</v>
      </c>
      <c r="S728" s="6" t="n">
        <v>20</v>
      </c>
      <c r="T728" s="6"/>
      <c r="U728" s="15" t="n">
        <f aca="false">20*R728</f>
        <v>0.34</v>
      </c>
      <c r="V728" s="15" t="n">
        <f aca="false">60*R728+0.5*(1-(O728/N728)^2)</f>
        <v>1.35691604938272</v>
      </c>
      <c r="W728" s="14"/>
      <c r="X728" s="10" t="s">
        <v>1116</v>
      </c>
      <c r="Y728" s="16"/>
      <c r="Z728" s="17" t="s">
        <v>48</v>
      </c>
      <c r="AA728" s="6"/>
      <c r="AB728" s="18" t="n">
        <f aca="false">IF(O728="","",$D$3*PI()*(O728/1000)^2/4*3600)</f>
        <v>11.2049488715554</v>
      </c>
      <c r="AC728" s="19" t="n">
        <f aca="false">IF(OR(U728="",NOT(ISNUMBER(U728))),"",U728*$D$3^2/(2*$H$3))</f>
        <v>0.0389908256880734</v>
      </c>
      <c r="AD728" s="20" t="n">
        <f aca="false">IF(OR(U728="",NOT(ISNUMBER(U728))),"",U728*$D$3^2/2*$F$3)</f>
        <v>382.5</v>
      </c>
      <c r="AE728" s="19" t="n">
        <f aca="false">IF(OR(V728="",NOT(ISNUMBER(V728))),"",V728*$D$3^2/(2*$H$3))</f>
        <v>0.155609638690678</v>
      </c>
      <c r="AF728" s="20" t="n">
        <f aca="false">IF(OR(V728="",NOT(ISNUMBER(V728))),"",V728*$D$3^2/2*$F$3)</f>
        <v>1526.53055555556</v>
      </c>
      <c r="AG728" s="19" t="str">
        <f aca="false">IF(OR(W728="",NOT(ISNUMBER(W728))),"",W728*$D$3^2/(2*$H$3))</f>
        <v/>
      </c>
      <c r="AH728" s="20" t="str">
        <f aca="false">IF(OR(W728="",NOT(ISNUMBER(W728))),"",W728*$D$3^2/2*$F$3)</f>
        <v/>
      </c>
    </row>
    <row r="729" customFormat="false" ht="15" hidden="false" customHeight="false" outlineLevel="0" collapsed="false">
      <c r="A729" s="10" t="s">
        <v>1575</v>
      </c>
      <c r="B729" s="23" t="s">
        <v>1273</v>
      </c>
      <c r="C729" s="6" t="s">
        <v>925</v>
      </c>
      <c r="D729" s="6" t="s">
        <v>1576</v>
      </c>
      <c r="E729" s="6" t="s">
        <v>1572</v>
      </c>
      <c r="F729" s="6" t="s">
        <v>247</v>
      </c>
      <c r="G729" s="6" t="n">
        <v>110</v>
      </c>
      <c r="H729" s="6" t="n">
        <v>75</v>
      </c>
      <c r="I729" s="6"/>
      <c r="J729" s="6" t="n">
        <v>16</v>
      </c>
      <c r="K729" s="6" t="s">
        <v>1276</v>
      </c>
      <c r="L729" s="6"/>
      <c r="M729" s="6"/>
      <c r="N729" s="12" t="n">
        <v>90</v>
      </c>
      <c r="O729" s="12" t="n">
        <v>61.4</v>
      </c>
      <c r="P729" s="12"/>
      <c r="Q729" s="12"/>
      <c r="R729" s="14" t="n">
        <v>0.017</v>
      </c>
      <c r="S729" s="6" t="n">
        <v>20</v>
      </c>
      <c r="T729" s="6"/>
      <c r="U729" s="15" t="n">
        <f aca="false">20*R729</f>
        <v>0.34</v>
      </c>
      <c r="V729" s="15" t="n">
        <f aca="false">60*R729+0.5*(1-(O729/N729)^2)</f>
        <v>1.28728641975309</v>
      </c>
      <c r="W729" s="14"/>
      <c r="X729" s="10" t="s">
        <v>1116</v>
      </c>
      <c r="Y729" s="16"/>
      <c r="Z729" s="17" t="s">
        <v>48</v>
      </c>
      <c r="AA729" s="6"/>
      <c r="AB729" s="18" t="n">
        <f aca="false">IF(O729="","",$D$3*PI()*(O729/1000)^2/4*3600)</f>
        <v>15.988966164442</v>
      </c>
      <c r="AC729" s="19" t="n">
        <f aca="false">IF(OR(U729="",NOT(ISNUMBER(U729))),"",U729*$D$3^2/(2*$H$3))</f>
        <v>0.0389908256880734</v>
      </c>
      <c r="AD729" s="20" t="n">
        <f aca="false">IF(OR(U729="",NOT(ISNUMBER(U729))),"",U729*$D$3^2/2*$F$3)</f>
        <v>382.5</v>
      </c>
      <c r="AE729" s="19" t="n">
        <f aca="false">IF(OR(V729="",NOT(ISNUMBER(V729))),"",V729*$D$3^2/(2*$H$3))</f>
        <v>0.147624589421226</v>
      </c>
      <c r="AF729" s="20" t="n">
        <f aca="false">IF(OR(V729="",NOT(ISNUMBER(V729))),"",V729*$D$3^2/2*$F$3)</f>
        <v>1448.19722222222</v>
      </c>
      <c r="AG729" s="19" t="str">
        <f aca="false">IF(OR(W729="",NOT(ISNUMBER(W729))),"",W729*$D$3^2/(2*$H$3))</f>
        <v/>
      </c>
      <c r="AH729" s="20" t="str">
        <f aca="false">IF(OR(W729="",NOT(ISNUMBER(W729))),"",W729*$D$3^2/2*$F$3)</f>
        <v/>
      </c>
    </row>
    <row r="730" customFormat="false" ht="15" hidden="false" customHeight="false" outlineLevel="0" collapsed="false">
      <c r="A730" s="10" t="s">
        <v>1577</v>
      </c>
      <c r="B730" s="23" t="s">
        <v>1273</v>
      </c>
      <c r="C730" s="6" t="s">
        <v>925</v>
      </c>
      <c r="D730" s="6" t="s">
        <v>1578</v>
      </c>
      <c r="E730" s="6" t="s">
        <v>1572</v>
      </c>
      <c r="F730" s="6" t="s">
        <v>247</v>
      </c>
      <c r="G730" s="6" t="n">
        <v>110</v>
      </c>
      <c r="H730" s="6" t="n">
        <v>90</v>
      </c>
      <c r="I730" s="6"/>
      <c r="J730" s="6" t="n">
        <v>16</v>
      </c>
      <c r="K730" s="6" t="s">
        <v>1276</v>
      </c>
      <c r="L730" s="6"/>
      <c r="M730" s="6"/>
      <c r="N730" s="12" t="n">
        <v>90</v>
      </c>
      <c r="O730" s="12" t="n">
        <v>73.6</v>
      </c>
      <c r="P730" s="12"/>
      <c r="Q730" s="12"/>
      <c r="R730" s="14" t="n">
        <v>0.017</v>
      </c>
      <c r="S730" s="6" t="n">
        <v>20</v>
      </c>
      <c r="T730" s="6"/>
      <c r="U730" s="15" t="n">
        <f aca="false">20*R730</f>
        <v>0.34</v>
      </c>
      <c r="V730" s="15" t="n">
        <f aca="false">60*R730+0.5*(1-(O730/N730)^2)</f>
        <v>1.18561975308642</v>
      </c>
      <c r="W730" s="14"/>
      <c r="X730" s="10" t="s">
        <v>1116</v>
      </c>
      <c r="Y730" s="16"/>
      <c r="Z730" s="17" t="s">
        <v>48</v>
      </c>
      <c r="AA730" s="6"/>
      <c r="AB730" s="18" t="n">
        <f aca="false">IF(O730="","",$D$3*PI()*(O730/1000)^2/4*3600)</f>
        <v>22.9741403500662</v>
      </c>
      <c r="AC730" s="19" t="n">
        <f aca="false">IF(OR(U730="",NOT(ISNUMBER(U730))),"",U730*$D$3^2/(2*$H$3))</f>
        <v>0.0389908256880734</v>
      </c>
      <c r="AD730" s="20" t="n">
        <f aca="false">IF(OR(U730="",NOT(ISNUMBER(U730))),"",U730*$D$3^2/2*$F$3)</f>
        <v>382.5</v>
      </c>
      <c r="AE730" s="19" t="n">
        <f aca="false">IF(OR(V730="",NOT(ISNUMBER(V730))),"",V730*$D$3^2/(2*$H$3))</f>
        <v>0.135965568014498</v>
      </c>
      <c r="AF730" s="20" t="n">
        <f aca="false">IF(OR(V730="",NOT(ISNUMBER(V730))),"",V730*$D$3^2/2*$F$3)</f>
        <v>1333.82222222222</v>
      </c>
      <c r="AG730" s="19" t="str">
        <f aca="false">IF(OR(W730="",NOT(ISNUMBER(W730))),"",W730*$D$3^2/(2*$H$3))</f>
        <v/>
      </c>
      <c r="AH730" s="20" t="str">
        <f aca="false">IF(OR(W730="",NOT(ISNUMBER(W730))),"",W730*$D$3^2/2*$F$3)</f>
        <v/>
      </c>
    </row>
    <row r="731" customFormat="false" ht="15" hidden="false" customHeight="false" outlineLevel="0" collapsed="false">
      <c r="A731" s="10" t="s">
        <v>1579</v>
      </c>
      <c r="B731" s="23" t="s">
        <v>1273</v>
      </c>
      <c r="C731" s="6" t="s">
        <v>925</v>
      </c>
      <c r="D731" s="6" t="s">
        <v>1580</v>
      </c>
      <c r="E731" s="6" t="s">
        <v>1572</v>
      </c>
      <c r="F731" s="6" t="s">
        <v>247</v>
      </c>
      <c r="G731" s="6" t="n">
        <v>125</v>
      </c>
      <c r="H731" s="6" t="n">
        <v>90</v>
      </c>
      <c r="I731" s="6"/>
      <c r="J731" s="6" t="n">
        <v>16</v>
      </c>
      <c r="K731" s="6" t="s">
        <v>1276</v>
      </c>
      <c r="L731" s="6"/>
      <c r="M731" s="6"/>
      <c r="N731" s="12" t="n">
        <v>102.2</v>
      </c>
      <c r="O731" s="12" t="n">
        <v>73.6</v>
      </c>
      <c r="P731" s="12"/>
      <c r="Q731" s="12"/>
      <c r="R731" s="14" t="n">
        <v>0.016</v>
      </c>
      <c r="S731" s="6" t="n">
        <v>20</v>
      </c>
      <c r="T731" s="6"/>
      <c r="U731" s="15" t="n">
        <f aca="false">20*R731</f>
        <v>0.32</v>
      </c>
      <c r="V731" s="15" t="n">
        <f aca="false">60*R731+0.5*(1-(O731/N731)^2)</f>
        <v>1.20068726758859</v>
      </c>
      <c r="W731" s="14"/>
      <c r="X731" s="10" t="s">
        <v>1116</v>
      </c>
      <c r="Y731" s="16"/>
      <c r="Z731" s="17" t="s">
        <v>48</v>
      </c>
      <c r="AA731" s="6"/>
      <c r="AB731" s="18" t="n">
        <f aca="false">IF(O731="","",$D$3*PI()*(O731/1000)^2/4*3600)</f>
        <v>22.9741403500662</v>
      </c>
      <c r="AC731" s="19" t="n">
        <f aca="false">IF(OR(U731="",NOT(ISNUMBER(U731))),"",U731*$D$3^2/(2*$H$3))</f>
        <v>0.036697247706422</v>
      </c>
      <c r="AD731" s="20" t="n">
        <f aca="false">IF(OR(U731="",NOT(ISNUMBER(U731))),"",U731*$D$3^2/2*$F$3)</f>
        <v>360</v>
      </c>
      <c r="AE731" s="19" t="n">
        <f aca="false">IF(OR(V731="",NOT(ISNUMBER(V731))),"",V731*$D$3^2/(2*$H$3))</f>
        <v>0.137693493989517</v>
      </c>
      <c r="AF731" s="20" t="n">
        <f aca="false">IF(OR(V731="",NOT(ISNUMBER(V731))),"",V731*$D$3^2/2*$F$3)</f>
        <v>1350.77317603716</v>
      </c>
      <c r="AG731" s="19" t="str">
        <f aca="false">IF(OR(W731="",NOT(ISNUMBER(W731))),"",W731*$D$3^2/(2*$H$3))</f>
        <v/>
      </c>
      <c r="AH731" s="20" t="str">
        <f aca="false">IF(OR(W731="",NOT(ISNUMBER(W731))),"",W731*$D$3^2/2*$F$3)</f>
        <v/>
      </c>
    </row>
    <row r="732" customFormat="false" ht="15" hidden="false" customHeight="false" outlineLevel="0" collapsed="false">
      <c r="A732" s="10" t="s">
        <v>1581</v>
      </c>
      <c r="B732" s="23" t="s">
        <v>1273</v>
      </c>
      <c r="C732" s="6" t="s">
        <v>925</v>
      </c>
      <c r="D732" s="6" t="s">
        <v>1582</v>
      </c>
      <c r="E732" s="6" t="s">
        <v>1572</v>
      </c>
      <c r="F732" s="6" t="s">
        <v>247</v>
      </c>
      <c r="G732" s="6" t="n">
        <v>160</v>
      </c>
      <c r="H732" s="6" t="n">
        <v>63</v>
      </c>
      <c r="I732" s="6"/>
      <c r="J732" s="6" t="n">
        <v>16</v>
      </c>
      <c r="K732" s="6" t="s">
        <v>1276</v>
      </c>
      <c r="L732" s="6"/>
      <c r="M732" s="6"/>
      <c r="N732" s="12" t="n">
        <v>130.8</v>
      </c>
      <c r="O732" s="12" t="n">
        <v>51.4</v>
      </c>
      <c r="P732" s="12"/>
      <c r="Q732" s="12"/>
      <c r="R732" s="14" t="n">
        <v>0.015</v>
      </c>
      <c r="S732" s="6" t="n">
        <v>20</v>
      </c>
      <c r="T732" s="6"/>
      <c r="U732" s="15" t="n">
        <f aca="false">20*R732</f>
        <v>0.3</v>
      </c>
      <c r="V732" s="15" t="n">
        <f aca="false">60*R732+0.5*(1-(O732/N732)^2)</f>
        <v>1.32278871961769</v>
      </c>
      <c r="W732" s="14"/>
      <c r="X732" s="10" t="s">
        <v>1116</v>
      </c>
      <c r="Y732" s="16"/>
      <c r="Z732" s="17" t="s">
        <v>48</v>
      </c>
      <c r="AA732" s="6"/>
      <c r="AB732" s="18" t="n">
        <f aca="false">IF(O732="","",$D$3*PI()*(O732/1000)^2/4*3600)</f>
        <v>11.2049488715554</v>
      </c>
      <c r="AC732" s="19" t="n">
        <f aca="false">IF(OR(U732="",NOT(ISNUMBER(U732))),"",U732*$D$3^2/(2*$H$3))</f>
        <v>0.0344036697247706</v>
      </c>
      <c r="AD732" s="20" t="n">
        <f aca="false">IF(OR(U732="",NOT(ISNUMBER(U732))),"",U732*$D$3^2/2*$F$3)</f>
        <v>337.5</v>
      </c>
      <c r="AE732" s="19" t="n">
        <f aca="false">IF(OR(V732="",NOT(ISNUMBER(V732))),"",V732*$D$3^2/(2*$H$3))</f>
        <v>0.151695954084598</v>
      </c>
      <c r="AF732" s="20" t="n">
        <f aca="false">IF(OR(V732="",NOT(ISNUMBER(V732))),"",V732*$D$3^2/2*$F$3)</f>
        <v>1488.1373095699</v>
      </c>
      <c r="AG732" s="19" t="str">
        <f aca="false">IF(OR(W732="",NOT(ISNUMBER(W732))),"",W732*$D$3^2/(2*$H$3))</f>
        <v/>
      </c>
      <c r="AH732" s="20" t="str">
        <f aca="false">IF(OR(W732="",NOT(ISNUMBER(W732))),"",W732*$D$3^2/2*$F$3)</f>
        <v/>
      </c>
    </row>
    <row r="733" customFormat="false" ht="15" hidden="false" customHeight="false" outlineLevel="0" collapsed="false">
      <c r="A733" s="10" t="s">
        <v>1583</v>
      </c>
      <c r="B733" s="23" t="s">
        <v>1273</v>
      </c>
      <c r="C733" s="6" t="s">
        <v>925</v>
      </c>
      <c r="D733" s="6" t="s">
        <v>1584</v>
      </c>
      <c r="E733" s="6" t="s">
        <v>1572</v>
      </c>
      <c r="F733" s="6" t="s">
        <v>247</v>
      </c>
      <c r="G733" s="6" t="n">
        <v>160</v>
      </c>
      <c r="H733" s="6" t="n">
        <v>90</v>
      </c>
      <c r="I733" s="6"/>
      <c r="J733" s="6" t="n">
        <v>16</v>
      </c>
      <c r="K733" s="6" t="s">
        <v>1276</v>
      </c>
      <c r="L733" s="6"/>
      <c r="M733" s="6"/>
      <c r="N733" s="12" t="n">
        <v>130.8</v>
      </c>
      <c r="O733" s="12" t="n">
        <v>73.6</v>
      </c>
      <c r="P733" s="12"/>
      <c r="Q733" s="12"/>
      <c r="R733" s="14" t="n">
        <v>0.015</v>
      </c>
      <c r="S733" s="6" t="n">
        <v>20</v>
      </c>
      <c r="T733" s="6"/>
      <c r="U733" s="15" t="n">
        <f aca="false">20*R733</f>
        <v>0.3</v>
      </c>
      <c r="V733" s="15" t="n">
        <f aca="false">60*R733+0.5*(1-(O733/N733)^2)</f>
        <v>1.24168934526649</v>
      </c>
      <c r="W733" s="14"/>
      <c r="X733" s="10" t="s">
        <v>1116</v>
      </c>
      <c r="Y733" s="16"/>
      <c r="Z733" s="17" t="s">
        <v>48</v>
      </c>
      <c r="AA733" s="6"/>
      <c r="AB733" s="18" t="n">
        <f aca="false">IF(O733="","",$D$3*PI()*(O733/1000)^2/4*3600)</f>
        <v>22.9741403500662</v>
      </c>
      <c r="AC733" s="19" t="n">
        <f aca="false">IF(OR(U733="",NOT(ISNUMBER(U733))),"",U733*$D$3^2/(2*$H$3))</f>
        <v>0.0344036697247706</v>
      </c>
      <c r="AD733" s="20" t="n">
        <f aca="false">IF(OR(U733="",NOT(ISNUMBER(U733))),"",U733*$D$3^2/2*$F$3)</f>
        <v>337.5</v>
      </c>
      <c r="AE733" s="19" t="n">
        <f aca="false">IF(OR(V733="",NOT(ISNUMBER(V733))),"",V733*$D$3^2/(2*$H$3))</f>
        <v>0.142395567117716</v>
      </c>
      <c r="AF733" s="20" t="n">
        <f aca="false">IF(OR(V733="",NOT(ISNUMBER(V733))),"",V733*$D$3^2/2*$F$3)</f>
        <v>1396.9005134248</v>
      </c>
      <c r="AG733" s="19" t="str">
        <f aca="false">IF(OR(W733="",NOT(ISNUMBER(W733))),"",W733*$D$3^2/(2*$H$3))</f>
        <v/>
      </c>
      <c r="AH733" s="20" t="str">
        <f aca="false">IF(OR(W733="",NOT(ISNUMBER(W733))),"",W733*$D$3^2/2*$F$3)</f>
        <v/>
      </c>
    </row>
    <row r="734" customFormat="false" ht="15" hidden="false" customHeight="false" outlineLevel="0" collapsed="false">
      <c r="A734" s="10" t="s">
        <v>1585</v>
      </c>
      <c r="B734" s="23" t="s">
        <v>1273</v>
      </c>
      <c r="C734" s="6" t="s">
        <v>925</v>
      </c>
      <c r="D734" s="6" t="s">
        <v>1586</v>
      </c>
      <c r="E734" s="6" t="s">
        <v>1572</v>
      </c>
      <c r="F734" s="6" t="s">
        <v>247</v>
      </c>
      <c r="G734" s="6" t="n">
        <v>160</v>
      </c>
      <c r="H734" s="6" t="n">
        <v>110</v>
      </c>
      <c r="I734" s="6"/>
      <c r="J734" s="6" t="n">
        <v>16</v>
      </c>
      <c r="K734" s="6" t="s">
        <v>1276</v>
      </c>
      <c r="L734" s="6"/>
      <c r="M734" s="6"/>
      <c r="N734" s="12" t="n">
        <v>130.8</v>
      </c>
      <c r="O734" s="12" t="n">
        <v>90</v>
      </c>
      <c r="P734" s="12"/>
      <c r="Q734" s="12"/>
      <c r="R734" s="14" t="n">
        <v>0.015</v>
      </c>
      <c r="S734" s="6" t="n">
        <v>20</v>
      </c>
      <c r="T734" s="6"/>
      <c r="U734" s="15" t="n">
        <f aca="false">20*R734</f>
        <v>0.3</v>
      </c>
      <c r="V734" s="15" t="n">
        <f aca="false">60*R734+0.5*(1-(O734/N734)^2)</f>
        <v>1.16327750189378</v>
      </c>
      <c r="W734" s="14"/>
      <c r="X734" s="10" t="s">
        <v>1116</v>
      </c>
      <c r="Y734" s="16"/>
      <c r="Z734" s="17" t="s">
        <v>48</v>
      </c>
      <c r="AA734" s="6"/>
      <c r="AB734" s="18" t="n">
        <f aca="false">IF(O734="","",$D$3*PI()*(O734/1000)^2/4*3600)</f>
        <v>34.3533156670044</v>
      </c>
      <c r="AC734" s="19" t="n">
        <f aca="false">IF(OR(U734="",NOT(ISNUMBER(U734))),"",U734*$D$3^2/(2*$H$3))</f>
        <v>0.0344036697247706</v>
      </c>
      <c r="AD734" s="20" t="n">
        <f aca="false">IF(OR(U734="",NOT(ISNUMBER(U734))),"",U734*$D$3^2/2*$F$3)</f>
        <v>337.5</v>
      </c>
      <c r="AE734" s="19" t="n">
        <f aca="false">IF(OR(V734="",NOT(ISNUMBER(V734))),"",V734*$D$3^2/(2*$H$3))</f>
        <v>0.1334033832447</v>
      </c>
      <c r="AF734" s="20" t="n">
        <f aca="false">IF(OR(V734="",NOT(ISNUMBER(V734))),"",V734*$D$3^2/2*$F$3)</f>
        <v>1308.6871896305</v>
      </c>
      <c r="AG734" s="19" t="str">
        <f aca="false">IF(OR(W734="",NOT(ISNUMBER(W734))),"",W734*$D$3^2/(2*$H$3))</f>
        <v/>
      </c>
      <c r="AH734" s="20" t="str">
        <f aca="false">IF(OR(W734="",NOT(ISNUMBER(W734))),"",W734*$D$3^2/2*$F$3)</f>
        <v/>
      </c>
    </row>
    <row r="735" customFormat="false" ht="15" hidden="false" customHeight="false" outlineLevel="0" collapsed="false">
      <c r="A735" s="10" t="s">
        <v>1587</v>
      </c>
      <c r="B735" s="23" t="s">
        <v>1273</v>
      </c>
      <c r="C735" s="6" t="s">
        <v>925</v>
      </c>
      <c r="D735" s="6" t="s">
        <v>1588</v>
      </c>
      <c r="E735" s="6" t="s">
        <v>1572</v>
      </c>
      <c r="F735" s="6" t="s">
        <v>247</v>
      </c>
      <c r="G735" s="6" t="n">
        <v>160</v>
      </c>
      <c r="H735" s="6" t="n">
        <v>125</v>
      </c>
      <c r="I735" s="6"/>
      <c r="J735" s="6" t="n">
        <v>16</v>
      </c>
      <c r="K735" s="6" t="s">
        <v>1276</v>
      </c>
      <c r="L735" s="6"/>
      <c r="M735" s="6"/>
      <c r="N735" s="12" t="n">
        <v>130.8</v>
      </c>
      <c r="O735" s="12" t="n">
        <v>102.2</v>
      </c>
      <c r="P735" s="12"/>
      <c r="Q735" s="12"/>
      <c r="R735" s="14" t="n">
        <v>0.015</v>
      </c>
      <c r="S735" s="6" t="n">
        <v>20</v>
      </c>
      <c r="T735" s="6"/>
      <c r="U735" s="15" t="n">
        <f aca="false">20*R735</f>
        <v>0.3</v>
      </c>
      <c r="V735" s="15" t="n">
        <f aca="false">60*R735+0.5*(1-(O735/N735)^2)</f>
        <v>1.094749553442</v>
      </c>
      <c r="W735" s="14"/>
      <c r="X735" s="10" t="s">
        <v>1116</v>
      </c>
      <c r="Y735" s="16"/>
      <c r="Z735" s="17" t="s">
        <v>48</v>
      </c>
      <c r="AA735" s="6"/>
      <c r="AB735" s="18" t="n">
        <f aca="false">IF(O735="","",$D$3*PI()*(O735/1000)^2/4*3600)</f>
        <v>44.2981340260931</v>
      </c>
      <c r="AC735" s="19" t="n">
        <f aca="false">IF(OR(U735="",NOT(ISNUMBER(U735))),"",U735*$D$3^2/(2*$H$3))</f>
        <v>0.0344036697247706</v>
      </c>
      <c r="AD735" s="20" t="n">
        <f aca="false">IF(OR(U735="",NOT(ISNUMBER(U735))),"",U735*$D$3^2/2*$F$3)</f>
        <v>337.5</v>
      </c>
      <c r="AE735" s="19" t="n">
        <f aca="false">IF(OR(V735="",NOT(ISNUMBER(V735))),"",V735*$D$3^2/(2*$H$3))</f>
        <v>0.125544673559863</v>
      </c>
      <c r="AF735" s="20" t="n">
        <f aca="false">IF(OR(V735="",NOT(ISNUMBER(V735))),"",V735*$D$3^2/2*$F$3)</f>
        <v>1231.59324762225</v>
      </c>
      <c r="AG735" s="19" t="str">
        <f aca="false">IF(OR(W735="",NOT(ISNUMBER(W735))),"",W735*$D$3^2/(2*$H$3))</f>
        <v/>
      </c>
      <c r="AH735" s="20" t="str">
        <f aca="false">IF(OR(W735="",NOT(ISNUMBER(W735))),"",W735*$D$3^2/2*$F$3)</f>
        <v/>
      </c>
    </row>
    <row r="736" customFormat="false" ht="15" hidden="false" customHeight="false" outlineLevel="0" collapsed="false">
      <c r="A736" s="10" t="s">
        <v>1589</v>
      </c>
      <c r="B736" s="23" t="s">
        <v>1273</v>
      </c>
      <c r="C736" s="6" t="s">
        <v>925</v>
      </c>
      <c r="D736" s="6" t="s">
        <v>1590</v>
      </c>
      <c r="E736" s="6" t="s">
        <v>1572</v>
      </c>
      <c r="F736" s="6" t="s">
        <v>247</v>
      </c>
      <c r="G736" s="6" t="n">
        <v>200</v>
      </c>
      <c r="H736" s="6" t="n">
        <v>90</v>
      </c>
      <c r="I736" s="6"/>
      <c r="J736" s="6" t="n">
        <v>16</v>
      </c>
      <c r="K736" s="6" t="s">
        <v>1276</v>
      </c>
      <c r="L736" s="6"/>
      <c r="M736" s="6"/>
      <c r="N736" s="12" t="n">
        <v>163.6</v>
      </c>
      <c r="O736" s="12" t="n">
        <v>73.6</v>
      </c>
      <c r="P736" s="12"/>
      <c r="Q736" s="12"/>
      <c r="R736" s="14" t="n">
        <v>0.014</v>
      </c>
      <c r="S736" s="6" t="n">
        <v>20</v>
      </c>
      <c r="T736" s="6"/>
      <c r="U736" s="15" t="n">
        <f aca="false">20*R736</f>
        <v>0.28</v>
      </c>
      <c r="V736" s="15" t="n">
        <f aca="false">60*R736+0.5*(1-(O736/N736)^2)</f>
        <v>1.23880500475248</v>
      </c>
      <c r="W736" s="14"/>
      <c r="X736" s="10" t="s">
        <v>1116</v>
      </c>
      <c r="Y736" s="16"/>
      <c r="Z736" s="17" t="s">
        <v>48</v>
      </c>
      <c r="AA736" s="6"/>
      <c r="AB736" s="18" t="n">
        <f aca="false">IF(O736="","",$D$3*PI()*(O736/1000)^2/4*3600)</f>
        <v>22.9741403500662</v>
      </c>
      <c r="AC736" s="19" t="n">
        <f aca="false">IF(OR(U736="",NOT(ISNUMBER(U736))),"",U736*$D$3^2/(2*$H$3))</f>
        <v>0.0321100917431193</v>
      </c>
      <c r="AD736" s="20" t="n">
        <f aca="false">IF(OR(U736="",NOT(ISNUMBER(U736))),"",U736*$D$3^2/2*$F$3)</f>
        <v>315</v>
      </c>
      <c r="AE736" s="19" t="n">
        <f aca="false">IF(OR(V736="",NOT(ISNUMBER(V736))),"",V736*$D$3^2/(2*$H$3))</f>
        <v>0.142064794122991</v>
      </c>
      <c r="AF736" s="20" t="n">
        <f aca="false">IF(OR(V736="",NOT(ISNUMBER(V736))),"",V736*$D$3^2/2*$F$3)</f>
        <v>1393.65563034654</v>
      </c>
      <c r="AG736" s="19" t="str">
        <f aca="false">IF(OR(W736="",NOT(ISNUMBER(W736))),"",W736*$D$3^2/(2*$H$3))</f>
        <v/>
      </c>
      <c r="AH736" s="20" t="str">
        <f aca="false">IF(OR(W736="",NOT(ISNUMBER(W736))),"",W736*$D$3^2/2*$F$3)</f>
        <v/>
      </c>
    </row>
    <row r="737" customFormat="false" ht="15" hidden="false" customHeight="false" outlineLevel="0" collapsed="false">
      <c r="A737" s="10" t="s">
        <v>1591</v>
      </c>
      <c r="B737" s="23" t="s">
        <v>1273</v>
      </c>
      <c r="C737" s="6" t="s">
        <v>925</v>
      </c>
      <c r="D737" s="6" t="s">
        <v>1592</v>
      </c>
      <c r="E737" s="6" t="s">
        <v>1572</v>
      </c>
      <c r="F737" s="6" t="s">
        <v>247</v>
      </c>
      <c r="G737" s="6" t="n">
        <v>200</v>
      </c>
      <c r="H737" s="6" t="n">
        <v>110</v>
      </c>
      <c r="I737" s="6"/>
      <c r="J737" s="6" t="n">
        <v>16</v>
      </c>
      <c r="K737" s="6" t="s">
        <v>1276</v>
      </c>
      <c r="L737" s="6"/>
      <c r="M737" s="6"/>
      <c r="N737" s="12" t="n">
        <v>163.6</v>
      </c>
      <c r="O737" s="12" t="n">
        <v>90</v>
      </c>
      <c r="P737" s="12"/>
      <c r="Q737" s="12"/>
      <c r="R737" s="14" t="n">
        <v>0.014</v>
      </c>
      <c r="S737" s="6" t="n">
        <v>20</v>
      </c>
      <c r="T737" s="6"/>
      <c r="U737" s="15" t="n">
        <f aca="false">20*R737</f>
        <v>0.28</v>
      </c>
      <c r="V737" s="15" t="n">
        <f aca="false">60*R737+0.5*(1-(O737/N737)^2)</f>
        <v>1.18868275536373</v>
      </c>
      <c r="W737" s="14"/>
      <c r="X737" s="10" t="s">
        <v>1116</v>
      </c>
      <c r="Y737" s="16"/>
      <c r="Z737" s="17" t="s">
        <v>48</v>
      </c>
      <c r="AA737" s="6"/>
      <c r="AB737" s="18" t="n">
        <f aca="false">IF(O737="","",$D$3*PI()*(O737/1000)^2/4*3600)</f>
        <v>34.3533156670044</v>
      </c>
      <c r="AC737" s="19" t="n">
        <f aca="false">IF(OR(U737="",NOT(ISNUMBER(U737))),"",U737*$D$3^2/(2*$H$3))</f>
        <v>0.0321100917431193</v>
      </c>
      <c r="AD737" s="20" t="n">
        <f aca="false">IF(OR(U737="",NOT(ISNUMBER(U737))),"",U737*$D$3^2/2*$F$3)</f>
        <v>315</v>
      </c>
      <c r="AE737" s="19" t="n">
        <f aca="false">IF(OR(V737="",NOT(ISNUMBER(V737))),"",V737*$D$3^2/(2*$H$3))</f>
        <v>0.136316829743547</v>
      </c>
      <c r="AF737" s="20" t="n">
        <f aca="false">IF(OR(V737="",NOT(ISNUMBER(V737))),"",V737*$D$3^2/2*$F$3)</f>
        <v>1337.2680997842</v>
      </c>
      <c r="AG737" s="19" t="str">
        <f aca="false">IF(OR(W737="",NOT(ISNUMBER(W737))),"",W737*$D$3^2/(2*$H$3))</f>
        <v/>
      </c>
      <c r="AH737" s="20" t="str">
        <f aca="false">IF(OR(W737="",NOT(ISNUMBER(W737))),"",W737*$D$3^2/2*$F$3)</f>
        <v/>
      </c>
    </row>
    <row r="738" customFormat="false" ht="15" hidden="false" customHeight="false" outlineLevel="0" collapsed="false">
      <c r="A738" s="10" t="s">
        <v>1593</v>
      </c>
      <c r="B738" s="23" t="s">
        <v>1273</v>
      </c>
      <c r="C738" s="6" t="s">
        <v>925</v>
      </c>
      <c r="D738" s="6" t="s">
        <v>1594</v>
      </c>
      <c r="E738" s="6" t="s">
        <v>1572</v>
      </c>
      <c r="F738" s="6" t="s">
        <v>247</v>
      </c>
      <c r="G738" s="6" t="n">
        <v>200</v>
      </c>
      <c r="H738" s="6" t="n">
        <v>160</v>
      </c>
      <c r="I738" s="6"/>
      <c r="J738" s="6" t="n">
        <v>16</v>
      </c>
      <c r="K738" s="6" t="s">
        <v>1276</v>
      </c>
      <c r="L738" s="6"/>
      <c r="M738" s="6"/>
      <c r="N738" s="12" t="n">
        <v>163.6</v>
      </c>
      <c r="O738" s="12" t="n">
        <v>130.8</v>
      </c>
      <c r="P738" s="12"/>
      <c r="Q738" s="12"/>
      <c r="R738" s="14" t="n">
        <v>0.014</v>
      </c>
      <c r="S738" s="6" t="n">
        <v>20</v>
      </c>
      <c r="T738" s="6"/>
      <c r="U738" s="15" t="n">
        <f aca="false">20*R738</f>
        <v>0.28</v>
      </c>
      <c r="V738" s="15" t="n">
        <f aca="false">60*R738+0.5*(1-(O738/N738)^2)</f>
        <v>1.02039107848471</v>
      </c>
      <c r="W738" s="14"/>
      <c r="X738" s="10" t="s">
        <v>1116</v>
      </c>
      <c r="Y738" s="16"/>
      <c r="Z738" s="17" t="s">
        <v>48</v>
      </c>
      <c r="AA738" s="6"/>
      <c r="AB738" s="18" t="n">
        <f aca="false">IF(O738="","",$D$3*PI()*(O738/1000)^2/4*3600)</f>
        <v>72.5603099448318</v>
      </c>
      <c r="AC738" s="19" t="n">
        <f aca="false">IF(OR(U738="",NOT(ISNUMBER(U738))),"",U738*$D$3^2/(2*$H$3))</f>
        <v>0.0321100917431193</v>
      </c>
      <c r="AD738" s="20" t="n">
        <f aca="false">IF(OR(U738="",NOT(ISNUMBER(U738))),"",U738*$D$3^2/2*$F$3)</f>
        <v>315</v>
      </c>
      <c r="AE738" s="19" t="n">
        <f aca="false">IF(OR(V738="",NOT(ISNUMBER(V738))),"",V738*$D$3^2/(2*$H$3))</f>
        <v>0.117017325514301</v>
      </c>
      <c r="AF738" s="20" t="n">
        <f aca="false">IF(OR(V738="",NOT(ISNUMBER(V738))),"",V738*$D$3^2/2*$F$3)</f>
        <v>1147.93996329529</v>
      </c>
      <c r="AG738" s="19" t="str">
        <f aca="false">IF(OR(W738="",NOT(ISNUMBER(W738))),"",W738*$D$3^2/(2*$H$3))</f>
        <v/>
      </c>
      <c r="AH738" s="20" t="str">
        <f aca="false">IF(OR(W738="",NOT(ISNUMBER(W738))),"",W738*$D$3^2/2*$F$3)</f>
        <v/>
      </c>
    </row>
    <row r="739" customFormat="false" ht="15" hidden="false" customHeight="false" outlineLevel="0" collapsed="false">
      <c r="A739" s="10" t="s">
        <v>1595</v>
      </c>
      <c r="B739" s="23" t="s">
        <v>1273</v>
      </c>
      <c r="C739" s="6" t="s">
        <v>925</v>
      </c>
      <c r="D739" s="6" t="s">
        <v>1596</v>
      </c>
      <c r="E739" s="6" t="s">
        <v>1572</v>
      </c>
      <c r="F739" s="6" t="s">
        <v>247</v>
      </c>
      <c r="G739" s="6" t="n">
        <v>250</v>
      </c>
      <c r="H739" s="6" t="n">
        <v>110</v>
      </c>
      <c r="I739" s="6"/>
      <c r="J739" s="6" t="n">
        <v>16</v>
      </c>
      <c r="K739" s="6" t="s">
        <v>1276</v>
      </c>
      <c r="L739" s="6"/>
      <c r="M739" s="6"/>
      <c r="N739" s="12" t="n">
        <v>204.6</v>
      </c>
      <c r="O739" s="12" t="n">
        <v>90</v>
      </c>
      <c r="P739" s="12"/>
      <c r="Q739" s="12"/>
      <c r="R739" s="14" t="n">
        <v>0.014</v>
      </c>
      <c r="S739" s="6" t="n">
        <v>20</v>
      </c>
      <c r="T739" s="6"/>
      <c r="U739" s="15" t="n">
        <f aca="false">20*R739</f>
        <v>0.28</v>
      </c>
      <c r="V739" s="15" t="n">
        <f aca="false">60*R739+0.5*(1-(O739/N739)^2)</f>
        <v>1.24325160602334</v>
      </c>
      <c r="W739" s="14"/>
      <c r="X739" s="10" t="s">
        <v>1116</v>
      </c>
      <c r="Y739" s="16"/>
      <c r="Z739" s="17" t="s">
        <v>48</v>
      </c>
      <c r="AA739" s="6"/>
      <c r="AB739" s="18" t="n">
        <f aca="false">IF(O739="","",$D$3*PI()*(O739/1000)^2/4*3600)</f>
        <v>34.3533156670044</v>
      </c>
      <c r="AC739" s="19" t="n">
        <f aca="false">IF(OR(U739="",NOT(ISNUMBER(U739))),"",U739*$D$3^2/(2*$H$3))</f>
        <v>0.0321100917431193</v>
      </c>
      <c r="AD739" s="20" t="n">
        <f aca="false">IF(OR(U739="",NOT(ISNUMBER(U739))),"",U739*$D$3^2/2*$F$3)</f>
        <v>315</v>
      </c>
      <c r="AE739" s="19" t="n">
        <f aca="false">IF(OR(V739="",NOT(ISNUMBER(V739))),"",V739*$D$3^2/(2*$H$3))</f>
        <v>0.142574725461392</v>
      </c>
      <c r="AF739" s="20" t="n">
        <f aca="false">IF(OR(V739="",NOT(ISNUMBER(V739))),"",V739*$D$3^2/2*$F$3)</f>
        <v>1398.65805677626</v>
      </c>
      <c r="AG739" s="19" t="str">
        <f aca="false">IF(OR(W739="",NOT(ISNUMBER(W739))),"",W739*$D$3^2/(2*$H$3))</f>
        <v/>
      </c>
      <c r="AH739" s="20" t="str">
        <f aca="false">IF(OR(W739="",NOT(ISNUMBER(W739))),"",W739*$D$3^2/2*$F$3)</f>
        <v/>
      </c>
    </row>
    <row r="740" customFormat="false" ht="15" hidden="false" customHeight="false" outlineLevel="0" collapsed="false">
      <c r="A740" s="10" t="s">
        <v>1597</v>
      </c>
      <c r="B740" s="23" t="s">
        <v>1273</v>
      </c>
      <c r="C740" s="6" t="s">
        <v>925</v>
      </c>
      <c r="D740" s="6" t="s">
        <v>1598</v>
      </c>
      <c r="E740" s="6" t="s">
        <v>1572</v>
      </c>
      <c r="F740" s="6" t="s">
        <v>247</v>
      </c>
      <c r="G740" s="6" t="n">
        <v>250</v>
      </c>
      <c r="H740" s="6" t="n">
        <v>125</v>
      </c>
      <c r="I740" s="6"/>
      <c r="J740" s="6" t="n">
        <v>16</v>
      </c>
      <c r="K740" s="6" t="s">
        <v>1276</v>
      </c>
      <c r="L740" s="6"/>
      <c r="M740" s="6"/>
      <c r="N740" s="12" t="n">
        <v>204.6</v>
      </c>
      <c r="O740" s="12" t="n">
        <v>102.2</v>
      </c>
      <c r="P740" s="12"/>
      <c r="Q740" s="12"/>
      <c r="R740" s="14" t="n">
        <v>0.014</v>
      </c>
      <c r="S740" s="6" t="n">
        <v>20</v>
      </c>
      <c r="T740" s="6"/>
      <c r="U740" s="15" t="n">
        <f aca="false">20*R740</f>
        <v>0.28</v>
      </c>
      <c r="V740" s="15" t="n">
        <f aca="false">60*R740+0.5*(1-(O740/N740)^2)</f>
        <v>1.21524425983418</v>
      </c>
      <c r="W740" s="14"/>
      <c r="X740" s="10" t="s">
        <v>1116</v>
      </c>
      <c r="Y740" s="16"/>
      <c r="Z740" s="17" t="s">
        <v>48</v>
      </c>
      <c r="AA740" s="6"/>
      <c r="AB740" s="18" t="n">
        <f aca="false">IF(O740="","",$D$3*PI()*(O740/1000)^2/4*3600)</f>
        <v>44.2981340260931</v>
      </c>
      <c r="AC740" s="19" t="n">
        <f aca="false">IF(OR(U740="",NOT(ISNUMBER(U740))),"",U740*$D$3^2/(2*$H$3))</f>
        <v>0.0321100917431193</v>
      </c>
      <c r="AD740" s="20" t="n">
        <f aca="false">IF(OR(U740="",NOT(ISNUMBER(U740))),"",U740*$D$3^2/2*$F$3)</f>
        <v>315</v>
      </c>
      <c r="AE740" s="19" t="n">
        <f aca="false">IF(OR(V740="",NOT(ISNUMBER(V740))),"",V740*$D$3^2/(2*$H$3))</f>
        <v>0.139362873834194</v>
      </c>
      <c r="AF740" s="20" t="n">
        <f aca="false">IF(OR(V740="",NOT(ISNUMBER(V740))),"",V740*$D$3^2/2*$F$3)</f>
        <v>1367.14979231345</v>
      </c>
      <c r="AG740" s="19" t="str">
        <f aca="false">IF(OR(W740="",NOT(ISNUMBER(W740))),"",W740*$D$3^2/(2*$H$3))</f>
        <v/>
      </c>
      <c r="AH740" s="20" t="str">
        <f aca="false">IF(OR(W740="",NOT(ISNUMBER(W740))),"",W740*$D$3^2/2*$F$3)</f>
        <v/>
      </c>
    </row>
    <row r="741" customFormat="false" ht="15" hidden="false" customHeight="false" outlineLevel="0" collapsed="false">
      <c r="A741" s="10" t="s">
        <v>1599</v>
      </c>
      <c r="B741" s="23" t="s">
        <v>1273</v>
      </c>
      <c r="C741" s="6" t="s">
        <v>925</v>
      </c>
      <c r="D741" s="6" t="s">
        <v>1600</v>
      </c>
      <c r="E741" s="6" t="s">
        <v>1572</v>
      </c>
      <c r="F741" s="6" t="s">
        <v>247</v>
      </c>
      <c r="G741" s="6" t="n">
        <v>250</v>
      </c>
      <c r="H741" s="6" t="n">
        <v>160</v>
      </c>
      <c r="I741" s="6"/>
      <c r="J741" s="6" t="n">
        <v>16</v>
      </c>
      <c r="K741" s="6" t="s">
        <v>1276</v>
      </c>
      <c r="L741" s="6"/>
      <c r="M741" s="6"/>
      <c r="N741" s="12" t="n">
        <v>204.6</v>
      </c>
      <c r="O741" s="12" t="n">
        <v>130.8</v>
      </c>
      <c r="P741" s="12"/>
      <c r="Q741" s="12"/>
      <c r="R741" s="14" t="n">
        <v>0.014</v>
      </c>
      <c r="S741" s="6" t="n">
        <v>20</v>
      </c>
      <c r="T741" s="6"/>
      <c r="U741" s="15" t="n">
        <f aca="false">20*R741</f>
        <v>0.28</v>
      </c>
      <c r="V741" s="15" t="n">
        <f aca="false">60*R741+0.5*(1-(O741/N741)^2)</f>
        <v>1.13565019220681</v>
      </c>
      <c r="W741" s="14"/>
      <c r="X741" s="10" t="s">
        <v>1116</v>
      </c>
      <c r="Y741" s="16"/>
      <c r="Z741" s="17" t="s">
        <v>48</v>
      </c>
      <c r="AA741" s="6"/>
      <c r="AB741" s="18" t="n">
        <f aca="false">IF(O741="","",$D$3*PI()*(O741/1000)^2/4*3600)</f>
        <v>72.5603099448318</v>
      </c>
      <c r="AC741" s="19" t="n">
        <f aca="false">IF(OR(U741="",NOT(ISNUMBER(U741))),"",U741*$D$3^2/(2*$H$3))</f>
        <v>0.0321100917431193</v>
      </c>
      <c r="AD741" s="20" t="n">
        <f aca="false">IF(OR(U741="",NOT(ISNUMBER(U741))),"",U741*$D$3^2/2*$F$3)</f>
        <v>315</v>
      </c>
      <c r="AE741" s="19" t="n">
        <f aca="false">IF(OR(V741="",NOT(ISNUMBER(V741))),"",V741*$D$3^2/(2*$H$3))</f>
        <v>0.130235113785185</v>
      </c>
      <c r="AF741" s="20" t="n">
        <f aca="false">IF(OR(V741="",NOT(ISNUMBER(V741))),"",V741*$D$3^2/2*$F$3)</f>
        <v>1277.60646623266</v>
      </c>
      <c r="AG741" s="19" t="str">
        <f aca="false">IF(OR(W741="",NOT(ISNUMBER(W741))),"",W741*$D$3^2/(2*$H$3))</f>
        <v/>
      </c>
      <c r="AH741" s="20" t="str">
        <f aca="false">IF(OR(W741="",NOT(ISNUMBER(W741))),"",W741*$D$3^2/2*$F$3)</f>
        <v/>
      </c>
    </row>
    <row r="742" customFormat="false" ht="15" hidden="false" customHeight="false" outlineLevel="0" collapsed="false">
      <c r="A742" s="10" t="s">
        <v>1601</v>
      </c>
      <c r="B742" s="23" t="s">
        <v>1273</v>
      </c>
      <c r="C742" s="6" t="s">
        <v>925</v>
      </c>
      <c r="D742" s="6" t="s">
        <v>1602</v>
      </c>
      <c r="E742" s="6" t="s">
        <v>1572</v>
      </c>
      <c r="F742" s="6" t="s">
        <v>247</v>
      </c>
      <c r="G742" s="6" t="n">
        <v>315</v>
      </c>
      <c r="H742" s="6" t="n">
        <v>160</v>
      </c>
      <c r="I742" s="6"/>
      <c r="J742" s="6" t="n">
        <v>16</v>
      </c>
      <c r="K742" s="6" t="s">
        <v>1276</v>
      </c>
      <c r="L742" s="6"/>
      <c r="M742" s="6"/>
      <c r="N742" s="12" t="n">
        <v>257.8</v>
      </c>
      <c r="O742" s="12" t="n">
        <v>130.8</v>
      </c>
      <c r="P742" s="12"/>
      <c r="Q742" s="12"/>
      <c r="R742" s="14" t="n">
        <v>0.013</v>
      </c>
      <c r="S742" s="6" t="n">
        <v>20</v>
      </c>
      <c r="T742" s="6"/>
      <c r="U742" s="15" t="n">
        <f aca="false">20*R742</f>
        <v>0.26</v>
      </c>
      <c r="V742" s="15" t="n">
        <f aca="false">60*R742+0.5*(1-(O742/N742)^2)</f>
        <v>1.15128781399693</v>
      </c>
      <c r="W742" s="14"/>
      <c r="X742" s="10" t="s">
        <v>1116</v>
      </c>
      <c r="Y742" s="16"/>
      <c r="Z742" s="17" t="s">
        <v>48</v>
      </c>
      <c r="AA742" s="6"/>
      <c r="AB742" s="18" t="n">
        <f aca="false">IF(O742="","",$D$3*PI()*(O742/1000)^2/4*3600)</f>
        <v>72.5603099448318</v>
      </c>
      <c r="AC742" s="19" t="n">
        <f aca="false">IF(OR(U742="",NOT(ISNUMBER(U742))),"",U742*$D$3^2/(2*$H$3))</f>
        <v>0.0298165137614679</v>
      </c>
      <c r="AD742" s="20" t="n">
        <f aca="false">IF(OR(U742="",NOT(ISNUMBER(U742))),"",U742*$D$3^2/2*$F$3)</f>
        <v>292.5</v>
      </c>
      <c r="AE742" s="19" t="n">
        <f aca="false">IF(OR(V742="",NOT(ISNUMBER(V742))),"",V742*$D$3^2/(2*$H$3))</f>
        <v>0.132028419036346</v>
      </c>
      <c r="AF742" s="20" t="n">
        <f aca="false">IF(OR(V742="",NOT(ISNUMBER(V742))),"",V742*$D$3^2/2*$F$3)</f>
        <v>1295.19879074655</v>
      </c>
      <c r="AG742" s="19" t="str">
        <f aca="false">IF(OR(W742="",NOT(ISNUMBER(W742))),"",W742*$D$3^2/(2*$H$3))</f>
        <v/>
      </c>
      <c r="AH742" s="20" t="str">
        <f aca="false">IF(OR(W742="",NOT(ISNUMBER(W742))),"",W742*$D$3^2/2*$F$3)</f>
        <v/>
      </c>
    </row>
    <row r="743" customFormat="false" ht="15" hidden="false" customHeight="false" outlineLevel="0" collapsed="false">
      <c r="A743" s="10" t="s">
        <v>1603</v>
      </c>
      <c r="B743" s="23" t="s">
        <v>1273</v>
      </c>
      <c r="C743" s="6" t="s">
        <v>925</v>
      </c>
      <c r="D743" s="6" t="s">
        <v>1604</v>
      </c>
      <c r="E743" s="6" t="s">
        <v>1572</v>
      </c>
      <c r="F743" s="6" t="s">
        <v>247</v>
      </c>
      <c r="G743" s="6" t="n">
        <v>315</v>
      </c>
      <c r="H743" s="6" t="n">
        <v>200</v>
      </c>
      <c r="I743" s="6"/>
      <c r="J743" s="6" t="n">
        <v>16</v>
      </c>
      <c r="K743" s="6" t="s">
        <v>1276</v>
      </c>
      <c r="L743" s="6"/>
      <c r="M743" s="6"/>
      <c r="N743" s="12" t="n">
        <v>257.8</v>
      </c>
      <c r="O743" s="12" t="n">
        <v>163.6</v>
      </c>
      <c r="P743" s="12"/>
      <c r="Q743" s="12"/>
      <c r="R743" s="14" t="n">
        <v>0.013</v>
      </c>
      <c r="S743" s="6" t="n">
        <v>20</v>
      </c>
      <c r="T743" s="6"/>
      <c r="U743" s="15" t="n">
        <f aca="false">20*R743</f>
        <v>0.26</v>
      </c>
      <c r="V743" s="15" t="n">
        <f aca="false">60*R743+0.5*(1-(O743/N743)^2)</f>
        <v>1.07864112460812</v>
      </c>
      <c r="W743" s="14"/>
      <c r="X743" s="10" t="s">
        <v>1116</v>
      </c>
      <c r="Y743" s="16"/>
      <c r="Z743" s="17" t="s">
        <v>48</v>
      </c>
      <c r="AA743" s="6"/>
      <c r="AB743" s="18" t="n">
        <f aca="false">IF(O743="","",$D$3*PI()*(O743/1000)^2/4*3600)</f>
        <v>113.514212307993</v>
      </c>
      <c r="AC743" s="19" t="n">
        <f aca="false">IF(OR(U743="",NOT(ISNUMBER(U743))),"",U743*$D$3^2/(2*$H$3))</f>
        <v>0.0298165137614679</v>
      </c>
      <c r="AD743" s="20" t="n">
        <f aca="false">IF(OR(U743="",NOT(ISNUMBER(U743))),"",U743*$D$3^2/2*$F$3)</f>
        <v>292.5</v>
      </c>
      <c r="AE743" s="19" t="n">
        <f aca="false">IF(OR(V743="",NOT(ISNUMBER(V743))),"",V743*$D$3^2/(2*$H$3))</f>
        <v>0.123697376675243</v>
      </c>
      <c r="AF743" s="20" t="n">
        <f aca="false">IF(OR(V743="",NOT(ISNUMBER(V743))),"",V743*$D$3^2/2*$F$3)</f>
        <v>1213.47126518413</v>
      </c>
      <c r="AG743" s="19" t="str">
        <f aca="false">IF(OR(W743="",NOT(ISNUMBER(W743))),"",W743*$D$3^2/(2*$H$3))</f>
        <v/>
      </c>
      <c r="AH743" s="20" t="str">
        <f aca="false">IF(OR(W743="",NOT(ISNUMBER(W743))),"",W743*$D$3^2/2*$F$3)</f>
        <v/>
      </c>
    </row>
    <row r="744" customFormat="false" ht="15" hidden="false" customHeight="false" outlineLevel="0" collapsed="false">
      <c r="A744" s="10" t="s">
        <v>1605</v>
      </c>
      <c r="B744" s="23" t="s">
        <v>1273</v>
      </c>
      <c r="C744" s="6" t="s">
        <v>925</v>
      </c>
      <c r="D744" s="6" t="s">
        <v>1606</v>
      </c>
      <c r="E744" s="6" t="s">
        <v>1607</v>
      </c>
      <c r="F744" s="6" t="s">
        <v>86</v>
      </c>
      <c r="G744" s="6" t="n">
        <v>50</v>
      </c>
      <c r="H744" s="6"/>
      <c r="I744" s="6"/>
      <c r="J744" s="6" t="n">
        <v>16</v>
      </c>
      <c r="K744" s="6" t="s">
        <v>1276</v>
      </c>
      <c r="L744" s="6"/>
      <c r="M744" s="6"/>
      <c r="N744" s="12" t="n">
        <v>40.8</v>
      </c>
      <c r="O744" s="12" t="n">
        <v>40.8</v>
      </c>
      <c r="P744" s="12"/>
      <c r="Q744" s="12"/>
      <c r="R744" s="14" t="n">
        <v>0.021</v>
      </c>
      <c r="S744" s="6"/>
      <c r="T744" s="6"/>
      <c r="U744" s="14"/>
      <c r="V744" s="14"/>
      <c r="W744" s="14"/>
      <c r="X744" s="10" t="s">
        <v>87</v>
      </c>
      <c r="Y744" s="16"/>
      <c r="Z744" s="17" t="s">
        <v>48</v>
      </c>
      <c r="AA744" s="6"/>
      <c r="AB744" s="18" t="n">
        <f aca="false">IF(O744="","",$D$3*PI()*(O744/1000)^2/4*3600)</f>
        <v>7.05998807307681</v>
      </c>
      <c r="AC744" s="19" t="str">
        <f aca="false">IF(OR(U744="",NOT(ISNUMBER(U744))),"",U744*$D$3^2/(2*$H$3))</f>
        <v/>
      </c>
      <c r="AD744" s="20" t="str">
        <f aca="false">IF(OR(U744="",NOT(ISNUMBER(U744))),"",U744*$D$3^2/2*$F$3)</f>
        <v/>
      </c>
      <c r="AE744" s="19" t="str">
        <f aca="false">IF(OR(V744="",NOT(ISNUMBER(V744))),"",V744*$D$3^2/(2*$H$3))</f>
        <v/>
      </c>
      <c r="AF744" s="20" t="str">
        <f aca="false">IF(OR(V744="",NOT(ISNUMBER(V744))),"",V744*$D$3^2/2*$F$3)</f>
        <v/>
      </c>
      <c r="AG744" s="19" t="str">
        <f aca="false">IF(OR(W744="",NOT(ISNUMBER(W744))),"",W744*$D$3^2/(2*$H$3))</f>
        <v/>
      </c>
      <c r="AH744" s="20" t="str">
        <f aca="false">IF(OR(W744="",NOT(ISNUMBER(W744))),"",W744*$D$3^2/2*$F$3)</f>
        <v/>
      </c>
    </row>
    <row r="745" customFormat="false" ht="15" hidden="false" customHeight="false" outlineLevel="0" collapsed="false">
      <c r="A745" s="10" t="s">
        <v>1608</v>
      </c>
      <c r="B745" s="23" t="s">
        <v>1273</v>
      </c>
      <c r="C745" s="6" t="s">
        <v>925</v>
      </c>
      <c r="D745" s="6" t="s">
        <v>1609</v>
      </c>
      <c r="E745" s="6" t="s">
        <v>1607</v>
      </c>
      <c r="F745" s="6" t="s">
        <v>86</v>
      </c>
      <c r="G745" s="6" t="n">
        <v>63</v>
      </c>
      <c r="H745" s="6"/>
      <c r="I745" s="6"/>
      <c r="J745" s="6" t="n">
        <v>16</v>
      </c>
      <c r="K745" s="6" t="s">
        <v>1276</v>
      </c>
      <c r="L745" s="6"/>
      <c r="M745" s="6"/>
      <c r="N745" s="12" t="n">
        <v>51.4</v>
      </c>
      <c r="O745" s="12" t="n">
        <v>51.4</v>
      </c>
      <c r="P745" s="12"/>
      <c r="Q745" s="12"/>
      <c r="R745" s="14" t="n">
        <v>0.019</v>
      </c>
      <c r="S745" s="6"/>
      <c r="T745" s="6"/>
      <c r="U745" s="14"/>
      <c r="V745" s="14"/>
      <c r="W745" s="14"/>
      <c r="X745" s="10" t="s">
        <v>87</v>
      </c>
      <c r="Y745" s="16"/>
      <c r="Z745" s="17" t="s">
        <v>48</v>
      </c>
      <c r="AA745" s="6"/>
      <c r="AB745" s="18" t="n">
        <f aca="false">IF(O745="","",$D$3*PI()*(O745/1000)^2/4*3600)</f>
        <v>11.2049488715554</v>
      </c>
      <c r="AC745" s="19" t="str">
        <f aca="false">IF(OR(U745="",NOT(ISNUMBER(U745))),"",U745*$D$3^2/(2*$H$3))</f>
        <v/>
      </c>
      <c r="AD745" s="20" t="str">
        <f aca="false">IF(OR(U745="",NOT(ISNUMBER(U745))),"",U745*$D$3^2/2*$F$3)</f>
        <v/>
      </c>
      <c r="AE745" s="19" t="str">
        <f aca="false">IF(OR(V745="",NOT(ISNUMBER(V745))),"",V745*$D$3^2/(2*$H$3))</f>
        <v/>
      </c>
      <c r="AF745" s="20" t="str">
        <f aca="false">IF(OR(V745="",NOT(ISNUMBER(V745))),"",V745*$D$3^2/2*$F$3)</f>
        <v/>
      </c>
      <c r="AG745" s="19" t="str">
        <f aca="false">IF(OR(W745="",NOT(ISNUMBER(W745))),"",W745*$D$3^2/(2*$H$3))</f>
        <v/>
      </c>
      <c r="AH745" s="20" t="str">
        <f aca="false">IF(OR(W745="",NOT(ISNUMBER(W745))),"",W745*$D$3^2/2*$F$3)</f>
        <v/>
      </c>
    </row>
    <row r="746" customFormat="false" ht="15" hidden="false" customHeight="false" outlineLevel="0" collapsed="false">
      <c r="A746" s="10" t="s">
        <v>1610</v>
      </c>
      <c r="B746" s="23" t="s">
        <v>1273</v>
      </c>
      <c r="C746" s="6" t="s">
        <v>925</v>
      </c>
      <c r="D746" s="6" t="s">
        <v>1611</v>
      </c>
      <c r="E746" s="6" t="s">
        <v>1607</v>
      </c>
      <c r="F746" s="6" t="s">
        <v>86</v>
      </c>
      <c r="G746" s="6" t="n">
        <v>75</v>
      </c>
      <c r="H746" s="6"/>
      <c r="I746" s="6"/>
      <c r="J746" s="6" t="n">
        <v>16</v>
      </c>
      <c r="K746" s="6" t="s">
        <v>1276</v>
      </c>
      <c r="L746" s="6"/>
      <c r="M746" s="6"/>
      <c r="N746" s="12" t="n">
        <v>61.4</v>
      </c>
      <c r="O746" s="12" t="n">
        <v>61.4</v>
      </c>
      <c r="P746" s="12"/>
      <c r="Q746" s="12"/>
      <c r="R746" s="14" t="n">
        <v>0.018</v>
      </c>
      <c r="S746" s="6"/>
      <c r="T746" s="6"/>
      <c r="U746" s="14"/>
      <c r="V746" s="14"/>
      <c r="W746" s="14"/>
      <c r="X746" s="10" t="s">
        <v>87</v>
      </c>
      <c r="Y746" s="16"/>
      <c r="Z746" s="17" t="s">
        <v>48</v>
      </c>
      <c r="AA746" s="6"/>
      <c r="AB746" s="18" t="n">
        <f aca="false">IF(O746="","",$D$3*PI()*(O746/1000)^2/4*3600)</f>
        <v>15.988966164442</v>
      </c>
      <c r="AC746" s="19" t="str">
        <f aca="false">IF(OR(U746="",NOT(ISNUMBER(U746))),"",U746*$D$3^2/(2*$H$3))</f>
        <v/>
      </c>
      <c r="AD746" s="20" t="str">
        <f aca="false">IF(OR(U746="",NOT(ISNUMBER(U746))),"",U746*$D$3^2/2*$F$3)</f>
        <v/>
      </c>
      <c r="AE746" s="19" t="str">
        <f aca="false">IF(OR(V746="",NOT(ISNUMBER(V746))),"",V746*$D$3^2/(2*$H$3))</f>
        <v/>
      </c>
      <c r="AF746" s="20" t="str">
        <f aca="false">IF(OR(V746="",NOT(ISNUMBER(V746))),"",V746*$D$3^2/2*$F$3)</f>
        <v/>
      </c>
      <c r="AG746" s="19" t="str">
        <f aca="false">IF(OR(W746="",NOT(ISNUMBER(W746))),"",W746*$D$3^2/(2*$H$3))</f>
        <v/>
      </c>
      <c r="AH746" s="20" t="str">
        <f aca="false">IF(OR(W746="",NOT(ISNUMBER(W746))),"",W746*$D$3^2/2*$F$3)</f>
        <v/>
      </c>
    </row>
    <row r="747" customFormat="false" ht="15" hidden="false" customHeight="false" outlineLevel="0" collapsed="false">
      <c r="A747" s="10" t="s">
        <v>1612</v>
      </c>
      <c r="B747" s="23" t="s">
        <v>1273</v>
      </c>
      <c r="C747" s="6" t="s">
        <v>925</v>
      </c>
      <c r="D747" s="6" t="s">
        <v>1613</v>
      </c>
      <c r="E747" s="6" t="s">
        <v>1607</v>
      </c>
      <c r="F747" s="6" t="s">
        <v>86</v>
      </c>
      <c r="G747" s="6" t="n">
        <v>90</v>
      </c>
      <c r="H747" s="6"/>
      <c r="I747" s="6"/>
      <c r="J747" s="6" t="n">
        <v>16</v>
      </c>
      <c r="K747" s="6" t="s">
        <v>1276</v>
      </c>
      <c r="L747" s="6"/>
      <c r="M747" s="6"/>
      <c r="N747" s="12" t="n">
        <v>73.6</v>
      </c>
      <c r="O747" s="12" t="n">
        <v>73.6</v>
      </c>
      <c r="P747" s="12"/>
      <c r="Q747" s="12"/>
      <c r="R747" s="14" t="n">
        <v>0.018</v>
      </c>
      <c r="S747" s="6"/>
      <c r="T747" s="6"/>
      <c r="U747" s="14"/>
      <c r="V747" s="14"/>
      <c r="W747" s="14"/>
      <c r="X747" s="10" t="s">
        <v>87</v>
      </c>
      <c r="Y747" s="16"/>
      <c r="Z747" s="17" t="s">
        <v>48</v>
      </c>
      <c r="AA747" s="6"/>
      <c r="AB747" s="18" t="n">
        <f aca="false">IF(O747="","",$D$3*PI()*(O747/1000)^2/4*3600)</f>
        <v>22.9741403500662</v>
      </c>
      <c r="AC747" s="19" t="str">
        <f aca="false">IF(OR(U747="",NOT(ISNUMBER(U747))),"",U747*$D$3^2/(2*$H$3))</f>
        <v/>
      </c>
      <c r="AD747" s="20" t="str">
        <f aca="false">IF(OR(U747="",NOT(ISNUMBER(U747))),"",U747*$D$3^2/2*$F$3)</f>
        <v/>
      </c>
      <c r="AE747" s="19" t="str">
        <f aca="false">IF(OR(V747="",NOT(ISNUMBER(V747))),"",V747*$D$3^2/(2*$H$3))</f>
        <v/>
      </c>
      <c r="AF747" s="20" t="str">
        <f aca="false">IF(OR(V747="",NOT(ISNUMBER(V747))),"",V747*$D$3^2/2*$F$3)</f>
        <v/>
      </c>
      <c r="AG747" s="19" t="str">
        <f aca="false">IF(OR(W747="",NOT(ISNUMBER(W747))),"",W747*$D$3^2/(2*$H$3))</f>
        <v/>
      </c>
      <c r="AH747" s="20" t="str">
        <f aca="false">IF(OR(W747="",NOT(ISNUMBER(W747))),"",W747*$D$3^2/2*$F$3)</f>
        <v/>
      </c>
    </row>
    <row r="748" customFormat="false" ht="15" hidden="false" customHeight="false" outlineLevel="0" collapsed="false">
      <c r="A748" s="10" t="s">
        <v>1614</v>
      </c>
      <c r="B748" s="23" t="s">
        <v>1273</v>
      </c>
      <c r="C748" s="6" t="s">
        <v>925</v>
      </c>
      <c r="D748" s="6" t="s">
        <v>1615</v>
      </c>
      <c r="E748" s="6" t="s">
        <v>1607</v>
      </c>
      <c r="F748" s="6" t="s">
        <v>86</v>
      </c>
      <c r="G748" s="6" t="n">
        <v>110</v>
      </c>
      <c r="H748" s="6"/>
      <c r="I748" s="6"/>
      <c r="J748" s="6" t="n">
        <v>16</v>
      </c>
      <c r="K748" s="6" t="s">
        <v>1276</v>
      </c>
      <c r="L748" s="6"/>
      <c r="M748" s="6"/>
      <c r="N748" s="12" t="n">
        <v>90</v>
      </c>
      <c r="O748" s="12" t="n">
        <v>90</v>
      </c>
      <c r="P748" s="12"/>
      <c r="Q748" s="12"/>
      <c r="R748" s="14" t="n">
        <v>0.017</v>
      </c>
      <c r="S748" s="6"/>
      <c r="T748" s="6"/>
      <c r="U748" s="14"/>
      <c r="V748" s="14"/>
      <c r="W748" s="14"/>
      <c r="X748" s="10" t="s">
        <v>87</v>
      </c>
      <c r="Y748" s="16"/>
      <c r="Z748" s="17" t="s">
        <v>48</v>
      </c>
      <c r="AA748" s="6"/>
      <c r="AB748" s="18" t="n">
        <f aca="false">IF(O748="","",$D$3*PI()*(O748/1000)^2/4*3600)</f>
        <v>34.3533156670044</v>
      </c>
      <c r="AC748" s="19" t="str">
        <f aca="false">IF(OR(U748="",NOT(ISNUMBER(U748))),"",U748*$D$3^2/(2*$H$3))</f>
        <v/>
      </c>
      <c r="AD748" s="20" t="str">
        <f aca="false">IF(OR(U748="",NOT(ISNUMBER(U748))),"",U748*$D$3^2/2*$F$3)</f>
        <v/>
      </c>
      <c r="AE748" s="19" t="str">
        <f aca="false">IF(OR(V748="",NOT(ISNUMBER(V748))),"",V748*$D$3^2/(2*$H$3))</f>
        <v/>
      </c>
      <c r="AF748" s="20" t="str">
        <f aca="false">IF(OR(V748="",NOT(ISNUMBER(V748))),"",V748*$D$3^2/2*$F$3)</f>
        <v/>
      </c>
      <c r="AG748" s="19" t="str">
        <f aca="false">IF(OR(W748="",NOT(ISNUMBER(W748))),"",W748*$D$3^2/(2*$H$3))</f>
        <v/>
      </c>
      <c r="AH748" s="20" t="str">
        <f aca="false">IF(OR(W748="",NOT(ISNUMBER(W748))),"",W748*$D$3^2/2*$F$3)</f>
        <v/>
      </c>
    </row>
    <row r="749" customFormat="false" ht="15" hidden="false" customHeight="false" outlineLevel="0" collapsed="false">
      <c r="A749" s="10" t="s">
        <v>1616</v>
      </c>
      <c r="B749" s="23" t="s">
        <v>1273</v>
      </c>
      <c r="C749" s="6" t="s">
        <v>925</v>
      </c>
      <c r="D749" s="6" t="s">
        <v>1617</v>
      </c>
      <c r="E749" s="6" t="s">
        <v>1607</v>
      </c>
      <c r="F749" s="6" t="s">
        <v>86</v>
      </c>
      <c r="G749" s="6" t="n">
        <v>125</v>
      </c>
      <c r="H749" s="6"/>
      <c r="I749" s="6"/>
      <c r="J749" s="6" t="n">
        <v>16</v>
      </c>
      <c r="K749" s="6" t="s">
        <v>1276</v>
      </c>
      <c r="L749" s="6"/>
      <c r="M749" s="6"/>
      <c r="N749" s="12" t="n">
        <v>102.2</v>
      </c>
      <c r="O749" s="12" t="n">
        <v>102.2</v>
      </c>
      <c r="P749" s="12"/>
      <c r="Q749" s="12"/>
      <c r="R749" s="14" t="n">
        <v>0.016</v>
      </c>
      <c r="S749" s="6"/>
      <c r="T749" s="6"/>
      <c r="U749" s="14"/>
      <c r="V749" s="14"/>
      <c r="W749" s="14"/>
      <c r="X749" s="10" t="s">
        <v>87</v>
      </c>
      <c r="Y749" s="16"/>
      <c r="Z749" s="17" t="s">
        <v>48</v>
      </c>
      <c r="AA749" s="6"/>
      <c r="AB749" s="18" t="n">
        <f aca="false">IF(O749="","",$D$3*PI()*(O749/1000)^2/4*3600)</f>
        <v>44.2981340260931</v>
      </c>
      <c r="AC749" s="19" t="str">
        <f aca="false">IF(OR(U749="",NOT(ISNUMBER(U749))),"",U749*$D$3^2/(2*$H$3))</f>
        <v/>
      </c>
      <c r="AD749" s="20" t="str">
        <f aca="false">IF(OR(U749="",NOT(ISNUMBER(U749))),"",U749*$D$3^2/2*$F$3)</f>
        <v/>
      </c>
      <c r="AE749" s="19" t="str">
        <f aca="false">IF(OR(V749="",NOT(ISNUMBER(V749))),"",V749*$D$3^2/(2*$H$3))</f>
        <v/>
      </c>
      <c r="AF749" s="20" t="str">
        <f aca="false">IF(OR(V749="",NOT(ISNUMBER(V749))),"",V749*$D$3^2/2*$F$3)</f>
        <v/>
      </c>
      <c r="AG749" s="19" t="str">
        <f aca="false">IF(OR(W749="",NOT(ISNUMBER(W749))),"",W749*$D$3^2/(2*$H$3))</f>
        <v/>
      </c>
      <c r="AH749" s="20" t="str">
        <f aca="false">IF(OR(W749="",NOT(ISNUMBER(W749))),"",W749*$D$3^2/2*$F$3)</f>
        <v/>
      </c>
    </row>
    <row r="750" customFormat="false" ht="15" hidden="false" customHeight="false" outlineLevel="0" collapsed="false">
      <c r="A750" s="10" t="s">
        <v>1618</v>
      </c>
      <c r="B750" s="23" t="s">
        <v>1273</v>
      </c>
      <c r="C750" s="6" t="s">
        <v>925</v>
      </c>
      <c r="D750" s="6" t="s">
        <v>1619</v>
      </c>
      <c r="E750" s="6" t="s">
        <v>1607</v>
      </c>
      <c r="F750" s="6" t="s">
        <v>86</v>
      </c>
      <c r="G750" s="6" t="n">
        <v>140</v>
      </c>
      <c r="H750" s="6"/>
      <c r="I750" s="6"/>
      <c r="J750" s="6" t="n">
        <v>16</v>
      </c>
      <c r="K750" s="6" t="s">
        <v>1276</v>
      </c>
      <c r="L750" s="6"/>
      <c r="M750" s="6"/>
      <c r="N750" s="12" t="n">
        <v>114.6</v>
      </c>
      <c r="O750" s="12" t="n">
        <v>114.6</v>
      </c>
      <c r="P750" s="12"/>
      <c r="Q750" s="12"/>
      <c r="R750" s="14" t="n">
        <v>0.016</v>
      </c>
      <c r="S750" s="6"/>
      <c r="T750" s="6"/>
      <c r="U750" s="14"/>
      <c r="V750" s="14"/>
      <c r="W750" s="14"/>
      <c r="X750" s="10" t="s">
        <v>87</v>
      </c>
      <c r="Y750" s="16"/>
      <c r="Z750" s="17" t="s">
        <v>48</v>
      </c>
      <c r="AA750" s="6"/>
      <c r="AB750" s="18" t="n">
        <f aca="false">IF(O750="","",$D$3*PI()*(O750/1000)^2/4*3600)</f>
        <v>55.6997026154661</v>
      </c>
      <c r="AC750" s="19" t="str">
        <f aca="false">IF(OR(U750="",NOT(ISNUMBER(U750))),"",U750*$D$3^2/(2*$H$3))</f>
        <v/>
      </c>
      <c r="AD750" s="20" t="str">
        <f aca="false">IF(OR(U750="",NOT(ISNUMBER(U750))),"",U750*$D$3^2/2*$F$3)</f>
        <v/>
      </c>
      <c r="AE750" s="19" t="str">
        <f aca="false">IF(OR(V750="",NOT(ISNUMBER(V750))),"",V750*$D$3^2/(2*$H$3))</f>
        <v/>
      </c>
      <c r="AF750" s="20" t="str">
        <f aca="false">IF(OR(V750="",NOT(ISNUMBER(V750))),"",V750*$D$3^2/2*$F$3)</f>
        <v/>
      </c>
      <c r="AG750" s="19" t="str">
        <f aca="false">IF(OR(W750="",NOT(ISNUMBER(W750))),"",W750*$D$3^2/(2*$H$3))</f>
        <v/>
      </c>
      <c r="AH750" s="20" t="str">
        <f aca="false">IF(OR(W750="",NOT(ISNUMBER(W750))),"",W750*$D$3^2/2*$F$3)</f>
        <v/>
      </c>
    </row>
    <row r="751" customFormat="false" ht="15" hidden="false" customHeight="false" outlineLevel="0" collapsed="false">
      <c r="A751" s="10" t="s">
        <v>1620</v>
      </c>
      <c r="B751" s="23" t="s">
        <v>1273</v>
      </c>
      <c r="C751" s="6" t="s">
        <v>925</v>
      </c>
      <c r="D751" s="6" t="s">
        <v>1621</v>
      </c>
      <c r="E751" s="6" t="s">
        <v>1607</v>
      </c>
      <c r="F751" s="6" t="s">
        <v>86</v>
      </c>
      <c r="G751" s="6" t="n">
        <v>160</v>
      </c>
      <c r="H751" s="6"/>
      <c r="I751" s="6"/>
      <c r="J751" s="6" t="n">
        <v>16</v>
      </c>
      <c r="K751" s="6" t="s">
        <v>1276</v>
      </c>
      <c r="L751" s="6"/>
      <c r="M751" s="6"/>
      <c r="N751" s="12" t="n">
        <v>130.8</v>
      </c>
      <c r="O751" s="12" t="n">
        <v>130.8</v>
      </c>
      <c r="P751" s="12"/>
      <c r="Q751" s="12"/>
      <c r="R751" s="14" t="n">
        <v>0.015</v>
      </c>
      <c r="S751" s="6"/>
      <c r="T751" s="6"/>
      <c r="U751" s="14"/>
      <c r="V751" s="14"/>
      <c r="W751" s="14"/>
      <c r="X751" s="10" t="s">
        <v>87</v>
      </c>
      <c r="Y751" s="16"/>
      <c r="Z751" s="17" t="s">
        <v>48</v>
      </c>
      <c r="AA751" s="6"/>
      <c r="AB751" s="18" t="n">
        <f aca="false">IF(O751="","",$D$3*PI()*(O751/1000)^2/4*3600)</f>
        <v>72.5603099448318</v>
      </c>
      <c r="AC751" s="19" t="str">
        <f aca="false">IF(OR(U751="",NOT(ISNUMBER(U751))),"",U751*$D$3^2/(2*$H$3))</f>
        <v/>
      </c>
      <c r="AD751" s="20" t="str">
        <f aca="false">IF(OR(U751="",NOT(ISNUMBER(U751))),"",U751*$D$3^2/2*$F$3)</f>
        <v/>
      </c>
      <c r="AE751" s="19" t="str">
        <f aca="false">IF(OR(V751="",NOT(ISNUMBER(V751))),"",V751*$D$3^2/(2*$H$3))</f>
        <v/>
      </c>
      <c r="AF751" s="20" t="str">
        <f aca="false">IF(OR(V751="",NOT(ISNUMBER(V751))),"",V751*$D$3^2/2*$F$3)</f>
        <v/>
      </c>
      <c r="AG751" s="19" t="str">
        <f aca="false">IF(OR(W751="",NOT(ISNUMBER(W751))),"",W751*$D$3^2/(2*$H$3))</f>
        <v/>
      </c>
      <c r="AH751" s="20" t="str">
        <f aca="false">IF(OR(W751="",NOT(ISNUMBER(W751))),"",W751*$D$3^2/2*$F$3)</f>
        <v/>
      </c>
    </row>
    <row r="752" customFormat="false" ht="15" hidden="false" customHeight="false" outlineLevel="0" collapsed="false">
      <c r="A752" s="10" t="s">
        <v>1622</v>
      </c>
      <c r="B752" s="23" t="s">
        <v>1273</v>
      </c>
      <c r="C752" s="6" t="s">
        <v>925</v>
      </c>
      <c r="D752" s="6" t="s">
        <v>1623</v>
      </c>
      <c r="E752" s="6" t="s">
        <v>1607</v>
      </c>
      <c r="F752" s="6" t="s">
        <v>86</v>
      </c>
      <c r="G752" s="6" t="n">
        <v>180</v>
      </c>
      <c r="H752" s="6"/>
      <c r="I752" s="6"/>
      <c r="J752" s="6" t="n">
        <v>16</v>
      </c>
      <c r="K752" s="6" t="s">
        <v>1276</v>
      </c>
      <c r="L752" s="6"/>
      <c r="M752" s="6"/>
      <c r="N752" s="12" t="n">
        <v>147.2</v>
      </c>
      <c r="O752" s="12" t="n">
        <v>147.2</v>
      </c>
      <c r="P752" s="12"/>
      <c r="Q752" s="12"/>
      <c r="R752" s="14" t="n">
        <v>0.015</v>
      </c>
      <c r="S752" s="6"/>
      <c r="T752" s="6"/>
      <c r="U752" s="14"/>
      <c r="V752" s="14"/>
      <c r="W752" s="14"/>
      <c r="X752" s="10" t="s">
        <v>87</v>
      </c>
      <c r="Y752" s="16"/>
      <c r="Z752" s="17" t="s">
        <v>48</v>
      </c>
      <c r="AA752" s="6"/>
      <c r="AB752" s="18" t="n">
        <f aca="false">IF(O752="","",$D$3*PI()*(O752/1000)^2/4*3600)</f>
        <v>91.8965614002647</v>
      </c>
      <c r="AC752" s="19" t="str">
        <f aca="false">IF(OR(U752="",NOT(ISNUMBER(U752))),"",U752*$D$3^2/(2*$H$3))</f>
        <v/>
      </c>
      <c r="AD752" s="20" t="str">
        <f aca="false">IF(OR(U752="",NOT(ISNUMBER(U752))),"",U752*$D$3^2/2*$F$3)</f>
        <v/>
      </c>
      <c r="AE752" s="19" t="str">
        <f aca="false">IF(OR(V752="",NOT(ISNUMBER(V752))),"",V752*$D$3^2/(2*$H$3))</f>
        <v/>
      </c>
      <c r="AF752" s="20" t="str">
        <f aca="false">IF(OR(V752="",NOT(ISNUMBER(V752))),"",V752*$D$3^2/2*$F$3)</f>
        <v/>
      </c>
      <c r="AG752" s="19" t="str">
        <f aca="false">IF(OR(W752="",NOT(ISNUMBER(W752))),"",W752*$D$3^2/(2*$H$3))</f>
        <v/>
      </c>
      <c r="AH752" s="20" t="str">
        <f aca="false">IF(OR(W752="",NOT(ISNUMBER(W752))),"",W752*$D$3^2/2*$F$3)</f>
        <v/>
      </c>
    </row>
    <row r="753" customFormat="false" ht="15" hidden="false" customHeight="false" outlineLevel="0" collapsed="false">
      <c r="A753" s="10" t="s">
        <v>1624</v>
      </c>
      <c r="B753" s="23" t="s">
        <v>1273</v>
      </c>
      <c r="C753" s="6" t="s">
        <v>925</v>
      </c>
      <c r="D753" s="6" t="s">
        <v>1625</v>
      </c>
      <c r="E753" s="6" t="s">
        <v>1607</v>
      </c>
      <c r="F753" s="6" t="s">
        <v>86</v>
      </c>
      <c r="G753" s="6" t="n">
        <v>200</v>
      </c>
      <c r="H753" s="6"/>
      <c r="I753" s="6"/>
      <c r="J753" s="6" t="n">
        <v>16</v>
      </c>
      <c r="K753" s="6" t="s">
        <v>1276</v>
      </c>
      <c r="L753" s="6"/>
      <c r="M753" s="6"/>
      <c r="N753" s="12" t="n">
        <v>163.6</v>
      </c>
      <c r="O753" s="12" t="n">
        <v>163.6</v>
      </c>
      <c r="P753" s="12"/>
      <c r="Q753" s="12"/>
      <c r="R753" s="14" t="n">
        <v>0.014</v>
      </c>
      <c r="S753" s="6"/>
      <c r="T753" s="6"/>
      <c r="U753" s="14"/>
      <c r="V753" s="14"/>
      <c r="W753" s="14"/>
      <c r="X753" s="10" t="s">
        <v>87</v>
      </c>
      <c r="Y753" s="16"/>
      <c r="Z753" s="17" t="s">
        <v>48</v>
      </c>
      <c r="AA753" s="6"/>
      <c r="AB753" s="18" t="n">
        <f aca="false">IF(O753="","",$D$3*PI()*(O753/1000)^2/4*3600)</f>
        <v>113.514212307993</v>
      </c>
      <c r="AC753" s="19" t="str">
        <f aca="false">IF(OR(U753="",NOT(ISNUMBER(U753))),"",U753*$D$3^2/(2*$H$3))</f>
        <v/>
      </c>
      <c r="AD753" s="20" t="str">
        <f aca="false">IF(OR(U753="",NOT(ISNUMBER(U753))),"",U753*$D$3^2/2*$F$3)</f>
        <v/>
      </c>
      <c r="AE753" s="19" t="str">
        <f aca="false">IF(OR(V753="",NOT(ISNUMBER(V753))),"",V753*$D$3^2/(2*$H$3))</f>
        <v/>
      </c>
      <c r="AF753" s="20" t="str">
        <f aca="false">IF(OR(V753="",NOT(ISNUMBER(V753))),"",V753*$D$3^2/2*$F$3)</f>
        <v/>
      </c>
      <c r="AG753" s="19" t="str">
        <f aca="false">IF(OR(W753="",NOT(ISNUMBER(W753))),"",W753*$D$3^2/(2*$H$3))</f>
        <v/>
      </c>
      <c r="AH753" s="20" t="str">
        <f aca="false">IF(OR(W753="",NOT(ISNUMBER(W753))),"",W753*$D$3^2/2*$F$3)</f>
        <v/>
      </c>
    </row>
    <row r="754" customFormat="false" ht="15" hidden="false" customHeight="false" outlineLevel="0" collapsed="false">
      <c r="A754" s="10" t="s">
        <v>1626</v>
      </c>
      <c r="B754" s="23" t="s">
        <v>1273</v>
      </c>
      <c r="C754" s="6" t="s">
        <v>925</v>
      </c>
      <c r="D754" s="6" t="s">
        <v>1627</v>
      </c>
      <c r="E754" s="6" t="s">
        <v>1607</v>
      </c>
      <c r="F754" s="6" t="s">
        <v>86</v>
      </c>
      <c r="G754" s="6" t="n">
        <v>225</v>
      </c>
      <c r="H754" s="6"/>
      <c r="I754" s="6"/>
      <c r="J754" s="6" t="n">
        <v>16</v>
      </c>
      <c r="K754" s="6" t="s">
        <v>1276</v>
      </c>
      <c r="L754" s="6"/>
      <c r="M754" s="6"/>
      <c r="N754" s="12" t="n">
        <v>184</v>
      </c>
      <c r="O754" s="12" t="n">
        <v>184</v>
      </c>
      <c r="P754" s="12"/>
      <c r="Q754" s="12"/>
      <c r="R754" s="14" t="n">
        <v>0.014</v>
      </c>
      <c r="S754" s="6"/>
      <c r="T754" s="6"/>
      <c r="U754" s="14"/>
      <c r="V754" s="14"/>
      <c r="W754" s="14"/>
      <c r="X754" s="10" t="s">
        <v>87</v>
      </c>
      <c r="Y754" s="16"/>
      <c r="Z754" s="17" t="s">
        <v>48</v>
      </c>
      <c r="AA754" s="6"/>
      <c r="AB754" s="18" t="n">
        <f aca="false">IF(O754="","",$D$3*PI()*(O754/1000)^2/4*3600)</f>
        <v>143.588377187914</v>
      </c>
      <c r="AC754" s="19" t="str">
        <f aca="false">IF(OR(U754="",NOT(ISNUMBER(U754))),"",U754*$D$3^2/(2*$H$3))</f>
        <v/>
      </c>
      <c r="AD754" s="20" t="str">
        <f aca="false">IF(OR(U754="",NOT(ISNUMBER(U754))),"",U754*$D$3^2/2*$F$3)</f>
        <v/>
      </c>
      <c r="AE754" s="19" t="str">
        <f aca="false">IF(OR(V754="",NOT(ISNUMBER(V754))),"",V754*$D$3^2/(2*$H$3))</f>
        <v/>
      </c>
      <c r="AF754" s="20" t="str">
        <f aca="false">IF(OR(V754="",NOT(ISNUMBER(V754))),"",V754*$D$3^2/2*$F$3)</f>
        <v/>
      </c>
      <c r="AG754" s="19" t="str">
        <f aca="false">IF(OR(W754="",NOT(ISNUMBER(W754))),"",W754*$D$3^2/(2*$H$3))</f>
        <v/>
      </c>
      <c r="AH754" s="20" t="str">
        <f aca="false">IF(OR(W754="",NOT(ISNUMBER(W754))),"",W754*$D$3^2/2*$F$3)</f>
        <v/>
      </c>
    </row>
    <row r="755" customFormat="false" ht="15" hidden="false" customHeight="false" outlineLevel="0" collapsed="false">
      <c r="A755" s="10" t="s">
        <v>1628</v>
      </c>
      <c r="B755" s="23" t="s">
        <v>1273</v>
      </c>
      <c r="C755" s="6" t="s">
        <v>925</v>
      </c>
      <c r="D755" s="6" t="s">
        <v>1629</v>
      </c>
      <c r="E755" s="6" t="s">
        <v>1607</v>
      </c>
      <c r="F755" s="6" t="s">
        <v>86</v>
      </c>
      <c r="G755" s="6" t="n">
        <v>250</v>
      </c>
      <c r="H755" s="6"/>
      <c r="I755" s="6"/>
      <c r="J755" s="6" t="n">
        <v>16</v>
      </c>
      <c r="K755" s="6" t="s">
        <v>1276</v>
      </c>
      <c r="L755" s="6"/>
      <c r="M755" s="6"/>
      <c r="N755" s="12" t="n">
        <v>204.6</v>
      </c>
      <c r="O755" s="12" t="n">
        <v>204.6</v>
      </c>
      <c r="P755" s="12"/>
      <c r="Q755" s="12"/>
      <c r="R755" s="14" t="n">
        <v>0.014</v>
      </c>
      <c r="S755" s="6"/>
      <c r="T755" s="6"/>
      <c r="U755" s="14"/>
      <c r="V755" s="14"/>
      <c r="W755" s="14"/>
      <c r="X755" s="10" t="s">
        <v>87</v>
      </c>
      <c r="Y755" s="16"/>
      <c r="Z755" s="17" t="s">
        <v>48</v>
      </c>
      <c r="AA755" s="6"/>
      <c r="AB755" s="18" t="n">
        <f aca="false">IF(O755="","",$D$3*PI()*(O755/1000)^2/4*3600)</f>
        <v>177.539462181108</v>
      </c>
      <c r="AC755" s="19" t="str">
        <f aca="false">IF(OR(U755="",NOT(ISNUMBER(U755))),"",U755*$D$3^2/(2*$H$3))</f>
        <v/>
      </c>
      <c r="AD755" s="20" t="str">
        <f aca="false">IF(OR(U755="",NOT(ISNUMBER(U755))),"",U755*$D$3^2/2*$F$3)</f>
        <v/>
      </c>
      <c r="AE755" s="19" t="str">
        <f aca="false">IF(OR(V755="",NOT(ISNUMBER(V755))),"",V755*$D$3^2/(2*$H$3))</f>
        <v/>
      </c>
      <c r="AF755" s="20" t="str">
        <f aca="false">IF(OR(V755="",NOT(ISNUMBER(V755))),"",V755*$D$3^2/2*$F$3)</f>
        <v/>
      </c>
      <c r="AG755" s="19" t="str">
        <f aca="false">IF(OR(W755="",NOT(ISNUMBER(W755))),"",W755*$D$3^2/(2*$H$3))</f>
        <v/>
      </c>
      <c r="AH755" s="20" t="str">
        <f aca="false">IF(OR(W755="",NOT(ISNUMBER(W755))),"",W755*$D$3^2/2*$F$3)</f>
        <v/>
      </c>
    </row>
    <row r="756" customFormat="false" ht="15" hidden="false" customHeight="false" outlineLevel="0" collapsed="false">
      <c r="A756" s="10" t="s">
        <v>1630</v>
      </c>
      <c r="B756" s="23" t="s">
        <v>1273</v>
      </c>
      <c r="C756" s="6" t="s">
        <v>925</v>
      </c>
      <c r="D756" s="6" t="s">
        <v>1631</v>
      </c>
      <c r="E756" s="6" t="s">
        <v>1607</v>
      </c>
      <c r="F756" s="6" t="s">
        <v>86</v>
      </c>
      <c r="G756" s="6" t="n">
        <v>280</v>
      </c>
      <c r="H756" s="6"/>
      <c r="I756" s="6"/>
      <c r="J756" s="6" t="n">
        <v>16</v>
      </c>
      <c r="K756" s="6" t="s">
        <v>1276</v>
      </c>
      <c r="L756" s="6"/>
      <c r="M756" s="6"/>
      <c r="N756" s="12" t="n">
        <v>229.2</v>
      </c>
      <c r="O756" s="12" t="n">
        <v>229.2</v>
      </c>
      <c r="P756" s="12"/>
      <c r="Q756" s="12"/>
      <c r="R756" s="14" t="n">
        <v>0.014</v>
      </c>
      <c r="S756" s="6"/>
      <c r="T756" s="6"/>
      <c r="U756" s="14"/>
      <c r="V756" s="14"/>
      <c r="W756" s="14"/>
      <c r="X756" s="10" t="s">
        <v>87</v>
      </c>
      <c r="Y756" s="16"/>
      <c r="Z756" s="17" t="s">
        <v>48</v>
      </c>
      <c r="AA756" s="6"/>
      <c r="AB756" s="18" t="n">
        <f aca="false">IF(O756="","",$D$3*PI()*(O756/1000)^2/4*3600)</f>
        <v>222.798810461864</v>
      </c>
      <c r="AC756" s="19" t="str">
        <f aca="false">IF(OR(U756="",NOT(ISNUMBER(U756))),"",U756*$D$3^2/(2*$H$3))</f>
        <v/>
      </c>
      <c r="AD756" s="20" t="str">
        <f aca="false">IF(OR(U756="",NOT(ISNUMBER(U756))),"",U756*$D$3^2/2*$F$3)</f>
        <v/>
      </c>
      <c r="AE756" s="19" t="str">
        <f aca="false">IF(OR(V756="",NOT(ISNUMBER(V756))),"",V756*$D$3^2/(2*$H$3))</f>
        <v/>
      </c>
      <c r="AF756" s="20" t="str">
        <f aca="false">IF(OR(V756="",NOT(ISNUMBER(V756))),"",V756*$D$3^2/2*$F$3)</f>
        <v/>
      </c>
      <c r="AG756" s="19" t="str">
        <f aca="false">IF(OR(W756="",NOT(ISNUMBER(W756))),"",W756*$D$3^2/(2*$H$3))</f>
        <v/>
      </c>
      <c r="AH756" s="20" t="str">
        <f aca="false">IF(OR(W756="",NOT(ISNUMBER(W756))),"",W756*$D$3^2/2*$F$3)</f>
        <v/>
      </c>
    </row>
    <row r="757" customFormat="false" ht="15" hidden="false" customHeight="false" outlineLevel="0" collapsed="false">
      <c r="A757" s="10" t="s">
        <v>1632</v>
      </c>
      <c r="B757" s="23" t="s">
        <v>1273</v>
      </c>
      <c r="C757" s="6" t="s">
        <v>925</v>
      </c>
      <c r="D757" s="6" t="s">
        <v>1633</v>
      </c>
      <c r="E757" s="6" t="s">
        <v>1607</v>
      </c>
      <c r="F757" s="6" t="s">
        <v>86</v>
      </c>
      <c r="G757" s="6" t="n">
        <v>315</v>
      </c>
      <c r="H757" s="6"/>
      <c r="I757" s="6"/>
      <c r="J757" s="6" t="n">
        <v>16</v>
      </c>
      <c r="K757" s="6" t="s">
        <v>1276</v>
      </c>
      <c r="L757" s="6"/>
      <c r="M757" s="6"/>
      <c r="N757" s="12" t="n">
        <v>257.8</v>
      </c>
      <c r="O757" s="12" t="n">
        <v>257.8</v>
      </c>
      <c r="P757" s="12"/>
      <c r="Q757" s="12"/>
      <c r="R757" s="14" t="n">
        <v>0.013</v>
      </c>
      <c r="S757" s="6"/>
      <c r="T757" s="6"/>
      <c r="U757" s="14"/>
      <c r="V757" s="14"/>
      <c r="W757" s="14"/>
      <c r="X757" s="10" t="s">
        <v>87</v>
      </c>
      <c r="Y757" s="16"/>
      <c r="Z757" s="17" t="s">
        <v>48</v>
      </c>
      <c r="AA757" s="6"/>
      <c r="AB757" s="18" t="n">
        <f aca="false">IF(O757="","",$D$3*PI()*(O757/1000)^2/4*3600)</f>
        <v>281.870397038799</v>
      </c>
      <c r="AC757" s="19" t="str">
        <f aca="false">IF(OR(U757="",NOT(ISNUMBER(U757))),"",U757*$D$3^2/(2*$H$3))</f>
        <v/>
      </c>
      <c r="AD757" s="20" t="str">
        <f aca="false">IF(OR(U757="",NOT(ISNUMBER(U757))),"",U757*$D$3^2/2*$F$3)</f>
        <v/>
      </c>
      <c r="AE757" s="19" t="str">
        <f aca="false">IF(OR(V757="",NOT(ISNUMBER(V757))),"",V757*$D$3^2/(2*$H$3))</f>
        <v/>
      </c>
      <c r="AF757" s="20" t="str">
        <f aca="false">IF(OR(V757="",NOT(ISNUMBER(V757))),"",V757*$D$3^2/2*$F$3)</f>
        <v/>
      </c>
      <c r="AG757" s="19" t="str">
        <f aca="false">IF(OR(W757="",NOT(ISNUMBER(W757))),"",W757*$D$3^2/(2*$H$3))</f>
        <v/>
      </c>
      <c r="AH757" s="20" t="str">
        <f aca="false">IF(OR(W757="",NOT(ISNUMBER(W757))),"",W757*$D$3^2/2*$F$3)</f>
        <v/>
      </c>
    </row>
    <row r="758" customFormat="false" ht="15" hidden="false" customHeight="false" outlineLevel="0" collapsed="false">
      <c r="A758" s="10" t="s">
        <v>1634</v>
      </c>
      <c r="B758" s="23" t="s">
        <v>1273</v>
      </c>
      <c r="C758" s="6" t="s">
        <v>925</v>
      </c>
      <c r="D758" s="6" t="s">
        <v>1635</v>
      </c>
      <c r="E758" s="6" t="s">
        <v>1636</v>
      </c>
      <c r="F758" s="6" t="s">
        <v>1637</v>
      </c>
      <c r="G758" s="6" t="n">
        <v>63</v>
      </c>
      <c r="H758" s="6"/>
      <c r="I758" s="6"/>
      <c r="J758" s="6" t="n">
        <v>10</v>
      </c>
      <c r="K758" s="6" t="s">
        <v>1276</v>
      </c>
      <c r="L758" s="6"/>
      <c r="M758" s="6"/>
      <c r="N758" s="12" t="n">
        <v>51.4</v>
      </c>
      <c r="O758" s="12" t="n">
        <v>51.4</v>
      </c>
      <c r="P758" s="12"/>
      <c r="Q758" s="12"/>
      <c r="R758" s="14" t="n">
        <v>0.019</v>
      </c>
      <c r="S758" s="6"/>
      <c r="T758" s="6"/>
      <c r="U758" s="14" t="n">
        <v>0</v>
      </c>
      <c r="V758" s="14"/>
      <c r="W758" s="14"/>
      <c r="X758" s="10" t="s">
        <v>929</v>
      </c>
      <c r="Y758" s="16"/>
      <c r="Z758" s="17" t="s">
        <v>48</v>
      </c>
      <c r="AA758" s="6" t="s">
        <v>1638</v>
      </c>
      <c r="AB758" s="18" t="n">
        <f aca="false">IF(O758="","",$D$3*PI()*(O758/1000)^2/4*3600)</f>
        <v>11.2049488715554</v>
      </c>
      <c r="AC758" s="19" t="n">
        <f aca="false">IF(OR(U758="",NOT(ISNUMBER(U758))),"",U758*$D$3^2/(2*$H$3))</f>
        <v>0</v>
      </c>
      <c r="AD758" s="20" t="n">
        <f aca="false">IF(OR(U758="",NOT(ISNUMBER(U758))),"",U758*$D$3^2/2*$F$3)</f>
        <v>0</v>
      </c>
      <c r="AE758" s="19" t="str">
        <f aca="false">IF(OR(V758="",NOT(ISNUMBER(V758))),"",V758*$D$3^2/(2*$H$3))</f>
        <v/>
      </c>
      <c r="AF758" s="20" t="str">
        <f aca="false">IF(OR(V758="",NOT(ISNUMBER(V758))),"",V758*$D$3^2/2*$F$3)</f>
        <v/>
      </c>
      <c r="AG758" s="19" t="str">
        <f aca="false">IF(OR(W758="",NOT(ISNUMBER(W758))),"",W758*$D$3^2/(2*$H$3))</f>
        <v/>
      </c>
      <c r="AH758" s="20" t="str">
        <f aca="false">IF(OR(W758="",NOT(ISNUMBER(W758))),"",W758*$D$3^2/2*$F$3)</f>
        <v/>
      </c>
    </row>
    <row r="759" customFormat="false" ht="15" hidden="false" customHeight="false" outlineLevel="0" collapsed="false">
      <c r="A759" s="10" t="s">
        <v>1639</v>
      </c>
      <c r="B759" s="23" t="s">
        <v>1273</v>
      </c>
      <c r="C759" s="6" t="s">
        <v>925</v>
      </c>
      <c r="D759" s="6" t="s">
        <v>1640</v>
      </c>
      <c r="E759" s="6" t="s">
        <v>1636</v>
      </c>
      <c r="F759" s="6" t="s">
        <v>1637</v>
      </c>
      <c r="G759" s="6" t="n">
        <v>75</v>
      </c>
      <c r="H759" s="6"/>
      <c r="I759" s="6"/>
      <c r="J759" s="6" t="n">
        <v>10</v>
      </c>
      <c r="K759" s="6" t="s">
        <v>1276</v>
      </c>
      <c r="L759" s="6"/>
      <c r="M759" s="6"/>
      <c r="N759" s="12" t="n">
        <v>61.4</v>
      </c>
      <c r="O759" s="12" t="n">
        <v>61.4</v>
      </c>
      <c r="P759" s="12"/>
      <c r="Q759" s="12"/>
      <c r="R759" s="14" t="n">
        <v>0.018</v>
      </c>
      <c r="S759" s="6"/>
      <c r="T759" s="6"/>
      <c r="U759" s="14" t="n">
        <v>0</v>
      </c>
      <c r="V759" s="14"/>
      <c r="W759" s="14"/>
      <c r="X759" s="10" t="s">
        <v>929</v>
      </c>
      <c r="Y759" s="16"/>
      <c r="Z759" s="17" t="s">
        <v>48</v>
      </c>
      <c r="AA759" s="6" t="s">
        <v>1638</v>
      </c>
      <c r="AB759" s="18" t="n">
        <f aca="false">IF(O759="","",$D$3*PI()*(O759/1000)^2/4*3600)</f>
        <v>15.988966164442</v>
      </c>
      <c r="AC759" s="19" t="n">
        <f aca="false">IF(OR(U759="",NOT(ISNUMBER(U759))),"",U759*$D$3^2/(2*$H$3))</f>
        <v>0</v>
      </c>
      <c r="AD759" s="20" t="n">
        <f aca="false">IF(OR(U759="",NOT(ISNUMBER(U759))),"",U759*$D$3^2/2*$F$3)</f>
        <v>0</v>
      </c>
      <c r="AE759" s="19" t="str">
        <f aca="false">IF(OR(V759="",NOT(ISNUMBER(V759))),"",V759*$D$3^2/(2*$H$3))</f>
        <v/>
      </c>
      <c r="AF759" s="20" t="str">
        <f aca="false">IF(OR(V759="",NOT(ISNUMBER(V759))),"",V759*$D$3^2/2*$F$3)</f>
        <v/>
      </c>
      <c r="AG759" s="19" t="str">
        <f aca="false">IF(OR(W759="",NOT(ISNUMBER(W759))),"",W759*$D$3^2/(2*$H$3))</f>
        <v/>
      </c>
      <c r="AH759" s="20" t="str">
        <f aca="false">IF(OR(W759="",NOT(ISNUMBER(W759))),"",W759*$D$3^2/2*$F$3)</f>
        <v/>
      </c>
    </row>
    <row r="760" customFormat="false" ht="15" hidden="false" customHeight="false" outlineLevel="0" collapsed="false">
      <c r="A760" s="10" t="s">
        <v>1641</v>
      </c>
      <c r="B760" s="23" t="s">
        <v>1273</v>
      </c>
      <c r="C760" s="6" t="s">
        <v>925</v>
      </c>
      <c r="D760" s="6" t="s">
        <v>1642</v>
      </c>
      <c r="E760" s="6" t="s">
        <v>1636</v>
      </c>
      <c r="F760" s="6" t="s">
        <v>1637</v>
      </c>
      <c r="G760" s="6" t="n">
        <v>90</v>
      </c>
      <c r="H760" s="6"/>
      <c r="I760" s="6"/>
      <c r="J760" s="6" t="n">
        <v>10</v>
      </c>
      <c r="K760" s="6" t="s">
        <v>1276</v>
      </c>
      <c r="L760" s="6"/>
      <c r="M760" s="6"/>
      <c r="N760" s="12" t="n">
        <v>73.6</v>
      </c>
      <c r="O760" s="12" t="n">
        <v>73.6</v>
      </c>
      <c r="P760" s="12"/>
      <c r="Q760" s="12"/>
      <c r="R760" s="14" t="n">
        <v>0.018</v>
      </c>
      <c r="S760" s="6"/>
      <c r="T760" s="6"/>
      <c r="U760" s="14" t="n">
        <v>0</v>
      </c>
      <c r="V760" s="14"/>
      <c r="W760" s="14"/>
      <c r="X760" s="10" t="s">
        <v>929</v>
      </c>
      <c r="Y760" s="16"/>
      <c r="Z760" s="17" t="s">
        <v>48</v>
      </c>
      <c r="AA760" s="6" t="s">
        <v>1638</v>
      </c>
      <c r="AB760" s="18" t="n">
        <f aca="false">IF(O760="","",$D$3*PI()*(O760/1000)^2/4*3600)</f>
        <v>22.9741403500662</v>
      </c>
      <c r="AC760" s="19" t="n">
        <f aca="false">IF(OR(U760="",NOT(ISNUMBER(U760))),"",U760*$D$3^2/(2*$H$3))</f>
        <v>0</v>
      </c>
      <c r="AD760" s="20" t="n">
        <f aca="false">IF(OR(U760="",NOT(ISNUMBER(U760))),"",U760*$D$3^2/2*$F$3)</f>
        <v>0</v>
      </c>
      <c r="AE760" s="19" t="str">
        <f aca="false">IF(OR(V760="",NOT(ISNUMBER(V760))),"",V760*$D$3^2/(2*$H$3))</f>
        <v/>
      </c>
      <c r="AF760" s="20" t="str">
        <f aca="false">IF(OR(V760="",NOT(ISNUMBER(V760))),"",V760*$D$3^2/2*$F$3)</f>
        <v/>
      </c>
      <c r="AG760" s="19" t="str">
        <f aca="false">IF(OR(W760="",NOT(ISNUMBER(W760))),"",W760*$D$3^2/(2*$H$3))</f>
        <v/>
      </c>
      <c r="AH760" s="20" t="str">
        <f aca="false">IF(OR(W760="",NOT(ISNUMBER(W760))),"",W760*$D$3^2/2*$F$3)</f>
        <v/>
      </c>
    </row>
    <row r="761" customFormat="false" ht="15" hidden="false" customHeight="false" outlineLevel="0" collapsed="false">
      <c r="A761" s="10" t="s">
        <v>1643</v>
      </c>
      <c r="B761" s="23" t="s">
        <v>1273</v>
      </c>
      <c r="C761" s="6" t="s">
        <v>925</v>
      </c>
      <c r="D761" s="6" t="s">
        <v>1644</v>
      </c>
      <c r="E761" s="6" t="s">
        <v>1636</v>
      </c>
      <c r="F761" s="6" t="s">
        <v>1637</v>
      </c>
      <c r="G761" s="6" t="n">
        <v>110</v>
      </c>
      <c r="H761" s="6"/>
      <c r="I761" s="6"/>
      <c r="J761" s="6" t="n">
        <v>10</v>
      </c>
      <c r="K761" s="6" t="s">
        <v>1276</v>
      </c>
      <c r="L761" s="6"/>
      <c r="M761" s="6"/>
      <c r="N761" s="12" t="n">
        <v>90</v>
      </c>
      <c r="O761" s="12" t="n">
        <v>90</v>
      </c>
      <c r="P761" s="12"/>
      <c r="Q761" s="12"/>
      <c r="R761" s="14" t="n">
        <v>0.017</v>
      </c>
      <c r="S761" s="6"/>
      <c r="T761" s="6"/>
      <c r="U761" s="14" t="n">
        <v>0</v>
      </c>
      <c r="V761" s="14"/>
      <c r="W761" s="14"/>
      <c r="X761" s="10" t="s">
        <v>929</v>
      </c>
      <c r="Y761" s="16"/>
      <c r="Z761" s="17" t="s">
        <v>48</v>
      </c>
      <c r="AA761" s="6" t="s">
        <v>1638</v>
      </c>
      <c r="AB761" s="18" t="n">
        <f aca="false">IF(O761="","",$D$3*PI()*(O761/1000)^2/4*3600)</f>
        <v>34.3533156670044</v>
      </c>
      <c r="AC761" s="19" t="n">
        <f aca="false">IF(OR(U761="",NOT(ISNUMBER(U761))),"",U761*$D$3^2/(2*$H$3))</f>
        <v>0</v>
      </c>
      <c r="AD761" s="20" t="n">
        <f aca="false">IF(OR(U761="",NOT(ISNUMBER(U761))),"",U761*$D$3^2/2*$F$3)</f>
        <v>0</v>
      </c>
      <c r="AE761" s="19" t="str">
        <f aca="false">IF(OR(V761="",NOT(ISNUMBER(V761))),"",V761*$D$3^2/(2*$H$3))</f>
        <v/>
      </c>
      <c r="AF761" s="20" t="str">
        <f aca="false">IF(OR(V761="",NOT(ISNUMBER(V761))),"",V761*$D$3^2/2*$F$3)</f>
        <v/>
      </c>
      <c r="AG761" s="19" t="str">
        <f aca="false">IF(OR(W761="",NOT(ISNUMBER(W761))),"",W761*$D$3^2/(2*$H$3))</f>
        <v/>
      </c>
      <c r="AH761" s="20" t="str">
        <f aca="false">IF(OR(W761="",NOT(ISNUMBER(W761))),"",W761*$D$3^2/2*$F$3)</f>
        <v/>
      </c>
    </row>
    <row r="762" customFormat="false" ht="15" hidden="false" customHeight="false" outlineLevel="0" collapsed="false">
      <c r="A762" s="10" t="s">
        <v>1645</v>
      </c>
      <c r="B762" s="23" t="s">
        <v>1273</v>
      </c>
      <c r="C762" s="6" t="s">
        <v>925</v>
      </c>
      <c r="D762" s="6" t="s">
        <v>1646</v>
      </c>
      <c r="E762" s="6" t="s">
        <v>1636</v>
      </c>
      <c r="F762" s="6" t="s">
        <v>1637</v>
      </c>
      <c r="G762" s="6" t="n">
        <v>125</v>
      </c>
      <c r="H762" s="6"/>
      <c r="I762" s="6"/>
      <c r="J762" s="6" t="n">
        <v>10</v>
      </c>
      <c r="K762" s="6" t="s">
        <v>1276</v>
      </c>
      <c r="L762" s="6"/>
      <c r="M762" s="6"/>
      <c r="N762" s="12" t="n">
        <v>102.2</v>
      </c>
      <c r="O762" s="12" t="n">
        <v>102.2</v>
      </c>
      <c r="P762" s="12"/>
      <c r="Q762" s="12"/>
      <c r="R762" s="14" t="n">
        <v>0.016</v>
      </c>
      <c r="S762" s="6"/>
      <c r="T762" s="6"/>
      <c r="U762" s="14" t="n">
        <v>0</v>
      </c>
      <c r="V762" s="14"/>
      <c r="W762" s="14"/>
      <c r="X762" s="10" t="s">
        <v>929</v>
      </c>
      <c r="Y762" s="16"/>
      <c r="Z762" s="17" t="s">
        <v>48</v>
      </c>
      <c r="AA762" s="6" t="s">
        <v>1638</v>
      </c>
      <c r="AB762" s="18" t="n">
        <f aca="false">IF(O762="","",$D$3*PI()*(O762/1000)^2/4*3600)</f>
        <v>44.2981340260931</v>
      </c>
      <c r="AC762" s="19" t="n">
        <f aca="false">IF(OR(U762="",NOT(ISNUMBER(U762))),"",U762*$D$3^2/(2*$H$3))</f>
        <v>0</v>
      </c>
      <c r="AD762" s="20" t="n">
        <f aca="false">IF(OR(U762="",NOT(ISNUMBER(U762))),"",U762*$D$3^2/2*$F$3)</f>
        <v>0</v>
      </c>
      <c r="AE762" s="19" t="str">
        <f aca="false">IF(OR(V762="",NOT(ISNUMBER(V762))),"",V762*$D$3^2/(2*$H$3))</f>
        <v/>
      </c>
      <c r="AF762" s="20" t="str">
        <f aca="false">IF(OR(V762="",NOT(ISNUMBER(V762))),"",V762*$D$3^2/2*$F$3)</f>
        <v/>
      </c>
      <c r="AG762" s="19" t="str">
        <f aca="false">IF(OR(W762="",NOT(ISNUMBER(W762))),"",W762*$D$3^2/(2*$H$3))</f>
        <v/>
      </c>
      <c r="AH762" s="20" t="str">
        <f aca="false">IF(OR(W762="",NOT(ISNUMBER(W762))),"",W762*$D$3^2/2*$F$3)</f>
        <v/>
      </c>
    </row>
    <row r="763" customFormat="false" ht="15" hidden="false" customHeight="false" outlineLevel="0" collapsed="false">
      <c r="A763" s="10" t="s">
        <v>1647</v>
      </c>
      <c r="B763" s="23" t="s">
        <v>1273</v>
      </c>
      <c r="C763" s="6" t="s">
        <v>925</v>
      </c>
      <c r="D763" s="6" t="s">
        <v>1648</v>
      </c>
      <c r="E763" s="6" t="s">
        <v>1636</v>
      </c>
      <c r="F763" s="6" t="s">
        <v>1637</v>
      </c>
      <c r="G763" s="6" t="n">
        <v>140</v>
      </c>
      <c r="H763" s="6"/>
      <c r="I763" s="6"/>
      <c r="J763" s="6" t="n">
        <v>10</v>
      </c>
      <c r="K763" s="6" t="s">
        <v>1276</v>
      </c>
      <c r="L763" s="6"/>
      <c r="M763" s="6"/>
      <c r="N763" s="12" t="n">
        <v>114.6</v>
      </c>
      <c r="O763" s="12" t="n">
        <v>114.6</v>
      </c>
      <c r="P763" s="12"/>
      <c r="Q763" s="12"/>
      <c r="R763" s="14" t="n">
        <v>0.016</v>
      </c>
      <c r="S763" s="6"/>
      <c r="T763" s="6"/>
      <c r="U763" s="14" t="n">
        <v>0</v>
      </c>
      <c r="V763" s="14"/>
      <c r="W763" s="14"/>
      <c r="X763" s="10" t="s">
        <v>929</v>
      </c>
      <c r="Y763" s="16"/>
      <c r="Z763" s="17" t="s">
        <v>48</v>
      </c>
      <c r="AA763" s="6" t="s">
        <v>1638</v>
      </c>
      <c r="AB763" s="18" t="n">
        <f aca="false">IF(O763="","",$D$3*PI()*(O763/1000)^2/4*3600)</f>
        <v>55.6997026154661</v>
      </c>
      <c r="AC763" s="19" t="n">
        <f aca="false">IF(OR(U763="",NOT(ISNUMBER(U763))),"",U763*$D$3^2/(2*$H$3))</f>
        <v>0</v>
      </c>
      <c r="AD763" s="20" t="n">
        <f aca="false">IF(OR(U763="",NOT(ISNUMBER(U763))),"",U763*$D$3^2/2*$F$3)</f>
        <v>0</v>
      </c>
      <c r="AE763" s="19" t="str">
        <f aca="false">IF(OR(V763="",NOT(ISNUMBER(V763))),"",V763*$D$3^2/(2*$H$3))</f>
        <v/>
      </c>
      <c r="AF763" s="20" t="str">
        <f aca="false">IF(OR(V763="",NOT(ISNUMBER(V763))),"",V763*$D$3^2/2*$F$3)</f>
        <v/>
      </c>
      <c r="AG763" s="19" t="str">
        <f aca="false">IF(OR(W763="",NOT(ISNUMBER(W763))),"",W763*$D$3^2/(2*$H$3))</f>
        <v/>
      </c>
      <c r="AH763" s="20" t="str">
        <f aca="false">IF(OR(W763="",NOT(ISNUMBER(W763))),"",W763*$D$3^2/2*$F$3)</f>
        <v/>
      </c>
    </row>
    <row r="764" customFormat="false" ht="15" hidden="false" customHeight="false" outlineLevel="0" collapsed="false">
      <c r="A764" s="10" t="s">
        <v>1649</v>
      </c>
      <c r="B764" s="23" t="s">
        <v>1273</v>
      </c>
      <c r="C764" s="6" t="s">
        <v>925</v>
      </c>
      <c r="D764" s="6" t="s">
        <v>1650</v>
      </c>
      <c r="E764" s="6" t="s">
        <v>1636</v>
      </c>
      <c r="F764" s="6" t="s">
        <v>1637</v>
      </c>
      <c r="G764" s="6" t="n">
        <v>160</v>
      </c>
      <c r="H764" s="6"/>
      <c r="I764" s="6"/>
      <c r="J764" s="6" t="n">
        <v>10</v>
      </c>
      <c r="K764" s="6" t="s">
        <v>1276</v>
      </c>
      <c r="L764" s="6"/>
      <c r="M764" s="6"/>
      <c r="N764" s="12" t="n">
        <v>130.8</v>
      </c>
      <c r="O764" s="12" t="n">
        <v>130.8</v>
      </c>
      <c r="P764" s="12"/>
      <c r="Q764" s="12"/>
      <c r="R764" s="14" t="n">
        <v>0.015</v>
      </c>
      <c r="S764" s="6"/>
      <c r="T764" s="6"/>
      <c r="U764" s="14" t="n">
        <v>0</v>
      </c>
      <c r="V764" s="14"/>
      <c r="W764" s="14"/>
      <c r="X764" s="10" t="s">
        <v>929</v>
      </c>
      <c r="Y764" s="16"/>
      <c r="Z764" s="17" t="s">
        <v>48</v>
      </c>
      <c r="AA764" s="6" t="s">
        <v>1638</v>
      </c>
      <c r="AB764" s="18" t="n">
        <f aca="false">IF(O764="","",$D$3*PI()*(O764/1000)^2/4*3600)</f>
        <v>72.5603099448318</v>
      </c>
      <c r="AC764" s="19" t="n">
        <f aca="false">IF(OR(U764="",NOT(ISNUMBER(U764))),"",U764*$D$3^2/(2*$H$3))</f>
        <v>0</v>
      </c>
      <c r="AD764" s="20" t="n">
        <f aca="false">IF(OR(U764="",NOT(ISNUMBER(U764))),"",U764*$D$3^2/2*$F$3)</f>
        <v>0</v>
      </c>
      <c r="AE764" s="19" t="str">
        <f aca="false">IF(OR(V764="",NOT(ISNUMBER(V764))),"",V764*$D$3^2/(2*$H$3))</f>
        <v/>
      </c>
      <c r="AF764" s="20" t="str">
        <f aca="false">IF(OR(V764="",NOT(ISNUMBER(V764))),"",V764*$D$3^2/2*$F$3)</f>
        <v/>
      </c>
      <c r="AG764" s="19" t="str">
        <f aca="false">IF(OR(W764="",NOT(ISNUMBER(W764))),"",W764*$D$3^2/(2*$H$3))</f>
        <v/>
      </c>
      <c r="AH764" s="20" t="str">
        <f aca="false">IF(OR(W764="",NOT(ISNUMBER(W764))),"",W764*$D$3^2/2*$F$3)</f>
        <v/>
      </c>
    </row>
    <row r="765" customFormat="false" ht="15" hidden="false" customHeight="false" outlineLevel="0" collapsed="false">
      <c r="A765" s="10" t="s">
        <v>1651</v>
      </c>
      <c r="B765" s="23" t="s">
        <v>1273</v>
      </c>
      <c r="C765" s="6" t="s">
        <v>925</v>
      </c>
      <c r="D765" s="6" t="s">
        <v>1652</v>
      </c>
      <c r="E765" s="6" t="s">
        <v>1636</v>
      </c>
      <c r="F765" s="6" t="s">
        <v>1637</v>
      </c>
      <c r="G765" s="6" t="n">
        <v>180</v>
      </c>
      <c r="H765" s="6"/>
      <c r="I765" s="6"/>
      <c r="J765" s="6" t="n">
        <v>10</v>
      </c>
      <c r="K765" s="6" t="s">
        <v>1276</v>
      </c>
      <c r="L765" s="6"/>
      <c r="M765" s="6"/>
      <c r="N765" s="12" t="n">
        <v>147.2</v>
      </c>
      <c r="O765" s="12" t="n">
        <v>147.2</v>
      </c>
      <c r="P765" s="12"/>
      <c r="Q765" s="12"/>
      <c r="R765" s="14" t="n">
        <v>0.015</v>
      </c>
      <c r="S765" s="6"/>
      <c r="T765" s="6"/>
      <c r="U765" s="14" t="n">
        <v>0</v>
      </c>
      <c r="V765" s="14"/>
      <c r="W765" s="14"/>
      <c r="X765" s="10" t="s">
        <v>929</v>
      </c>
      <c r="Y765" s="16"/>
      <c r="Z765" s="17" t="s">
        <v>48</v>
      </c>
      <c r="AA765" s="6" t="s">
        <v>1638</v>
      </c>
      <c r="AB765" s="18" t="n">
        <f aca="false">IF(O765="","",$D$3*PI()*(O765/1000)^2/4*3600)</f>
        <v>91.8965614002647</v>
      </c>
      <c r="AC765" s="19" t="n">
        <f aca="false">IF(OR(U765="",NOT(ISNUMBER(U765))),"",U765*$D$3^2/(2*$H$3))</f>
        <v>0</v>
      </c>
      <c r="AD765" s="20" t="n">
        <f aca="false">IF(OR(U765="",NOT(ISNUMBER(U765))),"",U765*$D$3^2/2*$F$3)</f>
        <v>0</v>
      </c>
      <c r="AE765" s="19" t="str">
        <f aca="false">IF(OR(V765="",NOT(ISNUMBER(V765))),"",V765*$D$3^2/(2*$H$3))</f>
        <v/>
      </c>
      <c r="AF765" s="20" t="str">
        <f aca="false">IF(OR(V765="",NOT(ISNUMBER(V765))),"",V765*$D$3^2/2*$F$3)</f>
        <v/>
      </c>
      <c r="AG765" s="19" t="str">
        <f aca="false">IF(OR(W765="",NOT(ISNUMBER(W765))),"",W765*$D$3^2/(2*$H$3))</f>
        <v/>
      </c>
      <c r="AH765" s="20" t="str">
        <f aca="false">IF(OR(W765="",NOT(ISNUMBER(W765))),"",W765*$D$3^2/2*$F$3)</f>
        <v/>
      </c>
    </row>
    <row r="766" customFormat="false" ht="15" hidden="false" customHeight="false" outlineLevel="0" collapsed="false">
      <c r="A766" s="10" t="s">
        <v>1653</v>
      </c>
      <c r="B766" s="23" t="s">
        <v>1273</v>
      </c>
      <c r="C766" s="6" t="s">
        <v>925</v>
      </c>
      <c r="D766" s="6" t="s">
        <v>1654</v>
      </c>
      <c r="E766" s="6" t="s">
        <v>1636</v>
      </c>
      <c r="F766" s="6" t="s">
        <v>1637</v>
      </c>
      <c r="G766" s="6" t="n">
        <v>200</v>
      </c>
      <c r="H766" s="6"/>
      <c r="I766" s="6"/>
      <c r="J766" s="6" t="n">
        <v>10</v>
      </c>
      <c r="K766" s="6" t="s">
        <v>1276</v>
      </c>
      <c r="L766" s="6"/>
      <c r="M766" s="6"/>
      <c r="N766" s="12" t="n">
        <v>163.6</v>
      </c>
      <c r="O766" s="12" t="n">
        <v>163.6</v>
      </c>
      <c r="P766" s="12"/>
      <c r="Q766" s="12"/>
      <c r="R766" s="14" t="n">
        <v>0.014</v>
      </c>
      <c r="S766" s="6"/>
      <c r="T766" s="6"/>
      <c r="U766" s="14" t="n">
        <v>0</v>
      </c>
      <c r="V766" s="14"/>
      <c r="W766" s="14"/>
      <c r="X766" s="10" t="s">
        <v>929</v>
      </c>
      <c r="Y766" s="16"/>
      <c r="Z766" s="17" t="s">
        <v>48</v>
      </c>
      <c r="AA766" s="6" t="s">
        <v>1638</v>
      </c>
      <c r="AB766" s="18" t="n">
        <f aca="false">IF(O766="","",$D$3*PI()*(O766/1000)^2/4*3600)</f>
        <v>113.514212307993</v>
      </c>
      <c r="AC766" s="19" t="n">
        <f aca="false">IF(OR(U766="",NOT(ISNUMBER(U766))),"",U766*$D$3^2/(2*$H$3))</f>
        <v>0</v>
      </c>
      <c r="AD766" s="20" t="n">
        <f aca="false">IF(OR(U766="",NOT(ISNUMBER(U766))),"",U766*$D$3^2/2*$F$3)</f>
        <v>0</v>
      </c>
      <c r="AE766" s="19" t="str">
        <f aca="false">IF(OR(V766="",NOT(ISNUMBER(V766))),"",V766*$D$3^2/(2*$H$3))</f>
        <v/>
      </c>
      <c r="AF766" s="20" t="str">
        <f aca="false">IF(OR(V766="",NOT(ISNUMBER(V766))),"",V766*$D$3^2/2*$F$3)</f>
        <v/>
      </c>
      <c r="AG766" s="19" t="str">
        <f aca="false">IF(OR(W766="",NOT(ISNUMBER(W766))),"",W766*$D$3^2/(2*$H$3))</f>
        <v/>
      </c>
      <c r="AH766" s="20" t="str">
        <f aca="false">IF(OR(W766="",NOT(ISNUMBER(W766))),"",W766*$D$3^2/2*$F$3)</f>
        <v/>
      </c>
    </row>
    <row r="767" customFormat="false" ht="15" hidden="false" customHeight="false" outlineLevel="0" collapsed="false">
      <c r="A767" s="10" t="s">
        <v>1655</v>
      </c>
      <c r="B767" s="23" t="s">
        <v>1273</v>
      </c>
      <c r="C767" s="6" t="s">
        <v>925</v>
      </c>
      <c r="D767" s="6" t="s">
        <v>1656</v>
      </c>
      <c r="E767" s="6" t="s">
        <v>1636</v>
      </c>
      <c r="F767" s="6" t="s">
        <v>1637</v>
      </c>
      <c r="G767" s="6" t="n">
        <v>225</v>
      </c>
      <c r="H767" s="6"/>
      <c r="I767" s="6"/>
      <c r="J767" s="6" t="n">
        <v>10</v>
      </c>
      <c r="K767" s="6" t="s">
        <v>1276</v>
      </c>
      <c r="L767" s="6"/>
      <c r="M767" s="6"/>
      <c r="N767" s="12" t="n">
        <v>184</v>
      </c>
      <c r="O767" s="12" t="n">
        <v>184</v>
      </c>
      <c r="P767" s="12"/>
      <c r="Q767" s="12"/>
      <c r="R767" s="14" t="n">
        <v>0.014</v>
      </c>
      <c r="S767" s="6"/>
      <c r="T767" s="6"/>
      <c r="U767" s="14" t="n">
        <v>0</v>
      </c>
      <c r="V767" s="14"/>
      <c r="W767" s="14"/>
      <c r="X767" s="10" t="s">
        <v>929</v>
      </c>
      <c r="Y767" s="16"/>
      <c r="Z767" s="17" t="s">
        <v>48</v>
      </c>
      <c r="AA767" s="6" t="s">
        <v>1638</v>
      </c>
      <c r="AB767" s="18" t="n">
        <f aca="false">IF(O767="","",$D$3*PI()*(O767/1000)^2/4*3600)</f>
        <v>143.588377187914</v>
      </c>
      <c r="AC767" s="19" t="n">
        <f aca="false">IF(OR(U767="",NOT(ISNUMBER(U767))),"",U767*$D$3^2/(2*$H$3))</f>
        <v>0</v>
      </c>
      <c r="AD767" s="20" t="n">
        <f aca="false">IF(OR(U767="",NOT(ISNUMBER(U767))),"",U767*$D$3^2/2*$F$3)</f>
        <v>0</v>
      </c>
      <c r="AE767" s="19" t="str">
        <f aca="false">IF(OR(V767="",NOT(ISNUMBER(V767))),"",V767*$D$3^2/(2*$H$3))</f>
        <v/>
      </c>
      <c r="AF767" s="20" t="str">
        <f aca="false">IF(OR(V767="",NOT(ISNUMBER(V767))),"",V767*$D$3^2/2*$F$3)</f>
        <v/>
      </c>
      <c r="AG767" s="19" t="str">
        <f aca="false">IF(OR(W767="",NOT(ISNUMBER(W767))),"",W767*$D$3^2/(2*$H$3))</f>
        <v/>
      </c>
      <c r="AH767" s="20" t="str">
        <f aca="false">IF(OR(W767="",NOT(ISNUMBER(W767))),"",W767*$D$3^2/2*$F$3)</f>
        <v/>
      </c>
    </row>
    <row r="768" customFormat="false" ht="15" hidden="false" customHeight="false" outlineLevel="0" collapsed="false">
      <c r="A768" s="10" t="s">
        <v>1657</v>
      </c>
      <c r="B768" s="23" t="s">
        <v>1273</v>
      </c>
      <c r="C768" s="6" t="s">
        <v>925</v>
      </c>
      <c r="D768" s="6" t="s">
        <v>1658</v>
      </c>
      <c r="E768" s="6" t="s">
        <v>1636</v>
      </c>
      <c r="F768" s="6" t="s">
        <v>1637</v>
      </c>
      <c r="G768" s="6" t="n">
        <v>250</v>
      </c>
      <c r="H768" s="6"/>
      <c r="I768" s="6"/>
      <c r="J768" s="6" t="n">
        <v>10</v>
      </c>
      <c r="K768" s="6" t="s">
        <v>1276</v>
      </c>
      <c r="L768" s="6"/>
      <c r="M768" s="6"/>
      <c r="N768" s="12" t="n">
        <v>204.6</v>
      </c>
      <c r="O768" s="12" t="n">
        <v>204.6</v>
      </c>
      <c r="P768" s="12"/>
      <c r="Q768" s="12"/>
      <c r="R768" s="14" t="n">
        <v>0.014</v>
      </c>
      <c r="S768" s="6"/>
      <c r="T768" s="6"/>
      <c r="U768" s="14" t="n">
        <v>0</v>
      </c>
      <c r="V768" s="14"/>
      <c r="W768" s="14"/>
      <c r="X768" s="10" t="s">
        <v>929</v>
      </c>
      <c r="Y768" s="16"/>
      <c r="Z768" s="17" t="s">
        <v>48</v>
      </c>
      <c r="AA768" s="6" t="s">
        <v>1638</v>
      </c>
      <c r="AB768" s="18" t="n">
        <f aca="false">IF(O768="","",$D$3*PI()*(O768/1000)^2/4*3600)</f>
        <v>177.539462181108</v>
      </c>
      <c r="AC768" s="19" t="n">
        <f aca="false">IF(OR(U768="",NOT(ISNUMBER(U768))),"",U768*$D$3^2/(2*$H$3))</f>
        <v>0</v>
      </c>
      <c r="AD768" s="20" t="n">
        <f aca="false">IF(OR(U768="",NOT(ISNUMBER(U768))),"",U768*$D$3^2/2*$F$3)</f>
        <v>0</v>
      </c>
      <c r="AE768" s="19" t="str">
        <f aca="false">IF(OR(V768="",NOT(ISNUMBER(V768))),"",V768*$D$3^2/(2*$H$3))</f>
        <v/>
      </c>
      <c r="AF768" s="20" t="str">
        <f aca="false">IF(OR(V768="",NOT(ISNUMBER(V768))),"",V768*$D$3^2/2*$F$3)</f>
        <v/>
      </c>
      <c r="AG768" s="19" t="str">
        <f aca="false">IF(OR(W768="",NOT(ISNUMBER(W768))),"",W768*$D$3^2/(2*$H$3))</f>
        <v/>
      </c>
      <c r="AH768" s="20" t="str">
        <f aca="false">IF(OR(W768="",NOT(ISNUMBER(W768))),"",W768*$D$3^2/2*$F$3)</f>
        <v/>
      </c>
    </row>
    <row r="769" customFormat="false" ht="15" hidden="false" customHeight="false" outlineLevel="0" collapsed="false">
      <c r="A769" s="10" t="s">
        <v>1659</v>
      </c>
      <c r="B769" s="23" t="s">
        <v>1273</v>
      </c>
      <c r="C769" s="6" t="s">
        <v>925</v>
      </c>
      <c r="D769" s="6" t="s">
        <v>1660</v>
      </c>
      <c r="E769" s="6" t="s">
        <v>1636</v>
      </c>
      <c r="F769" s="6" t="s">
        <v>1637</v>
      </c>
      <c r="G769" s="6" t="n">
        <v>280</v>
      </c>
      <c r="H769" s="6"/>
      <c r="I769" s="6"/>
      <c r="J769" s="6" t="n">
        <v>10</v>
      </c>
      <c r="K769" s="6" t="s">
        <v>1276</v>
      </c>
      <c r="L769" s="6"/>
      <c r="M769" s="6"/>
      <c r="N769" s="12" t="n">
        <v>229.2</v>
      </c>
      <c r="O769" s="12" t="n">
        <v>229.2</v>
      </c>
      <c r="P769" s="12"/>
      <c r="Q769" s="12"/>
      <c r="R769" s="14" t="n">
        <v>0.014</v>
      </c>
      <c r="S769" s="6"/>
      <c r="T769" s="6"/>
      <c r="U769" s="14" t="n">
        <v>0</v>
      </c>
      <c r="V769" s="14"/>
      <c r="W769" s="14"/>
      <c r="X769" s="10" t="s">
        <v>929</v>
      </c>
      <c r="Y769" s="16"/>
      <c r="Z769" s="17" t="s">
        <v>48</v>
      </c>
      <c r="AA769" s="6" t="s">
        <v>1638</v>
      </c>
      <c r="AB769" s="18" t="n">
        <f aca="false">IF(O769="","",$D$3*PI()*(O769/1000)^2/4*3600)</f>
        <v>222.798810461864</v>
      </c>
      <c r="AC769" s="19" t="n">
        <f aca="false">IF(OR(U769="",NOT(ISNUMBER(U769))),"",U769*$D$3^2/(2*$H$3))</f>
        <v>0</v>
      </c>
      <c r="AD769" s="20" t="n">
        <f aca="false">IF(OR(U769="",NOT(ISNUMBER(U769))),"",U769*$D$3^2/2*$F$3)</f>
        <v>0</v>
      </c>
      <c r="AE769" s="19" t="str">
        <f aca="false">IF(OR(V769="",NOT(ISNUMBER(V769))),"",V769*$D$3^2/(2*$H$3))</f>
        <v/>
      </c>
      <c r="AF769" s="20" t="str">
        <f aca="false">IF(OR(V769="",NOT(ISNUMBER(V769))),"",V769*$D$3^2/2*$F$3)</f>
        <v/>
      </c>
      <c r="AG769" s="19" t="str">
        <f aca="false">IF(OR(W769="",NOT(ISNUMBER(W769))),"",W769*$D$3^2/(2*$H$3))</f>
        <v/>
      </c>
      <c r="AH769" s="20" t="str">
        <f aca="false">IF(OR(W769="",NOT(ISNUMBER(W769))),"",W769*$D$3^2/2*$F$3)</f>
        <v/>
      </c>
    </row>
    <row r="770" customFormat="false" ht="15" hidden="false" customHeight="false" outlineLevel="0" collapsed="false">
      <c r="A770" s="10" t="s">
        <v>1661</v>
      </c>
      <c r="B770" s="23" t="s">
        <v>1273</v>
      </c>
      <c r="C770" s="6" t="s">
        <v>925</v>
      </c>
      <c r="D770" s="6" t="s">
        <v>1662</v>
      </c>
      <c r="E770" s="6" t="s">
        <v>1636</v>
      </c>
      <c r="F770" s="6" t="s">
        <v>1637</v>
      </c>
      <c r="G770" s="6" t="n">
        <v>315</v>
      </c>
      <c r="H770" s="6"/>
      <c r="I770" s="6"/>
      <c r="J770" s="6" t="n">
        <v>10</v>
      </c>
      <c r="K770" s="6" t="s">
        <v>1276</v>
      </c>
      <c r="L770" s="6"/>
      <c r="M770" s="6"/>
      <c r="N770" s="12" t="n">
        <v>257.8</v>
      </c>
      <c r="O770" s="12" t="n">
        <v>257.8</v>
      </c>
      <c r="P770" s="12"/>
      <c r="Q770" s="12"/>
      <c r="R770" s="14" t="n">
        <v>0.013</v>
      </c>
      <c r="S770" s="6"/>
      <c r="T770" s="6"/>
      <c r="U770" s="14" t="n">
        <v>0</v>
      </c>
      <c r="V770" s="14"/>
      <c r="W770" s="14"/>
      <c r="X770" s="10" t="s">
        <v>929</v>
      </c>
      <c r="Y770" s="16"/>
      <c r="Z770" s="17" t="s">
        <v>48</v>
      </c>
      <c r="AA770" s="6" t="s">
        <v>1638</v>
      </c>
      <c r="AB770" s="18" t="n">
        <f aca="false">IF(O770="","",$D$3*PI()*(O770/1000)^2/4*3600)</f>
        <v>281.870397038799</v>
      </c>
      <c r="AC770" s="19" t="n">
        <f aca="false">IF(OR(U770="",NOT(ISNUMBER(U770))),"",U770*$D$3^2/(2*$H$3))</f>
        <v>0</v>
      </c>
      <c r="AD770" s="20" t="n">
        <f aca="false">IF(OR(U770="",NOT(ISNUMBER(U770))),"",U770*$D$3^2/2*$F$3)</f>
        <v>0</v>
      </c>
      <c r="AE770" s="19" t="str">
        <f aca="false">IF(OR(V770="",NOT(ISNUMBER(V770))),"",V770*$D$3^2/(2*$H$3))</f>
        <v/>
      </c>
      <c r="AF770" s="20" t="str">
        <f aca="false">IF(OR(V770="",NOT(ISNUMBER(V770))),"",V770*$D$3^2/2*$F$3)</f>
        <v/>
      </c>
      <c r="AG770" s="19" t="str">
        <f aca="false">IF(OR(W770="",NOT(ISNUMBER(W770))),"",W770*$D$3^2/(2*$H$3))</f>
        <v/>
      </c>
      <c r="AH770" s="20" t="str">
        <f aca="false">IF(OR(W770="",NOT(ISNUMBER(W770))),"",W770*$D$3^2/2*$F$3)</f>
        <v/>
      </c>
    </row>
    <row r="771" customFormat="false" ht="15" hidden="false" customHeight="false" outlineLevel="0" collapsed="false">
      <c r="A771" s="10" t="s">
        <v>1663</v>
      </c>
      <c r="B771" s="23" t="s">
        <v>1273</v>
      </c>
      <c r="C771" s="6" t="s">
        <v>925</v>
      </c>
      <c r="D771" s="6" t="s">
        <v>1664</v>
      </c>
      <c r="E771" s="6" t="s">
        <v>1636</v>
      </c>
      <c r="F771" s="6" t="s">
        <v>1637</v>
      </c>
      <c r="G771" s="6" t="n">
        <v>355</v>
      </c>
      <c r="H771" s="6"/>
      <c r="I771" s="6"/>
      <c r="J771" s="6" t="n">
        <v>10</v>
      </c>
      <c r="K771" s="6" t="s">
        <v>1276</v>
      </c>
      <c r="L771" s="6"/>
      <c r="M771" s="6"/>
      <c r="N771" s="12" t="n">
        <v>290.6</v>
      </c>
      <c r="O771" s="12" t="n">
        <v>290.6</v>
      </c>
      <c r="P771" s="12"/>
      <c r="Q771" s="12"/>
      <c r="R771" s="14" t="n">
        <v>0.013</v>
      </c>
      <c r="S771" s="6"/>
      <c r="T771" s="6"/>
      <c r="U771" s="14" t="n">
        <v>0</v>
      </c>
      <c r="V771" s="14"/>
      <c r="W771" s="14"/>
      <c r="X771" s="10" t="s">
        <v>929</v>
      </c>
      <c r="Y771" s="16"/>
      <c r="Z771" s="17" t="s">
        <v>48</v>
      </c>
      <c r="AA771" s="6" t="s">
        <v>1638</v>
      </c>
      <c r="AB771" s="18" t="n">
        <f aca="false">IF(O771="","",$D$3*PI()*(O771/1000)^2/4*3600)</f>
        <v>358.158168968003</v>
      </c>
      <c r="AC771" s="19" t="n">
        <f aca="false">IF(OR(U771="",NOT(ISNUMBER(U771))),"",U771*$D$3^2/(2*$H$3))</f>
        <v>0</v>
      </c>
      <c r="AD771" s="20" t="n">
        <f aca="false">IF(OR(U771="",NOT(ISNUMBER(U771))),"",U771*$D$3^2/2*$F$3)</f>
        <v>0</v>
      </c>
      <c r="AE771" s="19" t="str">
        <f aca="false">IF(OR(V771="",NOT(ISNUMBER(V771))),"",V771*$D$3^2/(2*$H$3))</f>
        <v/>
      </c>
      <c r="AF771" s="20" t="str">
        <f aca="false">IF(OR(V771="",NOT(ISNUMBER(V771))),"",V771*$D$3^2/2*$F$3)</f>
        <v/>
      </c>
      <c r="AG771" s="19" t="str">
        <f aca="false">IF(OR(W771="",NOT(ISNUMBER(W771))),"",W771*$D$3^2/(2*$H$3))</f>
        <v/>
      </c>
      <c r="AH771" s="20" t="str">
        <f aca="false">IF(OR(W771="",NOT(ISNUMBER(W771))),"",W771*$D$3^2/2*$F$3)</f>
        <v/>
      </c>
    </row>
    <row r="772" customFormat="false" ht="15" hidden="false" customHeight="false" outlineLevel="0" collapsed="false">
      <c r="A772" s="10" t="s">
        <v>1665</v>
      </c>
      <c r="B772" s="23" t="s">
        <v>1273</v>
      </c>
      <c r="C772" s="6" t="s">
        <v>925</v>
      </c>
      <c r="D772" s="6" t="s">
        <v>1666</v>
      </c>
      <c r="E772" s="6" t="s">
        <v>1636</v>
      </c>
      <c r="F772" s="6" t="s">
        <v>1637</v>
      </c>
      <c r="G772" s="6" t="n">
        <v>400</v>
      </c>
      <c r="H772" s="6"/>
      <c r="I772" s="6"/>
      <c r="J772" s="6" t="n">
        <v>10</v>
      </c>
      <c r="K772" s="6" t="s">
        <v>1276</v>
      </c>
      <c r="L772" s="6"/>
      <c r="M772" s="6"/>
      <c r="N772" s="12" t="n">
        <v>327.4</v>
      </c>
      <c r="O772" s="12" t="n">
        <v>327.4</v>
      </c>
      <c r="P772" s="12"/>
      <c r="Q772" s="12"/>
      <c r="R772" s="14" t="n">
        <v>0.013</v>
      </c>
      <c r="S772" s="6"/>
      <c r="T772" s="6"/>
      <c r="U772" s="14" t="n">
        <v>0</v>
      </c>
      <c r="V772" s="14"/>
      <c r="W772" s="14"/>
      <c r="X772" s="10" t="s">
        <v>929</v>
      </c>
      <c r="Y772" s="16"/>
      <c r="Z772" s="17" t="s">
        <v>48</v>
      </c>
      <c r="AA772" s="6" t="s">
        <v>1638</v>
      </c>
      <c r="AB772" s="18" t="n">
        <f aca="false">IF(O772="","",$D$3*PI()*(O772/1000)^2/4*3600)</f>
        <v>454.612100600754</v>
      </c>
      <c r="AC772" s="19" t="n">
        <f aca="false">IF(OR(U772="",NOT(ISNUMBER(U772))),"",U772*$D$3^2/(2*$H$3))</f>
        <v>0</v>
      </c>
      <c r="AD772" s="20" t="n">
        <f aca="false">IF(OR(U772="",NOT(ISNUMBER(U772))),"",U772*$D$3^2/2*$F$3)</f>
        <v>0</v>
      </c>
      <c r="AE772" s="19" t="str">
        <f aca="false">IF(OR(V772="",NOT(ISNUMBER(V772))),"",V772*$D$3^2/(2*$H$3))</f>
        <v/>
      </c>
      <c r="AF772" s="20" t="str">
        <f aca="false">IF(OR(V772="",NOT(ISNUMBER(V772))),"",V772*$D$3^2/2*$F$3)</f>
        <v/>
      </c>
      <c r="AG772" s="19" t="str">
        <f aca="false">IF(OR(W772="",NOT(ISNUMBER(W772))),"",W772*$D$3^2/(2*$H$3))</f>
        <v/>
      </c>
      <c r="AH772" s="20" t="str">
        <f aca="false">IF(OR(W772="",NOT(ISNUMBER(W772))),"",W772*$D$3^2/2*$F$3)</f>
        <v/>
      </c>
    </row>
    <row r="773" customFormat="false" ht="15" hidden="false" customHeight="false" outlineLevel="0" collapsed="false">
      <c r="A773" s="10" t="s">
        <v>1667</v>
      </c>
      <c r="B773" s="23" t="s">
        <v>1273</v>
      </c>
      <c r="C773" s="6" t="s">
        <v>925</v>
      </c>
      <c r="D773" s="6" t="s">
        <v>1668</v>
      </c>
      <c r="E773" s="6" t="s">
        <v>1669</v>
      </c>
      <c r="F773" s="6" t="s">
        <v>1637</v>
      </c>
      <c r="G773" s="6" t="n">
        <v>40</v>
      </c>
      <c r="H773" s="6"/>
      <c r="I773" s="6"/>
      <c r="J773" s="6" t="n">
        <v>16</v>
      </c>
      <c r="K773" s="6" t="s">
        <v>1276</v>
      </c>
      <c r="L773" s="6"/>
      <c r="M773" s="6"/>
      <c r="N773" s="12" t="n">
        <v>32.6</v>
      </c>
      <c r="O773" s="12" t="n">
        <v>32.6</v>
      </c>
      <c r="P773" s="12"/>
      <c r="Q773" s="12"/>
      <c r="R773" s="14" t="n">
        <v>0.022</v>
      </c>
      <c r="S773" s="6"/>
      <c r="T773" s="6"/>
      <c r="U773" s="14" t="n">
        <v>0</v>
      </c>
      <c r="V773" s="14"/>
      <c r="W773" s="14"/>
      <c r="X773" s="10" t="s">
        <v>929</v>
      </c>
      <c r="Y773" s="16"/>
      <c r="Z773" s="17" t="s">
        <v>48</v>
      </c>
      <c r="AA773" s="6" t="s">
        <v>1638</v>
      </c>
      <c r="AB773" s="18" t="n">
        <f aca="false">IF(O773="","",$D$3*PI()*(O773/1000)^2/4*3600)</f>
        <v>4.50732466151427</v>
      </c>
      <c r="AC773" s="19" t="n">
        <f aca="false">IF(OR(U773="",NOT(ISNUMBER(U773))),"",U773*$D$3^2/(2*$H$3))</f>
        <v>0</v>
      </c>
      <c r="AD773" s="20" t="n">
        <f aca="false">IF(OR(U773="",NOT(ISNUMBER(U773))),"",U773*$D$3^2/2*$F$3)</f>
        <v>0</v>
      </c>
      <c r="AE773" s="19" t="str">
        <f aca="false">IF(OR(V773="",NOT(ISNUMBER(V773))),"",V773*$D$3^2/(2*$H$3))</f>
        <v/>
      </c>
      <c r="AF773" s="20" t="str">
        <f aca="false">IF(OR(V773="",NOT(ISNUMBER(V773))),"",V773*$D$3^2/2*$F$3)</f>
        <v/>
      </c>
      <c r="AG773" s="19" t="str">
        <f aca="false">IF(OR(W773="",NOT(ISNUMBER(W773))),"",W773*$D$3^2/(2*$H$3))</f>
        <v/>
      </c>
      <c r="AH773" s="20" t="str">
        <f aca="false">IF(OR(W773="",NOT(ISNUMBER(W773))),"",W773*$D$3^2/2*$F$3)</f>
        <v/>
      </c>
    </row>
    <row r="774" customFormat="false" ht="15" hidden="false" customHeight="false" outlineLevel="0" collapsed="false">
      <c r="A774" s="10" t="s">
        <v>1670</v>
      </c>
      <c r="B774" s="23" t="s">
        <v>1273</v>
      </c>
      <c r="C774" s="6" t="s">
        <v>925</v>
      </c>
      <c r="D774" s="6" t="s">
        <v>1671</v>
      </c>
      <c r="E774" s="6" t="s">
        <v>1669</v>
      </c>
      <c r="F774" s="6" t="s">
        <v>1637</v>
      </c>
      <c r="G774" s="6" t="n">
        <v>50</v>
      </c>
      <c r="H774" s="6"/>
      <c r="I774" s="6"/>
      <c r="J774" s="6" t="n">
        <v>16</v>
      </c>
      <c r="K774" s="6" t="s">
        <v>1276</v>
      </c>
      <c r="L774" s="6"/>
      <c r="M774" s="6"/>
      <c r="N774" s="12" t="n">
        <v>40.8</v>
      </c>
      <c r="O774" s="12" t="n">
        <v>40.8</v>
      </c>
      <c r="P774" s="12"/>
      <c r="Q774" s="12"/>
      <c r="R774" s="14" t="n">
        <v>0.021</v>
      </c>
      <c r="S774" s="6"/>
      <c r="T774" s="6"/>
      <c r="U774" s="14" t="n">
        <v>0</v>
      </c>
      <c r="V774" s="14"/>
      <c r="W774" s="14"/>
      <c r="X774" s="10" t="s">
        <v>929</v>
      </c>
      <c r="Y774" s="16"/>
      <c r="Z774" s="17" t="s">
        <v>48</v>
      </c>
      <c r="AA774" s="6" t="s">
        <v>1638</v>
      </c>
      <c r="AB774" s="18" t="n">
        <f aca="false">IF(O774="","",$D$3*PI()*(O774/1000)^2/4*3600)</f>
        <v>7.05998807307681</v>
      </c>
      <c r="AC774" s="19" t="n">
        <f aca="false">IF(OR(U774="",NOT(ISNUMBER(U774))),"",U774*$D$3^2/(2*$H$3))</f>
        <v>0</v>
      </c>
      <c r="AD774" s="20" t="n">
        <f aca="false">IF(OR(U774="",NOT(ISNUMBER(U774))),"",U774*$D$3^2/2*$F$3)</f>
        <v>0</v>
      </c>
      <c r="AE774" s="19" t="str">
        <f aca="false">IF(OR(V774="",NOT(ISNUMBER(V774))),"",V774*$D$3^2/(2*$H$3))</f>
        <v/>
      </c>
      <c r="AF774" s="20" t="str">
        <f aca="false">IF(OR(V774="",NOT(ISNUMBER(V774))),"",V774*$D$3^2/2*$F$3)</f>
        <v/>
      </c>
      <c r="AG774" s="19" t="str">
        <f aca="false">IF(OR(W774="",NOT(ISNUMBER(W774))),"",W774*$D$3^2/(2*$H$3))</f>
        <v/>
      </c>
      <c r="AH774" s="20" t="str">
        <f aca="false">IF(OR(W774="",NOT(ISNUMBER(W774))),"",W774*$D$3^2/2*$F$3)</f>
        <v/>
      </c>
    </row>
    <row r="775" customFormat="false" ht="15" hidden="false" customHeight="false" outlineLevel="0" collapsed="false">
      <c r="A775" s="10" t="s">
        <v>1672</v>
      </c>
      <c r="B775" s="23" t="s">
        <v>1273</v>
      </c>
      <c r="C775" s="6" t="s">
        <v>925</v>
      </c>
      <c r="D775" s="6" t="s">
        <v>1673</v>
      </c>
      <c r="E775" s="6" t="s">
        <v>1669</v>
      </c>
      <c r="F775" s="6" t="s">
        <v>1637</v>
      </c>
      <c r="G775" s="6" t="n">
        <v>63</v>
      </c>
      <c r="H775" s="6"/>
      <c r="I775" s="6"/>
      <c r="J775" s="6" t="n">
        <v>16</v>
      </c>
      <c r="K775" s="6" t="s">
        <v>1276</v>
      </c>
      <c r="L775" s="6"/>
      <c r="M775" s="6"/>
      <c r="N775" s="12" t="n">
        <v>51.4</v>
      </c>
      <c r="O775" s="12" t="n">
        <v>51.4</v>
      </c>
      <c r="P775" s="12"/>
      <c r="Q775" s="12"/>
      <c r="R775" s="14" t="n">
        <v>0.019</v>
      </c>
      <c r="S775" s="6"/>
      <c r="T775" s="6"/>
      <c r="U775" s="14" t="n">
        <v>0</v>
      </c>
      <c r="V775" s="14"/>
      <c r="W775" s="14"/>
      <c r="X775" s="10" t="s">
        <v>929</v>
      </c>
      <c r="Y775" s="16"/>
      <c r="Z775" s="17" t="s">
        <v>48</v>
      </c>
      <c r="AA775" s="6" t="s">
        <v>1638</v>
      </c>
      <c r="AB775" s="18" t="n">
        <f aca="false">IF(O775="","",$D$3*PI()*(O775/1000)^2/4*3600)</f>
        <v>11.2049488715554</v>
      </c>
      <c r="AC775" s="19" t="n">
        <f aca="false">IF(OR(U775="",NOT(ISNUMBER(U775))),"",U775*$D$3^2/(2*$H$3))</f>
        <v>0</v>
      </c>
      <c r="AD775" s="20" t="n">
        <f aca="false">IF(OR(U775="",NOT(ISNUMBER(U775))),"",U775*$D$3^2/2*$F$3)</f>
        <v>0</v>
      </c>
      <c r="AE775" s="19" t="str">
        <f aca="false">IF(OR(V775="",NOT(ISNUMBER(V775))),"",V775*$D$3^2/(2*$H$3))</f>
        <v/>
      </c>
      <c r="AF775" s="20" t="str">
        <f aca="false">IF(OR(V775="",NOT(ISNUMBER(V775))),"",V775*$D$3^2/2*$F$3)</f>
        <v/>
      </c>
      <c r="AG775" s="19" t="str">
        <f aca="false">IF(OR(W775="",NOT(ISNUMBER(W775))),"",W775*$D$3^2/(2*$H$3))</f>
        <v/>
      </c>
      <c r="AH775" s="20" t="str">
        <f aca="false">IF(OR(W775="",NOT(ISNUMBER(W775))),"",W775*$D$3^2/2*$F$3)</f>
        <v/>
      </c>
    </row>
    <row r="776" customFormat="false" ht="15" hidden="false" customHeight="false" outlineLevel="0" collapsed="false">
      <c r="A776" s="10" t="s">
        <v>1674</v>
      </c>
      <c r="B776" s="23" t="s">
        <v>1273</v>
      </c>
      <c r="C776" s="6" t="s">
        <v>925</v>
      </c>
      <c r="D776" s="6" t="s">
        <v>1675</v>
      </c>
      <c r="E776" s="6" t="s">
        <v>1669</v>
      </c>
      <c r="F776" s="6" t="s">
        <v>1637</v>
      </c>
      <c r="G776" s="6" t="n">
        <v>75</v>
      </c>
      <c r="H776" s="6"/>
      <c r="I776" s="6"/>
      <c r="J776" s="6" t="n">
        <v>16</v>
      </c>
      <c r="K776" s="6" t="s">
        <v>1276</v>
      </c>
      <c r="L776" s="6"/>
      <c r="M776" s="6"/>
      <c r="N776" s="12" t="n">
        <v>61.4</v>
      </c>
      <c r="O776" s="12" t="n">
        <v>61.4</v>
      </c>
      <c r="P776" s="12"/>
      <c r="Q776" s="12"/>
      <c r="R776" s="14" t="n">
        <v>0.018</v>
      </c>
      <c r="S776" s="6"/>
      <c r="T776" s="6"/>
      <c r="U776" s="14" t="n">
        <v>0</v>
      </c>
      <c r="V776" s="14"/>
      <c r="W776" s="14"/>
      <c r="X776" s="10" t="s">
        <v>929</v>
      </c>
      <c r="Y776" s="16"/>
      <c r="Z776" s="17" t="s">
        <v>48</v>
      </c>
      <c r="AA776" s="6" t="s">
        <v>1638</v>
      </c>
      <c r="AB776" s="18" t="n">
        <f aca="false">IF(O776="","",$D$3*PI()*(O776/1000)^2/4*3600)</f>
        <v>15.988966164442</v>
      </c>
      <c r="AC776" s="19" t="n">
        <f aca="false">IF(OR(U776="",NOT(ISNUMBER(U776))),"",U776*$D$3^2/(2*$H$3))</f>
        <v>0</v>
      </c>
      <c r="AD776" s="20" t="n">
        <f aca="false">IF(OR(U776="",NOT(ISNUMBER(U776))),"",U776*$D$3^2/2*$F$3)</f>
        <v>0</v>
      </c>
      <c r="AE776" s="19" t="str">
        <f aca="false">IF(OR(V776="",NOT(ISNUMBER(V776))),"",V776*$D$3^2/(2*$H$3))</f>
        <v/>
      </c>
      <c r="AF776" s="20" t="str">
        <f aca="false">IF(OR(V776="",NOT(ISNUMBER(V776))),"",V776*$D$3^2/2*$F$3)</f>
        <v/>
      </c>
      <c r="AG776" s="19" t="str">
        <f aca="false">IF(OR(W776="",NOT(ISNUMBER(W776))),"",W776*$D$3^2/(2*$H$3))</f>
        <v/>
      </c>
      <c r="AH776" s="20" t="str">
        <f aca="false">IF(OR(W776="",NOT(ISNUMBER(W776))),"",W776*$D$3^2/2*$F$3)</f>
        <v/>
      </c>
    </row>
    <row r="777" customFormat="false" ht="15" hidden="false" customHeight="false" outlineLevel="0" collapsed="false">
      <c r="A777" s="10" t="s">
        <v>1676</v>
      </c>
      <c r="B777" s="23" t="s">
        <v>1273</v>
      </c>
      <c r="C777" s="6" t="s">
        <v>925</v>
      </c>
      <c r="D777" s="6" t="s">
        <v>1677</v>
      </c>
      <c r="E777" s="6" t="s">
        <v>1669</v>
      </c>
      <c r="F777" s="6" t="s">
        <v>1637</v>
      </c>
      <c r="G777" s="6" t="n">
        <v>90</v>
      </c>
      <c r="H777" s="6"/>
      <c r="I777" s="6"/>
      <c r="J777" s="6" t="n">
        <v>16</v>
      </c>
      <c r="K777" s="6" t="s">
        <v>1276</v>
      </c>
      <c r="L777" s="6"/>
      <c r="M777" s="6"/>
      <c r="N777" s="12" t="n">
        <v>73.6</v>
      </c>
      <c r="O777" s="12" t="n">
        <v>73.6</v>
      </c>
      <c r="P777" s="12"/>
      <c r="Q777" s="12"/>
      <c r="R777" s="14" t="n">
        <v>0.018</v>
      </c>
      <c r="S777" s="6"/>
      <c r="T777" s="6"/>
      <c r="U777" s="14" t="n">
        <v>0</v>
      </c>
      <c r="V777" s="14"/>
      <c r="W777" s="14"/>
      <c r="X777" s="10" t="s">
        <v>929</v>
      </c>
      <c r="Y777" s="16"/>
      <c r="Z777" s="17" t="s">
        <v>48</v>
      </c>
      <c r="AA777" s="6" t="s">
        <v>1638</v>
      </c>
      <c r="AB777" s="18" t="n">
        <f aca="false">IF(O777="","",$D$3*PI()*(O777/1000)^2/4*3600)</f>
        <v>22.9741403500662</v>
      </c>
      <c r="AC777" s="19" t="n">
        <f aca="false">IF(OR(U777="",NOT(ISNUMBER(U777))),"",U777*$D$3^2/(2*$H$3))</f>
        <v>0</v>
      </c>
      <c r="AD777" s="20" t="n">
        <f aca="false">IF(OR(U777="",NOT(ISNUMBER(U777))),"",U777*$D$3^2/2*$F$3)</f>
        <v>0</v>
      </c>
      <c r="AE777" s="19" t="str">
        <f aca="false">IF(OR(V777="",NOT(ISNUMBER(V777))),"",V777*$D$3^2/(2*$H$3))</f>
        <v/>
      </c>
      <c r="AF777" s="20" t="str">
        <f aca="false">IF(OR(V777="",NOT(ISNUMBER(V777))),"",V777*$D$3^2/2*$F$3)</f>
        <v/>
      </c>
      <c r="AG777" s="19" t="str">
        <f aca="false">IF(OR(W777="",NOT(ISNUMBER(W777))),"",W777*$D$3^2/(2*$H$3))</f>
        <v/>
      </c>
      <c r="AH777" s="20" t="str">
        <f aca="false">IF(OR(W777="",NOT(ISNUMBER(W777))),"",W777*$D$3^2/2*$F$3)</f>
        <v/>
      </c>
    </row>
    <row r="778" customFormat="false" ht="15" hidden="false" customHeight="false" outlineLevel="0" collapsed="false">
      <c r="A778" s="10" t="s">
        <v>1678</v>
      </c>
      <c r="B778" s="23" t="s">
        <v>1273</v>
      </c>
      <c r="C778" s="6" t="s">
        <v>925</v>
      </c>
      <c r="D778" s="6" t="s">
        <v>1679</v>
      </c>
      <c r="E778" s="6" t="s">
        <v>1669</v>
      </c>
      <c r="F778" s="6" t="s">
        <v>1637</v>
      </c>
      <c r="G778" s="6" t="n">
        <v>110</v>
      </c>
      <c r="H778" s="6"/>
      <c r="I778" s="6"/>
      <c r="J778" s="6" t="n">
        <v>16</v>
      </c>
      <c r="K778" s="6" t="s">
        <v>1276</v>
      </c>
      <c r="L778" s="6"/>
      <c r="M778" s="6"/>
      <c r="N778" s="12" t="n">
        <v>90</v>
      </c>
      <c r="O778" s="12" t="n">
        <v>90</v>
      </c>
      <c r="P778" s="12"/>
      <c r="Q778" s="12"/>
      <c r="R778" s="14" t="n">
        <v>0.017</v>
      </c>
      <c r="S778" s="6"/>
      <c r="T778" s="6"/>
      <c r="U778" s="14" t="n">
        <v>0</v>
      </c>
      <c r="V778" s="14"/>
      <c r="W778" s="14"/>
      <c r="X778" s="10" t="s">
        <v>929</v>
      </c>
      <c r="Y778" s="16"/>
      <c r="Z778" s="17" t="s">
        <v>48</v>
      </c>
      <c r="AA778" s="6" t="s">
        <v>1638</v>
      </c>
      <c r="AB778" s="18" t="n">
        <f aca="false">IF(O778="","",$D$3*PI()*(O778/1000)^2/4*3600)</f>
        <v>34.3533156670044</v>
      </c>
      <c r="AC778" s="19" t="n">
        <f aca="false">IF(OR(U778="",NOT(ISNUMBER(U778))),"",U778*$D$3^2/(2*$H$3))</f>
        <v>0</v>
      </c>
      <c r="AD778" s="20" t="n">
        <f aca="false">IF(OR(U778="",NOT(ISNUMBER(U778))),"",U778*$D$3^2/2*$F$3)</f>
        <v>0</v>
      </c>
      <c r="AE778" s="19" t="str">
        <f aca="false">IF(OR(V778="",NOT(ISNUMBER(V778))),"",V778*$D$3^2/(2*$H$3))</f>
        <v/>
      </c>
      <c r="AF778" s="20" t="str">
        <f aca="false">IF(OR(V778="",NOT(ISNUMBER(V778))),"",V778*$D$3^2/2*$F$3)</f>
        <v/>
      </c>
      <c r="AG778" s="19" t="str">
        <f aca="false">IF(OR(W778="",NOT(ISNUMBER(W778))),"",W778*$D$3^2/(2*$H$3))</f>
        <v/>
      </c>
      <c r="AH778" s="20" t="str">
        <f aca="false">IF(OR(W778="",NOT(ISNUMBER(W778))),"",W778*$D$3^2/2*$F$3)</f>
        <v/>
      </c>
    </row>
    <row r="779" customFormat="false" ht="15" hidden="false" customHeight="false" outlineLevel="0" collapsed="false">
      <c r="A779" s="10" t="s">
        <v>1680</v>
      </c>
      <c r="B779" s="23" t="s">
        <v>1273</v>
      </c>
      <c r="C779" s="6" t="s">
        <v>925</v>
      </c>
      <c r="D779" s="6" t="s">
        <v>1681</v>
      </c>
      <c r="E779" s="6" t="s">
        <v>1669</v>
      </c>
      <c r="F779" s="6" t="s">
        <v>1637</v>
      </c>
      <c r="G779" s="6" t="n">
        <v>125</v>
      </c>
      <c r="H779" s="6"/>
      <c r="I779" s="6"/>
      <c r="J779" s="6" t="n">
        <v>16</v>
      </c>
      <c r="K779" s="6" t="s">
        <v>1276</v>
      </c>
      <c r="L779" s="6"/>
      <c r="M779" s="6"/>
      <c r="N779" s="12" t="n">
        <v>102.2</v>
      </c>
      <c r="O779" s="12" t="n">
        <v>102.2</v>
      </c>
      <c r="P779" s="12"/>
      <c r="Q779" s="12"/>
      <c r="R779" s="14" t="n">
        <v>0.016</v>
      </c>
      <c r="S779" s="6"/>
      <c r="T779" s="6"/>
      <c r="U779" s="14" t="n">
        <v>0</v>
      </c>
      <c r="V779" s="14"/>
      <c r="W779" s="14"/>
      <c r="X779" s="10" t="s">
        <v>929</v>
      </c>
      <c r="Y779" s="16"/>
      <c r="Z779" s="17" t="s">
        <v>48</v>
      </c>
      <c r="AA779" s="6" t="s">
        <v>1638</v>
      </c>
      <c r="AB779" s="18" t="n">
        <f aca="false">IF(O779="","",$D$3*PI()*(O779/1000)^2/4*3600)</f>
        <v>44.2981340260931</v>
      </c>
      <c r="AC779" s="19" t="n">
        <f aca="false">IF(OR(U779="",NOT(ISNUMBER(U779))),"",U779*$D$3^2/(2*$H$3))</f>
        <v>0</v>
      </c>
      <c r="AD779" s="20" t="n">
        <f aca="false">IF(OR(U779="",NOT(ISNUMBER(U779))),"",U779*$D$3^2/2*$F$3)</f>
        <v>0</v>
      </c>
      <c r="AE779" s="19" t="str">
        <f aca="false">IF(OR(V779="",NOT(ISNUMBER(V779))),"",V779*$D$3^2/(2*$H$3))</f>
        <v/>
      </c>
      <c r="AF779" s="20" t="str">
        <f aca="false">IF(OR(V779="",NOT(ISNUMBER(V779))),"",V779*$D$3^2/2*$F$3)</f>
        <v/>
      </c>
      <c r="AG779" s="19" t="str">
        <f aca="false">IF(OR(W779="",NOT(ISNUMBER(W779))),"",W779*$D$3^2/(2*$H$3))</f>
        <v/>
      </c>
      <c r="AH779" s="20" t="str">
        <f aca="false">IF(OR(W779="",NOT(ISNUMBER(W779))),"",W779*$D$3^2/2*$F$3)</f>
        <v/>
      </c>
    </row>
    <row r="780" customFormat="false" ht="15" hidden="false" customHeight="false" outlineLevel="0" collapsed="false">
      <c r="A780" s="10" t="s">
        <v>1682</v>
      </c>
      <c r="B780" s="23" t="s">
        <v>1273</v>
      </c>
      <c r="C780" s="6" t="s">
        <v>925</v>
      </c>
      <c r="D780" s="6" t="s">
        <v>1683</v>
      </c>
      <c r="E780" s="6" t="s">
        <v>1669</v>
      </c>
      <c r="F780" s="6" t="s">
        <v>1637</v>
      </c>
      <c r="G780" s="6" t="n">
        <v>140</v>
      </c>
      <c r="H780" s="6"/>
      <c r="I780" s="6"/>
      <c r="J780" s="6" t="n">
        <v>16</v>
      </c>
      <c r="K780" s="6" t="s">
        <v>1276</v>
      </c>
      <c r="L780" s="6"/>
      <c r="M780" s="6"/>
      <c r="N780" s="12" t="n">
        <v>114.6</v>
      </c>
      <c r="O780" s="12" t="n">
        <v>114.6</v>
      </c>
      <c r="P780" s="12"/>
      <c r="Q780" s="12"/>
      <c r="R780" s="14" t="n">
        <v>0.016</v>
      </c>
      <c r="S780" s="6"/>
      <c r="T780" s="6"/>
      <c r="U780" s="14" t="n">
        <v>0</v>
      </c>
      <c r="V780" s="14"/>
      <c r="W780" s="14"/>
      <c r="X780" s="10" t="s">
        <v>929</v>
      </c>
      <c r="Y780" s="16"/>
      <c r="Z780" s="17" t="s">
        <v>48</v>
      </c>
      <c r="AA780" s="6" t="s">
        <v>1638</v>
      </c>
      <c r="AB780" s="18" t="n">
        <f aca="false">IF(O780="","",$D$3*PI()*(O780/1000)^2/4*3600)</f>
        <v>55.6997026154661</v>
      </c>
      <c r="AC780" s="19" t="n">
        <f aca="false">IF(OR(U780="",NOT(ISNUMBER(U780))),"",U780*$D$3^2/(2*$H$3))</f>
        <v>0</v>
      </c>
      <c r="AD780" s="20" t="n">
        <f aca="false">IF(OR(U780="",NOT(ISNUMBER(U780))),"",U780*$D$3^2/2*$F$3)</f>
        <v>0</v>
      </c>
      <c r="AE780" s="19" t="str">
        <f aca="false">IF(OR(V780="",NOT(ISNUMBER(V780))),"",V780*$D$3^2/(2*$H$3))</f>
        <v/>
      </c>
      <c r="AF780" s="20" t="str">
        <f aca="false">IF(OR(V780="",NOT(ISNUMBER(V780))),"",V780*$D$3^2/2*$F$3)</f>
        <v/>
      </c>
      <c r="AG780" s="19" t="str">
        <f aca="false">IF(OR(W780="",NOT(ISNUMBER(W780))),"",W780*$D$3^2/(2*$H$3))</f>
        <v/>
      </c>
      <c r="AH780" s="20" t="str">
        <f aca="false">IF(OR(W780="",NOT(ISNUMBER(W780))),"",W780*$D$3^2/2*$F$3)</f>
        <v/>
      </c>
    </row>
    <row r="781" customFormat="false" ht="15" hidden="false" customHeight="false" outlineLevel="0" collapsed="false">
      <c r="A781" s="10" t="s">
        <v>1684</v>
      </c>
      <c r="B781" s="23" t="s">
        <v>1273</v>
      </c>
      <c r="C781" s="6" t="s">
        <v>925</v>
      </c>
      <c r="D781" s="6" t="s">
        <v>1685</v>
      </c>
      <c r="E781" s="6" t="s">
        <v>1669</v>
      </c>
      <c r="F781" s="6" t="s">
        <v>1637</v>
      </c>
      <c r="G781" s="6" t="n">
        <v>160</v>
      </c>
      <c r="H781" s="6"/>
      <c r="I781" s="6"/>
      <c r="J781" s="6" t="n">
        <v>16</v>
      </c>
      <c r="K781" s="6" t="s">
        <v>1276</v>
      </c>
      <c r="L781" s="6"/>
      <c r="M781" s="6"/>
      <c r="N781" s="12" t="n">
        <v>130.8</v>
      </c>
      <c r="O781" s="12" t="n">
        <v>130.8</v>
      </c>
      <c r="P781" s="12"/>
      <c r="Q781" s="12"/>
      <c r="R781" s="14" t="n">
        <v>0.015</v>
      </c>
      <c r="S781" s="6"/>
      <c r="T781" s="6"/>
      <c r="U781" s="14" t="n">
        <v>0</v>
      </c>
      <c r="V781" s="14"/>
      <c r="W781" s="14"/>
      <c r="X781" s="10" t="s">
        <v>929</v>
      </c>
      <c r="Y781" s="16"/>
      <c r="Z781" s="17" t="s">
        <v>48</v>
      </c>
      <c r="AA781" s="6" t="s">
        <v>1638</v>
      </c>
      <c r="AB781" s="18" t="n">
        <f aca="false">IF(O781="","",$D$3*PI()*(O781/1000)^2/4*3600)</f>
        <v>72.5603099448318</v>
      </c>
      <c r="AC781" s="19" t="n">
        <f aca="false">IF(OR(U781="",NOT(ISNUMBER(U781))),"",U781*$D$3^2/(2*$H$3))</f>
        <v>0</v>
      </c>
      <c r="AD781" s="20" t="n">
        <f aca="false">IF(OR(U781="",NOT(ISNUMBER(U781))),"",U781*$D$3^2/2*$F$3)</f>
        <v>0</v>
      </c>
      <c r="AE781" s="19" t="str">
        <f aca="false">IF(OR(V781="",NOT(ISNUMBER(V781))),"",V781*$D$3^2/(2*$H$3))</f>
        <v/>
      </c>
      <c r="AF781" s="20" t="str">
        <f aca="false">IF(OR(V781="",NOT(ISNUMBER(V781))),"",V781*$D$3^2/2*$F$3)</f>
        <v/>
      </c>
      <c r="AG781" s="19" t="str">
        <f aca="false">IF(OR(W781="",NOT(ISNUMBER(W781))),"",W781*$D$3^2/(2*$H$3))</f>
        <v/>
      </c>
      <c r="AH781" s="20" t="str">
        <f aca="false">IF(OR(W781="",NOT(ISNUMBER(W781))),"",W781*$D$3^2/2*$F$3)</f>
        <v/>
      </c>
    </row>
    <row r="782" customFormat="false" ht="15" hidden="false" customHeight="false" outlineLevel="0" collapsed="false">
      <c r="A782" s="10" t="s">
        <v>1686</v>
      </c>
      <c r="B782" s="23" t="s">
        <v>1273</v>
      </c>
      <c r="C782" s="6" t="s">
        <v>925</v>
      </c>
      <c r="D782" s="6" t="s">
        <v>1687</v>
      </c>
      <c r="E782" s="6" t="s">
        <v>1669</v>
      </c>
      <c r="F782" s="6" t="s">
        <v>1637</v>
      </c>
      <c r="G782" s="6" t="n">
        <v>180</v>
      </c>
      <c r="H782" s="6"/>
      <c r="I782" s="6"/>
      <c r="J782" s="6" t="n">
        <v>16</v>
      </c>
      <c r="K782" s="6" t="s">
        <v>1276</v>
      </c>
      <c r="L782" s="6"/>
      <c r="M782" s="6"/>
      <c r="N782" s="12" t="n">
        <v>147.2</v>
      </c>
      <c r="O782" s="12" t="n">
        <v>147.2</v>
      </c>
      <c r="P782" s="12"/>
      <c r="Q782" s="12"/>
      <c r="R782" s="14" t="n">
        <v>0.015</v>
      </c>
      <c r="S782" s="6"/>
      <c r="T782" s="6"/>
      <c r="U782" s="14" t="n">
        <v>0</v>
      </c>
      <c r="V782" s="14"/>
      <c r="W782" s="14"/>
      <c r="X782" s="10" t="s">
        <v>929</v>
      </c>
      <c r="Y782" s="16"/>
      <c r="Z782" s="17" t="s">
        <v>48</v>
      </c>
      <c r="AA782" s="6" t="s">
        <v>1638</v>
      </c>
      <c r="AB782" s="18" t="n">
        <f aca="false">IF(O782="","",$D$3*PI()*(O782/1000)^2/4*3600)</f>
        <v>91.8965614002647</v>
      </c>
      <c r="AC782" s="19" t="n">
        <f aca="false">IF(OR(U782="",NOT(ISNUMBER(U782))),"",U782*$D$3^2/(2*$H$3))</f>
        <v>0</v>
      </c>
      <c r="AD782" s="20" t="n">
        <f aca="false">IF(OR(U782="",NOT(ISNUMBER(U782))),"",U782*$D$3^2/2*$F$3)</f>
        <v>0</v>
      </c>
      <c r="AE782" s="19" t="str">
        <f aca="false">IF(OR(V782="",NOT(ISNUMBER(V782))),"",V782*$D$3^2/(2*$H$3))</f>
        <v/>
      </c>
      <c r="AF782" s="20" t="str">
        <f aca="false">IF(OR(V782="",NOT(ISNUMBER(V782))),"",V782*$D$3^2/2*$F$3)</f>
        <v/>
      </c>
      <c r="AG782" s="19" t="str">
        <f aca="false">IF(OR(W782="",NOT(ISNUMBER(W782))),"",W782*$D$3^2/(2*$H$3))</f>
        <v/>
      </c>
      <c r="AH782" s="20" t="str">
        <f aca="false">IF(OR(W782="",NOT(ISNUMBER(W782))),"",W782*$D$3^2/2*$F$3)</f>
        <v/>
      </c>
    </row>
    <row r="783" customFormat="false" ht="15" hidden="false" customHeight="false" outlineLevel="0" collapsed="false">
      <c r="A783" s="10" t="s">
        <v>1688</v>
      </c>
      <c r="B783" s="23" t="s">
        <v>1273</v>
      </c>
      <c r="C783" s="6" t="s">
        <v>925</v>
      </c>
      <c r="D783" s="6" t="s">
        <v>1689</v>
      </c>
      <c r="E783" s="6" t="s">
        <v>1669</v>
      </c>
      <c r="F783" s="6" t="s">
        <v>1637</v>
      </c>
      <c r="G783" s="6" t="n">
        <v>200</v>
      </c>
      <c r="H783" s="6"/>
      <c r="I783" s="6"/>
      <c r="J783" s="6" t="n">
        <v>16</v>
      </c>
      <c r="K783" s="6" t="s">
        <v>1276</v>
      </c>
      <c r="L783" s="6"/>
      <c r="M783" s="6"/>
      <c r="N783" s="12" t="n">
        <v>163.6</v>
      </c>
      <c r="O783" s="12" t="n">
        <v>163.6</v>
      </c>
      <c r="P783" s="12"/>
      <c r="Q783" s="12"/>
      <c r="R783" s="14" t="n">
        <v>0.014</v>
      </c>
      <c r="S783" s="6"/>
      <c r="T783" s="6"/>
      <c r="U783" s="14" t="n">
        <v>0</v>
      </c>
      <c r="V783" s="14"/>
      <c r="W783" s="14"/>
      <c r="X783" s="10" t="s">
        <v>929</v>
      </c>
      <c r="Y783" s="16"/>
      <c r="Z783" s="17" t="s">
        <v>48</v>
      </c>
      <c r="AA783" s="6" t="s">
        <v>1638</v>
      </c>
      <c r="AB783" s="18" t="n">
        <f aca="false">IF(O783="","",$D$3*PI()*(O783/1000)^2/4*3600)</f>
        <v>113.514212307993</v>
      </c>
      <c r="AC783" s="19" t="n">
        <f aca="false">IF(OR(U783="",NOT(ISNUMBER(U783))),"",U783*$D$3^2/(2*$H$3))</f>
        <v>0</v>
      </c>
      <c r="AD783" s="20" t="n">
        <f aca="false">IF(OR(U783="",NOT(ISNUMBER(U783))),"",U783*$D$3^2/2*$F$3)</f>
        <v>0</v>
      </c>
      <c r="AE783" s="19" t="str">
        <f aca="false">IF(OR(V783="",NOT(ISNUMBER(V783))),"",V783*$D$3^2/(2*$H$3))</f>
        <v/>
      </c>
      <c r="AF783" s="20" t="str">
        <f aca="false">IF(OR(V783="",NOT(ISNUMBER(V783))),"",V783*$D$3^2/2*$F$3)</f>
        <v/>
      </c>
      <c r="AG783" s="19" t="str">
        <f aca="false">IF(OR(W783="",NOT(ISNUMBER(W783))),"",W783*$D$3^2/(2*$H$3))</f>
        <v/>
      </c>
      <c r="AH783" s="20" t="str">
        <f aca="false">IF(OR(W783="",NOT(ISNUMBER(W783))),"",W783*$D$3^2/2*$F$3)</f>
        <v/>
      </c>
    </row>
    <row r="784" customFormat="false" ht="15" hidden="false" customHeight="false" outlineLevel="0" collapsed="false">
      <c r="A784" s="10" t="s">
        <v>1690</v>
      </c>
      <c r="B784" s="23" t="s">
        <v>1273</v>
      </c>
      <c r="C784" s="6" t="s">
        <v>925</v>
      </c>
      <c r="D784" s="6" t="s">
        <v>1691</v>
      </c>
      <c r="E784" s="6" t="s">
        <v>1669</v>
      </c>
      <c r="F784" s="6" t="s">
        <v>1637</v>
      </c>
      <c r="G784" s="6" t="n">
        <v>225</v>
      </c>
      <c r="H784" s="6"/>
      <c r="I784" s="6"/>
      <c r="J784" s="6" t="n">
        <v>16</v>
      </c>
      <c r="K784" s="6" t="s">
        <v>1276</v>
      </c>
      <c r="L784" s="6"/>
      <c r="M784" s="6"/>
      <c r="N784" s="12" t="n">
        <v>184</v>
      </c>
      <c r="O784" s="12" t="n">
        <v>184</v>
      </c>
      <c r="P784" s="12"/>
      <c r="Q784" s="12"/>
      <c r="R784" s="14" t="n">
        <v>0.014</v>
      </c>
      <c r="S784" s="6"/>
      <c r="T784" s="6"/>
      <c r="U784" s="14" t="n">
        <v>0</v>
      </c>
      <c r="V784" s="14"/>
      <c r="W784" s="14"/>
      <c r="X784" s="10" t="s">
        <v>929</v>
      </c>
      <c r="Y784" s="16"/>
      <c r="Z784" s="17" t="s">
        <v>48</v>
      </c>
      <c r="AA784" s="6" t="s">
        <v>1638</v>
      </c>
      <c r="AB784" s="18" t="n">
        <f aca="false">IF(O784="","",$D$3*PI()*(O784/1000)^2/4*3600)</f>
        <v>143.588377187914</v>
      </c>
      <c r="AC784" s="19" t="n">
        <f aca="false">IF(OR(U784="",NOT(ISNUMBER(U784))),"",U784*$D$3^2/(2*$H$3))</f>
        <v>0</v>
      </c>
      <c r="AD784" s="20" t="n">
        <f aca="false">IF(OR(U784="",NOT(ISNUMBER(U784))),"",U784*$D$3^2/2*$F$3)</f>
        <v>0</v>
      </c>
      <c r="AE784" s="19" t="str">
        <f aca="false">IF(OR(V784="",NOT(ISNUMBER(V784))),"",V784*$D$3^2/(2*$H$3))</f>
        <v/>
      </c>
      <c r="AF784" s="20" t="str">
        <f aca="false">IF(OR(V784="",NOT(ISNUMBER(V784))),"",V784*$D$3^2/2*$F$3)</f>
        <v/>
      </c>
      <c r="AG784" s="19" t="str">
        <f aca="false">IF(OR(W784="",NOT(ISNUMBER(W784))),"",W784*$D$3^2/(2*$H$3))</f>
        <v/>
      </c>
      <c r="AH784" s="20" t="str">
        <f aca="false">IF(OR(W784="",NOT(ISNUMBER(W784))),"",W784*$D$3^2/2*$F$3)</f>
        <v/>
      </c>
    </row>
    <row r="785" customFormat="false" ht="15" hidden="false" customHeight="false" outlineLevel="0" collapsed="false">
      <c r="A785" s="10" t="s">
        <v>1692</v>
      </c>
      <c r="B785" s="23" t="s">
        <v>1273</v>
      </c>
      <c r="C785" s="6" t="s">
        <v>925</v>
      </c>
      <c r="D785" s="6" t="s">
        <v>1693</v>
      </c>
      <c r="E785" s="6" t="s">
        <v>1669</v>
      </c>
      <c r="F785" s="6" t="s">
        <v>1637</v>
      </c>
      <c r="G785" s="6" t="n">
        <v>250</v>
      </c>
      <c r="H785" s="6"/>
      <c r="I785" s="6"/>
      <c r="J785" s="6" t="n">
        <v>16</v>
      </c>
      <c r="K785" s="6" t="s">
        <v>1276</v>
      </c>
      <c r="L785" s="6"/>
      <c r="M785" s="6"/>
      <c r="N785" s="12" t="n">
        <v>204.6</v>
      </c>
      <c r="O785" s="12" t="n">
        <v>204.6</v>
      </c>
      <c r="P785" s="12"/>
      <c r="Q785" s="12"/>
      <c r="R785" s="14" t="n">
        <v>0.014</v>
      </c>
      <c r="S785" s="6"/>
      <c r="T785" s="6"/>
      <c r="U785" s="14" t="n">
        <v>0</v>
      </c>
      <c r="V785" s="14"/>
      <c r="W785" s="14"/>
      <c r="X785" s="10" t="s">
        <v>929</v>
      </c>
      <c r="Y785" s="16"/>
      <c r="Z785" s="17" t="s">
        <v>48</v>
      </c>
      <c r="AA785" s="6" t="s">
        <v>1638</v>
      </c>
      <c r="AB785" s="18" t="n">
        <f aca="false">IF(O785="","",$D$3*PI()*(O785/1000)^2/4*3600)</f>
        <v>177.539462181108</v>
      </c>
      <c r="AC785" s="19" t="n">
        <f aca="false">IF(OR(U785="",NOT(ISNUMBER(U785))),"",U785*$D$3^2/(2*$H$3))</f>
        <v>0</v>
      </c>
      <c r="AD785" s="20" t="n">
        <f aca="false">IF(OR(U785="",NOT(ISNUMBER(U785))),"",U785*$D$3^2/2*$F$3)</f>
        <v>0</v>
      </c>
      <c r="AE785" s="19" t="str">
        <f aca="false">IF(OR(V785="",NOT(ISNUMBER(V785))),"",V785*$D$3^2/(2*$H$3))</f>
        <v/>
      </c>
      <c r="AF785" s="20" t="str">
        <f aca="false">IF(OR(V785="",NOT(ISNUMBER(V785))),"",V785*$D$3^2/2*$F$3)</f>
        <v/>
      </c>
      <c r="AG785" s="19" t="str">
        <f aca="false">IF(OR(W785="",NOT(ISNUMBER(W785))),"",W785*$D$3^2/(2*$H$3))</f>
        <v/>
      </c>
      <c r="AH785" s="20" t="str">
        <f aca="false">IF(OR(W785="",NOT(ISNUMBER(W785))),"",W785*$D$3^2/2*$F$3)</f>
        <v/>
      </c>
    </row>
    <row r="786" customFormat="false" ht="15" hidden="false" customHeight="false" outlineLevel="0" collapsed="false">
      <c r="A786" s="10" t="s">
        <v>1694</v>
      </c>
      <c r="B786" s="23" t="s">
        <v>1273</v>
      </c>
      <c r="C786" s="6" t="s">
        <v>925</v>
      </c>
      <c r="D786" s="6" t="s">
        <v>1695</v>
      </c>
      <c r="E786" s="6" t="s">
        <v>1669</v>
      </c>
      <c r="F786" s="6" t="s">
        <v>1637</v>
      </c>
      <c r="G786" s="6" t="n">
        <v>280</v>
      </c>
      <c r="H786" s="6"/>
      <c r="I786" s="6"/>
      <c r="J786" s="6" t="n">
        <v>16</v>
      </c>
      <c r="K786" s="6" t="s">
        <v>1276</v>
      </c>
      <c r="L786" s="6"/>
      <c r="M786" s="6"/>
      <c r="N786" s="12" t="n">
        <v>229.2</v>
      </c>
      <c r="O786" s="12" t="n">
        <v>229.2</v>
      </c>
      <c r="P786" s="12"/>
      <c r="Q786" s="12"/>
      <c r="R786" s="14" t="n">
        <v>0.014</v>
      </c>
      <c r="S786" s="6"/>
      <c r="T786" s="6"/>
      <c r="U786" s="14" t="n">
        <v>0</v>
      </c>
      <c r="V786" s="14"/>
      <c r="W786" s="14"/>
      <c r="X786" s="10" t="s">
        <v>929</v>
      </c>
      <c r="Y786" s="16"/>
      <c r="Z786" s="17" t="s">
        <v>48</v>
      </c>
      <c r="AA786" s="6" t="s">
        <v>1638</v>
      </c>
      <c r="AB786" s="18" t="n">
        <f aca="false">IF(O786="","",$D$3*PI()*(O786/1000)^2/4*3600)</f>
        <v>222.798810461864</v>
      </c>
      <c r="AC786" s="19" t="n">
        <f aca="false">IF(OR(U786="",NOT(ISNUMBER(U786))),"",U786*$D$3^2/(2*$H$3))</f>
        <v>0</v>
      </c>
      <c r="AD786" s="20" t="n">
        <f aca="false">IF(OR(U786="",NOT(ISNUMBER(U786))),"",U786*$D$3^2/2*$F$3)</f>
        <v>0</v>
      </c>
      <c r="AE786" s="19" t="str">
        <f aca="false">IF(OR(V786="",NOT(ISNUMBER(V786))),"",V786*$D$3^2/(2*$H$3))</f>
        <v/>
      </c>
      <c r="AF786" s="20" t="str">
        <f aca="false">IF(OR(V786="",NOT(ISNUMBER(V786))),"",V786*$D$3^2/2*$F$3)</f>
        <v/>
      </c>
      <c r="AG786" s="19" t="str">
        <f aca="false">IF(OR(W786="",NOT(ISNUMBER(W786))),"",W786*$D$3^2/(2*$H$3))</f>
        <v/>
      </c>
      <c r="AH786" s="20" t="str">
        <f aca="false">IF(OR(W786="",NOT(ISNUMBER(W786))),"",W786*$D$3^2/2*$F$3)</f>
        <v/>
      </c>
    </row>
    <row r="787" customFormat="false" ht="15" hidden="false" customHeight="false" outlineLevel="0" collapsed="false">
      <c r="A787" s="10" t="s">
        <v>1696</v>
      </c>
      <c r="B787" s="23" t="s">
        <v>1273</v>
      </c>
      <c r="C787" s="6" t="s">
        <v>925</v>
      </c>
      <c r="D787" s="6" t="s">
        <v>1697</v>
      </c>
      <c r="E787" s="6" t="s">
        <v>1669</v>
      </c>
      <c r="F787" s="6" t="s">
        <v>1637</v>
      </c>
      <c r="G787" s="6" t="n">
        <v>315</v>
      </c>
      <c r="H787" s="6"/>
      <c r="I787" s="6"/>
      <c r="J787" s="6" t="n">
        <v>16</v>
      </c>
      <c r="K787" s="6" t="s">
        <v>1276</v>
      </c>
      <c r="L787" s="6"/>
      <c r="M787" s="6"/>
      <c r="N787" s="12" t="n">
        <v>257.8</v>
      </c>
      <c r="O787" s="12" t="n">
        <v>257.8</v>
      </c>
      <c r="P787" s="12"/>
      <c r="Q787" s="12"/>
      <c r="R787" s="14" t="n">
        <v>0.013</v>
      </c>
      <c r="S787" s="6"/>
      <c r="T787" s="6"/>
      <c r="U787" s="14" t="n">
        <v>0</v>
      </c>
      <c r="V787" s="14"/>
      <c r="W787" s="14"/>
      <c r="X787" s="10" t="s">
        <v>929</v>
      </c>
      <c r="Y787" s="16"/>
      <c r="Z787" s="17" t="s">
        <v>48</v>
      </c>
      <c r="AA787" s="6" t="s">
        <v>1638</v>
      </c>
      <c r="AB787" s="18" t="n">
        <f aca="false">IF(O787="","",$D$3*PI()*(O787/1000)^2/4*3600)</f>
        <v>281.870397038799</v>
      </c>
      <c r="AC787" s="19" t="n">
        <f aca="false">IF(OR(U787="",NOT(ISNUMBER(U787))),"",U787*$D$3^2/(2*$H$3))</f>
        <v>0</v>
      </c>
      <c r="AD787" s="20" t="n">
        <f aca="false">IF(OR(U787="",NOT(ISNUMBER(U787))),"",U787*$D$3^2/2*$F$3)</f>
        <v>0</v>
      </c>
      <c r="AE787" s="19" t="str">
        <f aca="false">IF(OR(V787="",NOT(ISNUMBER(V787))),"",V787*$D$3^2/(2*$H$3))</f>
        <v/>
      </c>
      <c r="AF787" s="20" t="str">
        <f aca="false">IF(OR(V787="",NOT(ISNUMBER(V787))),"",V787*$D$3^2/2*$F$3)</f>
        <v/>
      </c>
      <c r="AG787" s="19" t="str">
        <f aca="false">IF(OR(W787="",NOT(ISNUMBER(W787))),"",W787*$D$3^2/(2*$H$3))</f>
        <v/>
      </c>
      <c r="AH787" s="20" t="str">
        <f aca="false">IF(OR(W787="",NOT(ISNUMBER(W787))),"",W787*$D$3^2/2*$F$3)</f>
        <v/>
      </c>
    </row>
    <row r="788" customFormat="false" ht="15" hidden="false" customHeight="false" outlineLevel="0" collapsed="false">
      <c r="A788" s="10" t="s">
        <v>1698</v>
      </c>
      <c r="B788" s="23" t="s">
        <v>1273</v>
      </c>
      <c r="C788" s="6" t="s">
        <v>925</v>
      </c>
      <c r="D788" s="6" t="s">
        <v>1699</v>
      </c>
      <c r="E788" s="6" t="s">
        <v>1669</v>
      </c>
      <c r="F788" s="6" t="s">
        <v>1637</v>
      </c>
      <c r="G788" s="6" t="n">
        <v>355</v>
      </c>
      <c r="H788" s="6"/>
      <c r="I788" s="6"/>
      <c r="J788" s="6" t="n">
        <v>16</v>
      </c>
      <c r="K788" s="6" t="s">
        <v>1276</v>
      </c>
      <c r="L788" s="6"/>
      <c r="M788" s="6"/>
      <c r="N788" s="12" t="n">
        <v>290.6</v>
      </c>
      <c r="O788" s="12" t="n">
        <v>290.6</v>
      </c>
      <c r="P788" s="12"/>
      <c r="Q788" s="12"/>
      <c r="R788" s="14" t="n">
        <v>0.013</v>
      </c>
      <c r="S788" s="6"/>
      <c r="T788" s="6"/>
      <c r="U788" s="14" t="n">
        <v>0</v>
      </c>
      <c r="V788" s="14"/>
      <c r="W788" s="14"/>
      <c r="X788" s="10" t="s">
        <v>929</v>
      </c>
      <c r="Y788" s="16"/>
      <c r="Z788" s="17" t="s">
        <v>48</v>
      </c>
      <c r="AA788" s="6" t="s">
        <v>1638</v>
      </c>
      <c r="AB788" s="18" t="n">
        <f aca="false">IF(O788="","",$D$3*PI()*(O788/1000)^2/4*3600)</f>
        <v>358.158168968003</v>
      </c>
      <c r="AC788" s="19" t="n">
        <f aca="false">IF(OR(U788="",NOT(ISNUMBER(U788))),"",U788*$D$3^2/(2*$H$3))</f>
        <v>0</v>
      </c>
      <c r="AD788" s="20" t="n">
        <f aca="false">IF(OR(U788="",NOT(ISNUMBER(U788))),"",U788*$D$3^2/2*$F$3)</f>
        <v>0</v>
      </c>
      <c r="AE788" s="19" t="str">
        <f aca="false">IF(OR(V788="",NOT(ISNUMBER(V788))),"",V788*$D$3^2/(2*$H$3))</f>
        <v/>
      </c>
      <c r="AF788" s="20" t="str">
        <f aca="false">IF(OR(V788="",NOT(ISNUMBER(V788))),"",V788*$D$3^2/2*$F$3)</f>
        <v/>
      </c>
      <c r="AG788" s="19" t="str">
        <f aca="false">IF(OR(W788="",NOT(ISNUMBER(W788))),"",W788*$D$3^2/(2*$H$3))</f>
        <v/>
      </c>
      <c r="AH788" s="20" t="str">
        <f aca="false">IF(OR(W788="",NOT(ISNUMBER(W788))),"",W788*$D$3^2/2*$F$3)</f>
        <v/>
      </c>
    </row>
    <row r="789" customFormat="false" ht="15" hidden="false" customHeight="false" outlineLevel="0" collapsed="false">
      <c r="A789" s="10" t="s">
        <v>1700</v>
      </c>
      <c r="B789" s="23" t="s">
        <v>1273</v>
      </c>
      <c r="C789" s="6" t="s">
        <v>925</v>
      </c>
      <c r="D789" s="6" t="s">
        <v>1701</v>
      </c>
      <c r="E789" s="6" t="s">
        <v>1669</v>
      </c>
      <c r="F789" s="6" t="s">
        <v>1637</v>
      </c>
      <c r="G789" s="6" t="n">
        <v>400</v>
      </c>
      <c r="H789" s="6"/>
      <c r="I789" s="6"/>
      <c r="J789" s="6" t="n">
        <v>16</v>
      </c>
      <c r="K789" s="6" t="s">
        <v>1276</v>
      </c>
      <c r="L789" s="6"/>
      <c r="M789" s="6"/>
      <c r="N789" s="12" t="n">
        <v>327.4</v>
      </c>
      <c r="O789" s="12" t="n">
        <v>327.4</v>
      </c>
      <c r="P789" s="12"/>
      <c r="Q789" s="12"/>
      <c r="R789" s="14" t="n">
        <v>0.013</v>
      </c>
      <c r="S789" s="6"/>
      <c r="T789" s="6"/>
      <c r="U789" s="14" t="n">
        <v>0</v>
      </c>
      <c r="V789" s="14"/>
      <c r="W789" s="14"/>
      <c r="X789" s="10" t="s">
        <v>929</v>
      </c>
      <c r="Y789" s="16"/>
      <c r="Z789" s="17" t="s">
        <v>48</v>
      </c>
      <c r="AA789" s="6" t="s">
        <v>1638</v>
      </c>
      <c r="AB789" s="18" t="n">
        <f aca="false">IF(O789="","",$D$3*PI()*(O789/1000)^2/4*3600)</f>
        <v>454.612100600754</v>
      </c>
      <c r="AC789" s="19" t="n">
        <f aca="false">IF(OR(U789="",NOT(ISNUMBER(U789))),"",U789*$D$3^2/(2*$H$3))</f>
        <v>0</v>
      </c>
      <c r="AD789" s="20" t="n">
        <f aca="false">IF(OR(U789="",NOT(ISNUMBER(U789))),"",U789*$D$3^2/2*$F$3)</f>
        <v>0</v>
      </c>
      <c r="AE789" s="19" t="str">
        <f aca="false">IF(OR(V789="",NOT(ISNUMBER(V789))),"",V789*$D$3^2/(2*$H$3))</f>
        <v/>
      </c>
      <c r="AF789" s="20" t="str">
        <f aca="false">IF(OR(V789="",NOT(ISNUMBER(V789))),"",V789*$D$3^2/2*$F$3)</f>
        <v/>
      </c>
      <c r="AG789" s="19" t="str">
        <f aca="false">IF(OR(W789="",NOT(ISNUMBER(W789))),"",W789*$D$3^2/(2*$H$3))</f>
        <v/>
      </c>
      <c r="AH789" s="20" t="str">
        <f aca="false">IF(OR(W789="",NOT(ISNUMBER(W789))),"",W789*$D$3^2/2*$F$3)</f>
        <v/>
      </c>
    </row>
    <row r="790" customFormat="false" ht="15" hidden="false" customHeight="false" outlineLevel="0" collapsed="false">
      <c r="A790" s="10" t="s">
        <v>1702</v>
      </c>
      <c r="B790" s="24" t="s">
        <v>1703</v>
      </c>
      <c r="C790" s="6" t="s">
        <v>925</v>
      </c>
      <c r="D790" s="6" t="s">
        <v>1704</v>
      </c>
      <c r="E790" s="6" t="s">
        <v>1705</v>
      </c>
      <c r="F790" s="6" t="s">
        <v>1706</v>
      </c>
      <c r="G790" s="6" t="n">
        <v>20</v>
      </c>
      <c r="H790" s="6"/>
      <c r="I790" s="6" t="s">
        <v>108</v>
      </c>
      <c r="J790" s="6" t="s">
        <v>1707</v>
      </c>
      <c r="K790" s="6" t="s">
        <v>1708</v>
      </c>
      <c r="L790" s="6"/>
      <c r="M790" s="6"/>
      <c r="N790" s="12" t="n">
        <v>16</v>
      </c>
      <c r="O790" s="12" t="n">
        <v>16</v>
      </c>
      <c r="P790" s="12" t="n">
        <v>15.8</v>
      </c>
      <c r="Q790" s="12"/>
      <c r="R790" s="14" t="n">
        <v>0.027</v>
      </c>
      <c r="S790" s="6" t="n">
        <v>0</v>
      </c>
      <c r="T790" s="6"/>
      <c r="U790" s="15" t="n">
        <f aca="false">0.04+(0.5*(1-(P790/N790)^2)+(1-(P790/N790)^2)^2)*(N790/P790)^4</f>
        <v>0.0537119355412893</v>
      </c>
      <c r="V790" s="14"/>
      <c r="W790" s="14"/>
      <c r="X790" s="10" t="s">
        <v>1709</v>
      </c>
      <c r="Y790" s="16"/>
      <c r="Z790" s="17" t="s">
        <v>48</v>
      </c>
      <c r="AA790" s="6"/>
      <c r="AB790" s="18" t="n">
        <f aca="false">IF(O790="","",$D$3*PI()*(O790/1000)^2/4*3600)</f>
        <v>1.08573442108063</v>
      </c>
      <c r="AC790" s="19" t="n">
        <f aca="false">IF(OR(U790="",NOT(ISNUMBER(U790))),"",U790*$D$3^2/(2*$H$3))</f>
        <v>0.00615962563546896</v>
      </c>
      <c r="AD790" s="20" t="n">
        <f aca="false">IF(OR(U790="",NOT(ISNUMBER(U790))),"",U790*$D$3^2/2*$F$3)</f>
        <v>60.4259274839505</v>
      </c>
      <c r="AE790" s="19" t="str">
        <f aca="false">IF(OR(V790="",NOT(ISNUMBER(V790))),"",V790*$D$3^2/(2*$H$3))</f>
        <v/>
      </c>
      <c r="AF790" s="20" t="str">
        <f aca="false">IF(OR(V790="",NOT(ISNUMBER(V790))),"",V790*$D$3^2/2*$F$3)</f>
        <v/>
      </c>
      <c r="AG790" s="19" t="str">
        <f aca="false">IF(OR(W790="",NOT(ISNUMBER(W790))),"",W790*$D$3^2/(2*$H$3))</f>
        <v/>
      </c>
      <c r="AH790" s="20" t="str">
        <f aca="false">IF(OR(W790="",NOT(ISNUMBER(W790))),"",W790*$D$3^2/2*$F$3)</f>
        <v/>
      </c>
    </row>
    <row r="791" customFormat="false" ht="15" hidden="false" customHeight="false" outlineLevel="0" collapsed="false">
      <c r="A791" s="10" t="s">
        <v>1710</v>
      </c>
      <c r="B791" s="24" t="s">
        <v>1703</v>
      </c>
      <c r="C791" s="6" t="s">
        <v>925</v>
      </c>
      <c r="D791" s="6" t="s">
        <v>1711</v>
      </c>
      <c r="E791" s="6" t="s">
        <v>1712</v>
      </c>
      <c r="F791" s="6" t="s">
        <v>1706</v>
      </c>
      <c r="G791" s="6" t="n">
        <v>20</v>
      </c>
      <c r="H791" s="6"/>
      <c r="I791" s="6" t="s">
        <v>108</v>
      </c>
      <c r="J791" s="6" t="s">
        <v>1707</v>
      </c>
      <c r="K791" s="6" t="s">
        <v>1708</v>
      </c>
      <c r="L791" s="6"/>
      <c r="M791" s="6"/>
      <c r="N791" s="12" t="n">
        <v>16</v>
      </c>
      <c r="O791" s="12" t="n">
        <v>16</v>
      </c>
      <c r="P791" s="12" t="n">
        <v>15.8</v>
      </c>
      <c r="Q791" s="12"/>
      <c r="R791" s="14" t="n">
        <v>0.027</v>
      </c>
      <c r="S791" s="6" t="n">
        <v>0</v>
      </c>
      <c r="T791" s="6"/>
      <c r="U791" s="15" t="n">
        <f aca="false">0.04+(0.5*(1-(P791/N791)^2)+(1-(P791/N791)^2)^2)*(N791/P791)^4</f>
        <v>0.0537119355412893</v>
      </c>
      <c r="V791" s="14"/>
      <c r="W791" s="14"/>
      <c r="X791" s="10" t="s">
        <v>1709</v>
      </c>
      <c r="Y791" s="16"/>
      <c r="Z791" s="17" t="s">
        <v>48</v>
      </c>
      <c r="AA791" s="6"/>
      <c r="AB791" s="18" t="n">
        <f aca="false">IF(O791="","",$D$3*PI()*(O791/1000)^2/4*3600)</f>
        <v>1.08573442108063</v>
      </c>
      <c r="AC791" s="19" t="n">
        <f aca="false">IF(OR(U791="",NOT(ISNUMBER(U791))),"",U791*$D$3^2/(2*$H$3))</f>
        <v>0.00615962563546896</v>
      </c>
      <c r="AD791" s="20" t="n">
        <f aca="false">IF(OR(U791="",NOT(ISNUMBER(U791))),"",U791*$D$3^2/2*$F$3)</f>
        <v>60.4259274839505</v>
      </c>
      <c r="AE791" s="19" t="str">
        <f aca="false">IF(OR(V791="",NOT(ISNUMBER(V791))),"",V791*$D$3^2/(2*$H$3))</f>
        <v/>
      </c>
      <c r="AF791" s="20" t="str">
        <f aca="false">IF(OR(V791="",NOT(ISNUMBER(V791))),"",V791*$D$3^2/2*$F$3)</f>
        <v/>
      </c>
      <c r="AG791" s="19" t="str">
        <f aca="false">IF(OR(W791="",NOT(ISNUMBER(W791))),"",W791*$D$3^2/(2*$H$3))</f>
        <v/>
      </c>
      <c r="AH791" s="20" t="str">
        <f aca="false">IF(OR(W791="",NOT(ISNUMBER(W791))),"",W791*$D$3^2/2*$F$3)</f>
        <v/>
      </c>
    </row>
    <row r="792" customFormat="false" ht="15" hidden="false" customHeight="false" outlineLevel="0" collapsed="false">
      <c r="A792" s="10" t="s">
        <v>1713</v>
      </c>
      <c r="B792" s="24" t="s">
        <v>1703</v>
      </c>
      <c r="C792" s="6" t="s">
        <v>925</v>
      </c>
      <c r="D792" s="6" t="s">
        <v>1714</v>
      </c>
      <c r="E792" s="6" t="s">
        <v>1705</v>
      </c>
      <c r="F792" s="6" t="s">
        <v>1706</v>
      </c>
      <c r="G792" s="6" t="n">
        <v>25</v>
      </c>
      <c r="H792" s="6"/>
      <c r="I792" s="6" t="s">
        <v>111</v>
      </c>
      <c r="J792" s="6" t="s">
        <v>1707</v>
      </c>
      <c r="K792" s="6" t="s">
        <v>1708</v>
      </c>
      <c r="L792" s="6"/>
      <c r="M792" s="6"/>
      <c r="N792" s="12" t="n">
        <v>20.4</v>
      </c>
      <c r="O792" s="12" t="n">
        <v>20.4</v>
      </c>
      <c r="P792" s="12" t="n">
        <v>20.4</v>
      </c>
      <c r="Q792" s="12"/>
      <c r="R792" s="14" t="n">
        <v>0.025</v>
      </c>
      <c r="S792" s="6" t="n">
        <v>0</v>
      </c>
      <c r="T792" s="6"/>
      <c r="U792" s="15" t="n">
        <f aca="false">0.04+(0.5*(1-(P792/N792)^2)+(1-(P792/N792)^2)^2)*(N792/P792)^4</f>
        <v>0.04</v>
      </c>
      <c r="V792" s="14"/>
      <c r="W792" s="14"/>
      <c r="X792" s="10" t="s">
        <v>1709</v>
      </c>
      <c r="Y792" s="16"/>
      <c r="Z792" s="17" t="s">
        <v>48</v>
      </c>
      <c r="AA792" s="6"/>
      <c r="AB792" s="18" t="n">
        <f aca="false">IF(O792="","",$D$3*PI()*(O792/1000)^2/4*3600)</f>
        <v>1.7649970182692</v>
      </c>
      <c r="AC792" s="19" t="n">
        <f aca="false">IF(OR(U792="",NOT(ISNUMBER(U792))),"",U792*$D$3^2/(2*$H$3))</f>
        <v>0.00458715596330275</v>
      </c>
      <c r="AD792" s="20" t="n">
        <f aca="false">IF(OR(U792="",NOT(ISNUMBER(U792))),"",U792*$D$3^2/2*$F$3)</f>
        <v>45</v>
      </c>
      <c r="AE792" s="19" t="str">
        <f aca="false">IF(OR(V792="",NOT(ISNUMBER(V792))),"",V792*$D$3^2/(2*$H$3))</f>
        <v/>
      </c>
      <c r="AF792" s="20" t="str">
        <f aca="false">IF(OR(V792="",NOT(ISNUMBER(V792))),"",V792*$D$3^2/2*$F$3)</f>
        <v/>
      </c>
      <c r="AG792" s="19" t="str">
        <f aca="false">IF(OR(W792="",NOT(ISNUMBER(W792))),"",W792*$D$3^2/(2*$H$3))</f>
        <v/>
      </c>
      <c r="AH792" s="20" t="str">
        <f aca="false">IF(OR(W792="",NOT(ISNUMBER(W792))),"",W792*$D$3^2/2*$F$3)</f>
        <v/>
      </c>
    </row>
    <row r="793" customFormat="false" ht="15" hidden="false" customHeight="false" outlineLevel="0" collapsed="false">
      <c r="A793" s="10" t="s">
        <v>1715</v>
      </c>
      <c r="B793" s="24" t="s">
        <v>1703</v>
      </c>
      <c r="C793" s="6" t="s">
        <v>925</v>
      </c>
      <c r="D793" s="6" t="s">
        <v>1716</v>
      </c>
      <c r="E793" s="6" t="s">
        <v>1712</v>
      </c>
      <c r="F793" s="6" t="s">
        <v>1706</v>
      </c>
      <c r="G793" s="6" t="n">
        <v>25</v>
      </c>
      <c r="H793" s="6"/>
      <c r="I793" s="6" t="s">
        <v>111</v>
      </c>
      <c r="J793" s="6" t="s">
        <v>1707</v>
      </c>
      <c r="K793" s="6" t="s">
        <v>1708</v>
      </c>
      <c r="L793" s="6"/>
      <c r="M793" s="6"/>
      <c r="N793" s="12" t="n">
        <v>20.4</v>
      </c>
      <c r="O793" s="12" t="n">
        <v>20.4</v>
      </c>
      <c r="P793" s="12" t="n">
        <v>20.4</v>
      </c>
      <c r="Q793" s="12"/>
      <c r="R793" s="14" t="n">
        <v>0.025</v>
      </c>
      <c r="S793" s="6" t="n">
        <v>0</v>
      </c>
      <c r="T793" s="6"/>
      <c r="U793" s="15" t="n">
        <f aca="false">0.04+(0.5*(1-(P793/N793)^2)+(1-(P793/N793)^2)^2)*(N793/P793)^4</f>
        <v>0.04</v>
      </c>
      <c r="V793" s="14"/>
      <c r="W793" s="14"/>
      <c r="X793" s="10" t="s">
        <v>1709</v>
      </c>
      <c r="Y793" s="16"/>
      <c r="Z793" s="17" t="s">
        <v>48</v>
      </c>
      <c r="AA793" s="6"/>
      <c r="AB793" s="18" t="n">
        <f aca="false">IF(O793="","",$D$3*PI()*(O793/1000)^2/4*3600)</f>
        <v>1.7649970182692</v>
      </c>
      <c r="AC793" s="19" t="n">
        <f aca="false">IF(OR(U793="",NOT(ISNUMBER(U793))),"",U793*$D$3^2/(2*$H$3))</f>
        <v>0.00458715596330275</v>
      </c>
      <c r="AD793" s="20" t="n">
        <f aca="false">IF(OR(U793="",NOT(ISNUMBER(U793))),"",U793*$D$3^2/2*$F$3)</f>
        <v>45</v>
      </c>
      <c r="AE793" s="19" t="str">
        <f aca="false">IF(OR(V793="",NOT(ISNUMBER(V793))),"",V793*$D$3^2/(2*$H$3))</f>
        <v/>
      </c>
      <c r="AF793" s="20" t="str">
        <f aca="false">IF(OR(V793="",NOT(ISNUMBER(V793))),"",V793*$D$3^2/2*$F$3)</f>
        <v/>
      </c>
      <c r="AG793" s="19" t="str">
        <f aca="false">IF(OR(W793="",NOT(ISNUMBER(W793))),"",W793*$D$3^2/(2*$H$3))</f>
        <v/>
      </c>
      <c r="AH793" s="20" t="str">
        <f aca="false">IF(OR(W793="",NOT(ISNUMBER(W793))),"",W793*$D$3^2/2*$F$3)</f>
        <v/>
      </c>
    </row>
    <row r="794" customFormat="false" ht="15" hidden="false" customHeight="false" outlineLevel="0" collapsed="false">
      <c r="A794" s="10" t="s">
        <v>1717</v>
      </c>
      <c r="B794" s="24" t="s">
        <v>1703</v>
      </c>
      <c r="C794" s="6" t="s">
        <v>925</v>
      </c>
      <c r="D794" s="6" t="s">
        <v>1718</v>
      </c>
      <c r="E794" s="6" t="s">
        <v>1705</v>
      </c>
      <c r="F794" s="6" t="s">
        <v>1706</v>
      </c>
      <c r="G794" s="6" t="n">
        <v>32</v>
      </c>
      <c r="H794" s="6"/>
      <c r="I794" s="6" t="s">
        <v>118</v>
      </c>
      <c r="J794" s="6" t="s">
        <v>1707</v>
      </c>
      <c r="K794" s="6" t="s">
        <v>1708</v>
      </c>
      <c r="L794" s="6"/>
      <c r="M794" s="6"/>
      <c r="N794" s="12" t="n">
        <v>26.2</v>
      </c>
      <c r="O794" s="12" t="n">
        <v>26.2</v>
      </c>
      <c r="P794" s="12" t="n">
        <v>26.2</v>
      </c>
      <c r="Q794" s="12"/>
      <c r="R794" s="14" t="n">
        <v>0.023</v>
      </c>
      <c r="S794" s="6" t="n">
        <v>0</v>
      </c>
      <c r="T794" s="6"/>
      <c r="U794" s="15" t="n">
        <f aca="false">0.04+(0.5*(1-(P794/N794)^2)+(1-(P794/N794)^2)^2)*(N794/P794)^4</f>
        <v>0.04</v>
      </c>
      <c r="V794" s="14"/>
      <c r="W794" s="14"/>
      <c r="X794" s="10" t="s">
        <v>1709</v>
      </c>
      <c r="Y794" s="16"/>
      <c r="Z794" s="17" t="s">
        <v>48</v>
      </c>
      <c r="AA794" s="6"/>
      <c r="AB794" s="18" t="n">
        <f aca="false">IF(O794="","",$D$3*PI()*(O794/1000)^2/4*3600)</f>
        <v>2.91129506252574</v>
      </c>
      <c r="AC794" s="19" t="n">
        <f aca="false">IF(OR(U794="",NOT(ISNUMBER(U794))),"",U794*$D$3^2/(2*$H$3))</f>
        <v>0.00458715596330275</v>
      </c>
      <c r="AD794" s="20" t="n">
        <f aca="false">IF(OR(U794="",NOT(ISNUMBER(U794))),"",U794*$D$3^2/2*$F$3)</f>
        <v>45</v>
      </c>
      <c r="AE794" s="19" t="str">
        <f aca="false">IF(OR(V794="",NOT(ISNUMBER(V794))),"",V794*$D$3^2/(2*$H$3))</f>
        <v/>
      </c>
      <c r="AF794" s="20" t="str">
        <f aca="false">IF(OR(V794="",NOT(ISNUMBER(V794))),"",V794*$D$3^2/2*$F$3)</f>
        <v/>
      </c>
      <c r="AG794" s="19" t="str">
        <f aca="false">IF(OR(W794="",NOT(ISNUMBER(W794))),"",W794*$D$3^2/(2*$H$3))</f>
        <v/>
      </c>
      <c r="AH794" s="20" t="str">
        <f aca="false">IF(OR(W794="",NOT(ISNUMBER(W794))),"",W794*$D$3^2/2*$F$3)</f>
        <v/>
      </c>
    </row>
    <row r="795" customFormat="false" ht="15" hidden="false" customHeight="false" outlineLevel="0" collapsed="false">
      <c r="A795" s="10" t="s">
        <v>1719</v>
      </c>
      <c r="B795" s="24" t="s">
        <v>1703</v>
      </c>
      <c r="C795" s="6" t="s">
        <v>925</v>
      </c>
      <c r="D795" s="6" t="s">
        <v>1720</v>
      </c>
      <c r="E795" s="6" t="s">
        <v>1712</v>
      </c>
      <c r="F795" s="6" t="s">
        <v>1706</v>
      </c>
      <c r="G795" s="6" t="n">
        <v>32</v>
      </c>
      <c r="H795" s="6"/>
      <c r="I795" s="6" t="s">
        <v>118</v>
      </c>
      <c r="J795" s="6" t="s">
        <v>1707</v>
      </c>
      <c r="K795" s="6" t="s">
        <v>1708</v>
      </c>
      <c r="L795" s="6"/>
      <c r="M795" s="6"/>
      <c r="N795" s="12" t="n">
        <v>26.2</v>
      </c>
      <c r="O795" s="12" t="n">
        <v>26.2</v>
      </c>
      <c r="P795" s="12" t="n">
        <v>26.2</v>
      </c>
      <c r="Q795" s="12"/>
      <c r="R795" s="14" t="n">
        <v>0.023</v>
      </c>
      <c r="S795" s="6" t="n">
        <v>0</v>
      </c>
      <c r="T795" s="6"/>
      <c r="U795" s="15" t="n">
        <f aca="false">0.04+(0.5*(1-(P795/N795)^2)+(1-(P795/N795)^2)^2)*(N795/P795)^4</f>
        <v>0.04</v>
      </c>
      <c r="V795" s="14"/>
      <c r="W795" s="14"/>
      <c r="X795" s="10" t="s">
        <v>1709</v>
      </c>
      <c r="Y795" s="16"/>
      <c r="Z795" s="17" t="s">
        <v>48</v>
      </c>
      <c r="AA795" s="6"/>
      <c r="AB795" s="18" t="n">
        <f aca="false">IF(O795="","",$D$3*PI()*(O795/1000)^2/4*3600)</f>
        <v>2.91129506252574</v>
      </c>
      <c r="AC795" s="19" t="n">
        <f aca="false">IF(OR(U795="",NOT(ISNUMBER(U795))),"",U795*$D$3^2/(2*$H$3))</f>
        <v>0.00458715596330275</v>
      </c>
      <c r="AD795" s="20" t="n">
        <f aca="false">IF(OR(U795="",NOT(ISNUMBER(U795))),"",U795*$D$3^2/2*$F$3)</f>
        <v>45</v>
      </c>
      <c r="AE795" s="19" t="str">
        <f aca="false">IF(OR(V795="",NOT(ISNUMBER(V795))),"",V795*$D$3^2/(2*$H$3))</f>
        <v/>
      </c>
      <c r="AF795" s="20" t="str">
        <f aca="false">IF(OR(V795="",NOT(ISNUMBER(V795))),"",V795*$D$3^2/2*$F$3)</f>
        <v/>
      </c>
      <c r="AG795" s="19" t="str">
        <f aca="false">IF(OR(W795="",NOT(ISNUMBER(W795))),"",W795*$D$3^2/(2*$H$3))</f>
        <v/>
      </c>
      <c r="AH795" s="20" t="str">
        <f aca="false">IF(OR(W795="",NOT(ISNUMBER(W795))),"",W795*$D$3^2/2*$F$3)</f>
        <v/>
      </c>
    </row>
    <row r="796" customFormat="false" ht="15" hidden="false" customHeight="false" outlineLevel="0" collapsed="false">
      <c r="A796" s="10" t="s">
        <v>1721</v>
      </c>
      <c r="B796" s="24" t="s">
        <v>1703</v>
      </c>
      <c r="C796" s="6" t="s">
        <v>925</v>
      </c>
      <c r="D796" s="6" t="s">
        <v>1722</v>
      </c>
      <c r="E796" s="6" t="s">
        <v>1705</v>
      </c>
      <c r="F796" s="6" t="s">
        <v>1706</v>
      </c>
      <c r="G796" s="6" t="n">
        <v>40</v>
      </c>
      <c r="H796" s="6"/>
      <c r="I796" s="6" t="s">
        <v>127</v>
      </c>
      <c r="J796" s="6" t="s">
        <v>1707</v>
      </c>
      <c r="K796" s="6" t="s">
        <v>1708</v>
      </c>
      <c r="L796" s="6"/>
      <c r="M796" s="6"/>
      <c r="N796" s="12" t="n">
        <v>32.6</v>
      </c>
      <c r="O796" s="12" t="n">
        <v>32.6</v>
      </c>
      <c r="P796" s="12" t="n">
        <v>32.6</v>
      </c>
      <c r="Q796" s="12"/>
      <c r="R796" s="14" t="n">
        <v>0.022</v>
      </c>
      <c r="S796" s="6" t="n">
        <v>0</v>
      </c>
      <c r="T796" s="6"/>
      <c r="U796" s="15" t="n">
        <f aca="false">0.04+(0.5*(1-(P796/N796)^2)+(1-(P796/N796)^2)^2)*(N796/P796)^4</f>
        <v>0.04</v>
      </c>
      <c r="V796" s="14"/>
      <c r="W796" s="14"/>
      <c r="X796" s="10" t="s">
        <v>1709</v>
      </c>
      <c r="Y796" s="16"/>
      <c r="Z796" s="17" t="s">
        <v>48</v>
      </c>
      <c r="AA796" s="6"/>
      <c r="AB796" s="18" t="n">
        <f aca="false">IF(O796="","",$D$3*PI()*(O796/1000)^2/4*3600)</f>
        <v>4.50732466151427</v>
      </c>
      <c r="AC796" s="19" t="n">
        <f aca="false">IF(OR(U796="",NOT(ISNUMBER(U796))),"",U796*$D$3^2/(2*$H$3))</f>
        <v>0.00458715596330275</v>
      </c>
      <c r="AD796" s="20" t="n">
        <f aca="false">IF(OR(U796="",NOT(ISNUMBER(U796))),"",U796*$D$3^2/2*$F$3)</f>
        <v>45</v>
      </c>
      <c r="AE796" s="19" t="str">
        <f aca="false">IF(OR(V796="",NOT(ISNUMBER(V796))),"",V796*$D$3^2/(2*$H$3))</f>
        <v/>
      </c>
      <c r="AF796" s="20" t="str">
        <f aca="false">IF(OR(V796="",NOT(ISNUMBER(V796))),"",V796*$D$3^2/2*$F$3)</f>
        <v/>
      </c>
      <c r="AG796" s="19" t="str">
        <f aca="false">IF(OR(W796="",NOT(ISNUMBER(W796))),"",W796*$D$3^2/(2*$H$3))</f>
        <v/>
      </c>
      <c r="AH796" s="20" t="str">
        <f aca="false">IF(OR(W796="",NOT(ISNUMBER(W796))),"",W796*$D$3^2/2*$F$3)</f>
        <v/>
      </c>
    </row>
    <row r="797" customFormat="false" ht="15" hidden="false" customHeight="false" outlineLevel="0" collapsed="false">
      <c r="A797" s="10" t="s">
        <v>1723</v>
      </c>
      <c r="B797" s="24" t="s">
        <v>1703</v>
      </c>
      <c r="C797" s="6" t="s">
        <v>925</v>
      </c>
      <c r="D797" s="6" t="s">
        <v>1724</v>
      </c>
      <c r="E797" s="6" t="s">
        <v>1712</v>
      </c>
      <c r="F797" s="6" t="s">
        <v>1706</v>
      </c>
      <c r="G797" s="6" t="n">
        <v>40</v>
      </c>
      <c r="H797" s="6"/>
      <c r="I797" s="6" t="s">
        <v>127</v>
      </c>
      <c r="J797" s="6" t="s">
        <v>1707</v>
      </c>
      <c r="K797" s="6" t="s">
        <v>1708</v>
      </c>
      <c r="L797" s="6"/>
      <c r="M797" s="6"/>
      <c r="N797" s="12" t="n">
        <v>32.6</v>
      </c>
      <c r="O797" s="12" t="n">
        <v>32.6</v>
      </c>
      <c r="P797" s="12" t="n">
        <v>32.6</v>
      </c>
      <c r="Q797" s="12"/>
      <c r="R797" s="14" t="n">
        <v>0.022</v>
      </c>
      <c r="S797" s="6" t="n">
        <v>0</v>
      </c>
      <c r="T797" s="6"/>
      <c r="U797" s="15" t="n">
        <f aca="false">0.04+(0.5*(1-(P797/N797)^2)+(1-(P797/N797)^2)^2)*(N797/P797)^4</f>
        <v>0.04</v>
      </c>
      <c r="V797" s="14"/>
      <c r="W797" s="14"/>
      <c r="X797" s="10" t="s">
        <v>1709</v>
      </c>
      <c r="Y797" s="16"/>
      <c r="Z797" s="17" t="s">
        <v>48</v>
      </c>
      <c r="AA797" s="6"/>
      <c r="AB797" s="18" t="n">
        <f aca="false">IF(O797="","",$D$3*PI()*(O797/1000)^2/4*3600)</f>
        <v>4.50732466151427</v>
      </c>
      <c r="AC797" s="19" t="n">
        <f aca="false">IF(OR(U797="",NOT(ISNUMBER(U797))),"",U797*$D$3^2/(2*$H$3))</f>
        <v>0.00458715596330275</v>
      </c>
      <c r="AD797" s="20" t="n">
        <f aca="false">IF(OR(U797="",NOT(ISNUMBER(U797))),"",U797*$D$3^2/2*$F$3)</f>
        <v>45</v>
      </c>
      <c r="AE797" s="19" t="str">
        <f aca="false">IF(OR(V797="",NOT(ISNUMBER(V797))),"",V797*$D$3^2/(2*$H$3))</f>
        <v/>
      </c>
      <c r="AF797" s="20" t="str">
        <f aca="false">IF(OR(V797="",NOT(ISNUMBER(V797))),"",V797*$D$3^2/2*$F$3)</f>
        <v/>
      </c>
      <c r="AG797" s="19" t="str">
        <f aca="false">IF(OR(W797="",NOT(ISNUMBER(W797))),"",W797*$D$3^2/(2*$H$3))</f>
        <v/>
      </c>
      <c r="AH797" s="20" t="str">
        <f aca="false">IF(OR(W797="",NOT(ISNUMBER(W797))),"",W797*$D$3^2/2*$F$3)</f>
        <v/>
      </c>
    </row>
    <row r="798" customFormat="false" ht="15" hidden="false" customHeight="false" outlineLevel="0" collapsed="false">
      <c r="A798" s="10" t="s">
        <v>1725</v>
      </c>
      <c r="B798" s="24" t="s">
        <v>1703</v>
      </c>
      <c r="C798" s="6" t="s">
        <v>925</v>
      </c>
      <c r="D798" s="6" t="s">
        <v>1726</v>
      </c>
      <c r="E798" s="6" t="s">
        <v>1705</v>
      </c>
      <c r="F798" s="6" t="s">
        <v>1706</v>
      </c>
      <c r="G798" s="6" t="n">
        <v>50</v>
      </c>
      <c r="H798" s="6"/>
      <c r="I798" s="6" t="s">
        <v>130</v>
      </c>
      <c r="J798" s="6" t="s">
        <v>1707</v>
      </c>
      <c r="K798" s="6" t="s">
        <v>1708</v>
      </c>
      <c r="L798" s="6"/>
      <c r="M798" s="6"/>
      <c r="N798" s="12" t="n">
        <v>40.8</v>
      </c>
      <c r="O798" s="12" t="n">
        <v>40.8</v>
      </c>
      <c r="P798" s="12" t="n">
        <v>40.8</v>
      </c>
      <c r="Q798" s="12"/>
      <c r="R798" s="14" t="n">
        <v>0.021</v>
      </c>
      <c r="S798" s="6" t="n">
        <v>0</v>
      </c>
      <c r="T798" s="6"/>
      <c r="U798" s="15" t="n">
        <f aca="false">0.04+(0.5*(1-(P798/N798)^2)+(1-(P798/N798)^2)^2)*(N798/P798)^4</f>
        <v>0.04</v>
      </c>
      <c r="V798" s="14"/>
      <c r="W798" s="14"/>
      <c r="X798" s="10" t="s">
        <v>1709</v>
      </c>
      <c r="Y798" s="16"/>
      <c r="Z798" s="17" t="s">
        <v>48</v>
      </c>
      <c r="AA798" s="6"/>
      <c r="AB798" s="18" t="n">
        <f aca="false">IF(O798="","",$D$3*PI()*(O798/1000)^2/4*3600)</f>
        <v>7.05998807307681</v>
      </c>
      <c r="AC798" s="19" t="n">
        <f aca="false">IF(OR(U798="",NOT(ISNUMBER(U798))),"",U798*$D$3^2/(2*$H$3))</f>
        <v>0.00458715596330275</v>
      </c>
      <c r="AD798" s="20" t="n">
        <f aca="false">IF(OR(U798="",NOT(ISNUMBER(U798))),"",U798*$D$3^2/2*$F$3)</f>
        <v>45</v>
      </c>
      <c r="AE798" s="19" t="str">
        <f aca="false">IF(OR(V798="",NOT(ISNUMBER(V798))),"",V798*$D$3^2/(2*$H$3))</f>
        <v/>
      </c>
      <c r="AF798" s="20" t="str">
        <f aca="false">IF(OR(V798="",NOT(ISNUMBER(V798))),"",V798*$D$3^2/2*$F$3)</f>
        <v/>
      </c>
      <c r="AG798" s="19" t="str">
        <f aca="false">IF(OR(W798="",NOT(ISNUMBER(W798))),"",W798*$D$3^2/(2*$H$3))</f>
        <v/>
      </c>
      <c r="AH798" s="20" t="str">
        <f aca="false">IF(OR(W798="",NOT(ISNUMBER(W798))),"",W798*$D$3^2/2*$F$3)</f>
        <v/>
      </c>
    </row>
    <row r="799" customFormat="false" ht="15" hidden="false" customHeight="false" outlineLevel="0" collapsed="false">
      <c r="A799" s="10" t="s">
        <v>1727</v>
      </c>
      <c r="B799" s="24" t="s">
        <v>1703</v>
      </c>
      <c r="C799" s="6" t="s">
        <v>925</v>
      </c>
      <c r="D799" s="6" t="s">
        <v>1728</v>
      </c>
      <c r="E799" s="6" t="s">
        <v>1712</v>
      </c>
      <c r="F799" s="6" t="s">
        <v>1706</v>
      </c>
      <c r="G799" s="6" t="n">
        <v>50</v>
      </c>
      <c r="H799" s="6"/>
      <c r="I799" s="6" t="s">
        <v>130</v>
      </c>
      <c r="J799" s="6" t="s">
        <v>1707</v>
      </c>
      <c r="K799" s="6" t="s">
        <v>1708</v>
      </c>
      <c r="L799" s="6"/>
      <c r="M799" s="6"/>
      <c r="N799" s="12" t="n">
        <v>40.8</v>
      </c>
      <c r="O799" s="12" t="n">
        <v>40.8</v>
      </c>
      <c r="P799" s="12" t="n">
        <v>40.8</v>
      </c>
      <c r="Q799" s="12"/>
      <c r="R799" s="14" t="n">
        <v>0.021</v>
      </c>
      <c r="S799" s="6" t="n">
        <v>0</v>
      </c>
      <c r="T799" s="6"/>
      <c r="U799" s="15" t="n">
        <f aca="false">0.04+(0.5*(1-(P799/N799)^2)+(1-(P799/N799)^2)^2)*(N799/P799)^4</f>
        <v>0.04</v>
      </c>
      <c r="V799" s="14"/>
      <c r="W799" s="14"/>
      <c r="X799" s="10" t="s">
        <v>1709</v>
      </c>
      <c r="Y799" s="16"/>
      <c r="Z799" s="17" t="s">
        <v>48</v>
      </c>
      <c r="AA799" s="6"/>
      <c r="AB799" s="18" t="n">
        <f aca="false">IF(O799="","",$D$3*PI()*(O799/1000)^2/4*3600)</f>
        <v>7.05998807307681</v>
      </c>
      <c r="AC799" s="19" t="n">
        <f aca="false">IF(OR(U799="",NOT(ISNUMBER(U799))),"",U799*$D$3^2/(2*$H$3))</f>
        <v>0.00458715596330275</v>
      </c>
      <c r="AD799" s="20" t="n">
        <f aca="false">IF(OR(U799="",NOT(ISNUMBER(U799))),"",U799*$D$3^2/2*$F$3)</f>
        <v>45</v>
      </c>
      <c r="AE799" s="19" t="str">
        <f aca="false">IF(OR(V799="",NOT(ISNUMBER(V799))),"",V799*$D$3^2/(2*$H$3))</f>
        <v/>
      </c>
      <c r="AF799" s="20" t="str">
        <f aca="false">IF(OR(V799="",NOT(ISNUMBER(V799))),"",V799*$D$3^2/2*$F$3)</f>
        <v/>
      </c>
      <c r="AG799" s="19" t="str">
        <f aca="false">IF(OR(W799="",NOT(ISNUMBER(W799))),"",W799*$D$3^2/(2*$H$3))</f>
        <v/>
      </c>
      <c r="AH799" s="20" t="str">
        <f aca="false">IF(OR(W799="",NOT(ISNUMBER(W799))),"",W799*$D$3^2/2*$F$3)</f>
        <v/>
      </c>
    </row>
    <row r="800" customFormat="false" ht="15" hidden="false" customHeight="false" outlineLevel="0" collapsed="false">
      <c r="A800" s="10" t="s">
        <v>1729</v>
      </c>
      <c r="B800" s="24" t="s">
        <v>1703</v>
      </c>
      <c r="C800" s="6" t="s">
        <v>925</v>
      </c>
      <c r="D800" s="6" t="s">
        <v>1730</v>
      </c>
      <c r="E800" s="6" t="s">
        <v>1705</v>
      </c>
      <c r="F800" s="6" t="s">
        <v>1706</v>
      </c>
      <c r="G800" s="6" t="n">
        <v>63</v>
      </c>
      <c r="H800" s="6"/>
      <c r="I800" s="6" t="s">
        <v>133</v>
      </c>
      <c r="J800" s="6" t="s">
        <v>1707</v>
      </c>
      <c r="K800" s="6" t="s">
        <v>1708</v>
      </c>
      <c r="L800" s="6"/>
      <c r="M800" s="6"/>
      <c r="N800" s="12" t="n">
        <v>51.4</v>
      </c>
      <c r="O800" s="12" t="n">
        <v>51.4</v>
      </c>
      <c r="P800" s="12" t="n">
        <v>51.4</v>
      </c>
      <c r="Q800" s="12"/>
      <c r="R800" s="14" t="n">
        <v>0.019</v>
      </c>
      <c r="S800" s="6" t="n">
        <v>0</v>
      </c>
      <c r="T800" s="6"/>
      <c r="U800" s="15" t="n">
        <f aca="false">0.04+(0.5*(1-(P800/N800)^2)+(1-(P800/N800)^2)^2)*(N800/P800)^4</f>
        <v>0.04</v>
      </c>
      <c r="V800" s="14"/>
      <c r="W800" s="14"/>
      <c r="X800" s="10" t="s">
        <v>1709</v>
      </c>
      <c r="Y800" s="16"/>
      <c r="Z800" s="17" t="s">
        <v>48</v>
      </c>
      <c r="AA800" s="6"/>
      <c r="AB800" s="18" t="n">
        <f aca="false">IF(O800="","",$D$3*PI()*(O800/1000)^2/4*3600)</f>
        <v>11.2049488715554</v>
      </c>
      <c r="AC800" s="19" t="n">
        <f aca="false">IF(OR(U800="",NOT(ISNUMBER(U800))),"",U800*$D$3^2/(2*$H$3))</f>
        <v>0.00458715596330275</v>
      </c>
      <c r="AD800" s="20" t="n">
        <f aca="false">IF(OR(U800="",NOT(ISNUMBER(U800))),"",U800*$D$3^2/2*$F$3)</f>
        <v>45</v>
      </c>
      <c r="AE800" s="19" t="str">
        <f aca="false">IF(OR(V800="",NOT(ISNUMBER(V800))),"",V800*$D$3^2/(2*$H$3))</f>
        <v/>
      </c>
      <c r="AF800" s="20" t="str">
        <f aca="false">IF(OR(V800="",NOT(ISNUMBER(V800))),"",V800*$D$3^2/2*$F$3)</f>
        <v/>
      </c>
      <c r="AG800" s="19" t="str">
        <f aca="false">IF(OR(W800="",NOT(ISNUMBER(W800))),"",W800*$D$3^2/(2*$H$3))</f>
        <v/>
      </c>
      <c r="AH800" s="20" t="str">
        <f aca="false">IF(OR(W800="",NOT(ISNUMBER(W800))),"",W800*$D$3^2/2*$F$3)</f>
        <v/>
      </c>
    </row>
    <row r="801" customFormat="false" ht="15" hidden="false" customHeight="false" outlineLevel="0" collapsed="false">
      <c r="A801" s="10" t="s">
        <v>1731</v>
      </c>
      <c r="B801" s="24" t="s">
        <v>1703</v>
      </c>
      <c r="C801" s="6" t="s">
        <v>925</v>
      </c>
      <c r="D801" s="6" t="s">
        <v>1732</v>
      </c>
      <c r="E801" s="6" t="s">
        <v>1712</v>
      </c>
      <c r="F801" s="6" t="s">
        <v>1706</v>
      </c>
      <c r="G801" s="6" t="n">
        <v>63</v>
      </c>
      <c r="H801" s="6"/>
      <c r="I801" s="6" t="s">
        <v>133</v>
      </c>
      <c r="J801" s="6" t="s">
        <v>1707</v>
      </c>
      <c r="K801" s="6" t="s">
        <v>1708</v>
      </c>
      <c r="L801" s="6"/>
      <c r="M801" s="6"/>
      <c r="N801" s="12" t="n">
        <v>51.4</v>
      </c>
      <c r="O801" s="12" t="n">
        <v>51.4</v>
      </c>
      <c r="P801" s="12" t="n">
        <v>51.4</v>
      </c>
      <c r="Q801" s="12"/>
      <c r="R801" s="14" t="n">
        <v>0.019</v>
      </c>
      <c r="S801" s="6" t="n">
        <v>0</v>
      </c>
      <c r="T801" s="6"/>
      <c r="U801" s="15" t="n">
        <f aca="false">0.04+(0.5*(1-(P801/N801)^2)+(1-(P801/N801)^2)^2)*(N801/P801)^4</f>
        <v>0.04</v>
      </c>
      <c r="V801" s="14"/>
      <c r="W801" s="14"/>
      <c r="X801" s="10" t="s">
        <v>1709</v>
      </c>
      <c r="Y801" s="16"/>
      <c r="Z801" s="17" t="s">
        <v>48</v>
      </c>
      <c r="AA801" s="6"/>
      <c r="AB801" s="18" t="n">
        <f aca="false">IF(O801="","",$D$3*PI()*(O801/1000)^2/4*3600)</f>
        <v>11.2049488715554</v>
      </c>
      <c r="AC801" s="19" t="n">
        <f aca="false">IF(OR(U801="",NOT(ISNUMBER(U801))),"",U801*$D$3^2/(2*$H$3))</f>
        <v>0.00458715596330275</v>
      </c>
      <c r="AD801" s="20" t="n">
        <f aca="false">IF(OR(U801="",NOT(ISNUMBER(U801))),"",U801*$D$3^2/2*$F$3)</f>
        <v>45</v>
      </c>
      <c r="AE801" s="19" t="str">
        <f aca="false">IF(OR(V801="",NOT(ISNUMBER(V801))),"",V801*$D$3^2/(2*$H$3))</f>
        <v/>
      </c>
      <c r="AF801" s="20" t="str">
        <f aca="false">IF(OR(V801="",NOT(ISNUMBER(V801))),"",V801*$D$3^2/2*$F$3)</f>
        <v/>
      </c>
      <c r="AG801" s="19" t="str">
        <f aca="false">IF(OR(W801="",NOT(ISNUMBER(W801))),"",W801*$D$3^2/(2*$H$3))</f>
        <v/>
      </c>
      <c r="AH801" s="20" t="str">
        <f aca="false">IF(OR(W801="",NOT(ISNUMBER(W801))),"",W801*$D$3^2/2*$F$3)</f>
        <v/>
      </c>
    </row>
    <row r="802" customFormat="false" ht="15" hidden="false" customHeight="false" outlineLevel="0" collapsed="false">
      <c r="A802" s="10" t="s">
        <v>1733</v>
      </c>
      <c r="B802" s="24" t="s">
        <v>1703</v>
      </c>
      <c r="C802" s="6" t="s">
        <v>925</v>
      </c>
      <c r="D802" s="6" t="s">
        <v>1734</v>
      </c>
      <c r="E802" s="6" t="s">
        <v>1705</v>
      </c>
      <c r="F802" s="6" t="s">
        <v>1706</v>
      </c>
      <c r="G802" s="6" t="n">
        <v>75</v>
      </c>
      <c r="H802" s="6"/>
      <c r="I802" s="6" t="s">
        <v>136</v>
      </c>
      <c r="J802" s="6" t="s">
        <v>1707</v>
      </c>
      <c r="K802" s="6" t="s">
        <v>1708</v>
      </c>
      <c r="L802" s="6"/>
      <c r="M802" s="6"/>
      <c r="N802" s="12" t="n">
        <v>61.4</v>
      </c>
      <c r="O802" s="12" t="n">
        <v>61.4</v>
      </c>
      <c r="P802" s="12" t="n">
        <v>61.4</v>
      </c>
      <c r="Q802" s="12"/>
      <c r="R802" s="14" t="n">
        <v>0.018</v>
      </c>
      <c r="S802" s="6" t="n">
        <v>0</v>
      </c>
      <c r="T802" s="6"/>
      <c r="U802" s="15" t="n">
        <f aca="false">0.04+(0.5*(1-(P802/N802)^2)+(1-(P802/N802)^2)^2)*(N802/P802)^4</f>
        <v>0.04</v>
      </c>
      <c r="V802" s="14"/>
      <c r="W802" s="14"/>
      <c r="X802" s="10" t="s">
        <v>1709</v>
      </c>
      <c r="Y802" s="16"/>
      <c r="Z802" s="17" t="s">
        <v>48</v>
      </c>
      <c r="AA802" s="6"/>
      <c r="AB802" s="18" t="n">
        <f aca="false">IF(O802="","",$D$3*PI()*(O802/1000)^2/4*3600)</f>
        <v>15.988966164442</v>
      </c>
      <c r="AC802" s="19" t="n">
        <f aca="false">IF(OR(U802="",NOT(ISNUMBER(U802))),"",U802*$D$3^2/(2*$H$3))</f>
        <v>0.00458715596330275</v>
      </c>
      <c r="AD802" s="20" t="n">
        <f aca="false">IF(OR(U802="",NOT(ISNUMBER(U802))),"",U802*$D$3^2/2*$F$3)</f>
        <v>45</v>
      </c>
      <c r="AE802" s="19" t="str">
        <f aca="false">IF(OR(V802="",NOT(ISNUMBER(V802))),"",V802*$D$3^2/(2*$H$3))</f>
        <v/>
      </c>
      <c r="AF802" s="20" t="str">
        <f aca="false">IF(OR(V802="",NOT(ISNUMBER(V802))),"",V802*$D$3^2/2*$F$3)</f>
        <v/>
      </c>
      <c r="AG802" s="19" t="str">
        <f aca="false">IF(OR(W802="",NOT(ISNUMBER(W802))),"",W802*$D$3^2/(2*$H$3))</f>
        <v/>
      </c>
      <c r="AH802" s="20" t="str">
        <f aca="false">IF(OR(W802="",NOT(ISNUMBER(W802))),"",W802*$D$3^2/2*$F$3)</f>
        <v/>
      </c>
    </row>
    <row r="803" customFormat="false" ht="15" hidden="false" customHeight="false" outlineLevel="0" collapsed="false">
      <c r="A803" s="10" t="s">
        <v>1735</v>
      </c>
      <c r="B803" s="24" t="s">
        <v>1703</v>
      </c>
      <c r="C803" s="6" t="s">
        <v>925</v>
      </c>
      <c r="D803" s="6" t="s">
        <v>1736</v>
      </c>
      <c r="E803" s="6" t="s">
        <v>1712</v>
      </c>
      <c r="F803" s="6" t="s">
        <v>1706</v>
      </c>
      <c r="G803" s="6" t="n">
        <v>75</v>
      </c>
      <c r="H803" s="6"/>
      <c r="I803" s="6" t="s">
        <v>136</v>
      </c>
      <c r="J803" s="6" t="s">
        <v>1707</v>
      </c>
      <c r="K803" s="6" t="s">
        <v>1708</v>
      </c>
      <c r="L803" s="6"/>
      <c r="M803" s="6"/>
      <c r="N803" s="12" t="n">
        <v>61.4</v>
      </c>
      <c r="O803" s="12" t="n">
        <v>61.4</v>
      </c>
      <c r="P803" s="12" t="n">
        <v>61.4</v>
      </c>
      <c r="Q803" s="12"/>
      <c r="R803" s="14" t="n">
        <v>0.018</v>
      </c>
      <c r="S803" s="6" t="n">
        <v>0</v>
      </c>
      <c r="T803" s="6"/>
      <c r="U803" s="15" t="n">
        <f aca="false">0.04+(0.5*(1-(P803/N803)^2)+(1-(P803/N803)^2)^2)*(N803/P803)^4</f>
        <v>0.04</v>
      </c>
      <c r="V803" s="14"/>
      <c r="W803" s="14"/>
      <c r="X803" s="10" t="s">
        <v>1709</v>
      </c>
      <c r="Y803" s="16"/>
      <c r="Z803" s="17" t="s">
        <v>48</v>
      </c>
      <c r="AA803" s="6"/>
      <c r="AB803" s="18" t="n">
        <f aca="false">IF(O803="","",$D$3*PI()*(O803/1000)^2/4*3600)</f>
        <v>15.988966164442</v>
      </c>
      <c r="AC803" s="19" t="n">
        <f aca="false">IF(OR(U803="",NOT(ISNUMBER(U803))),"",U803*$D$3^2/(2*$H$3))</f>
        <v>0.00458715596330275</v>
      </c>
      <c r="AD803" s="20" t="n">
        <f aca="false">IF(OR(U803="",NOT(ISNUMBER(U803))),"",U803*$D$3^2/2*$F$3)</f>
        <v>45</v>
      </c>
      <c r="AE803" s="19" t="str">
        <f aca="false">IF(OR(V803="",NOT(ISNUMBER(V803))),"",V803*$D$3^2/(2*$H$3))</f>
        <v/>
      </c>
      <c r="AF803" s="20" t="str">
        <f aca="false">IF(OR(V803="",NOT(ISNUMBER(V803))),"",V803*$D$3^2/2*$F$3)</f>
        <v/>
      </c>
      <c r="AG803" s="19" t="str">
        <f aca="false">IF(OR(W803="",NOT(ISNUMBER(W803))),"",W803*$D$3^2/(2*$H$3))</f>
        <v/>
      </c>
      <c r="AH803" s="20" t="str">
        <f aca="false">IF(OR(W803="",NOT(ISNUMBER(W803))),"",W803*$D$3^2/2*$F$3)</f>
        <v/>
      </c>
    </row>
    <row r="804" customFormat="false" ht="15" hidden="false" customHeight="false" outlineLevel="0" collapsed="false">
      <c r="A804" s="10" t="s">
        <v>1737</v>
      </c>
      <c r="B804" s="24" t="s">
        <v>1703</v>
      </c>
      <c r="C804" s="6" t="s">
        <v>925</v>
      </c>
      <c r="D804" s="6" t="s">
        <v>1738</v>
      </c>
      <c r="E804" s="6" t="s">
        <v>1705</v>
      </c>
      <c r="F804" s="6" t="s">
        <v>1706</v>
      </c>
      <c r="G804" s="6" t="n">
        <v>90</v>
      </c>
      <c r="H804" s="6"/>
      <c r="I804" s="6" t="s">
        <v>139</v>
      </c>
      <c r="J804" s="6" t="s">
        <v>1707</v>
      </c>
      <c r="K804" s="6" t="s">
        <v>1708</v>
      </c>
      <c r="L804" s="6"/>
      <c r="M804" s="6"/>
      <c r="N804" s="12" t="n">
        <v>73.6</v>
      </c>
      <c r="O804" s="12" t="n">
        <v>73.6</v>
      </c>
      <c r="P804" s="12" t="n">
        <v>73.6</v>
      </c>
      <c r="Q804" s="12"/>
      <c r="R804" s="14" t="n">
        <v>0.018</v>
      </c>
      <c r="S804" s="6" t="n">
        <v>0</v>
      </c>
      <c r="T804" s="6"/>
      <c r="U804" s="15" t="n">
        <f aca="false">0.04+(0.5*(1-(P804/N804)^2)+(1-(P804/N804)^2)^2)*(N804/P804)^4</f>
        <v>0.04</v>
      </c>
      <c r="V804" s="14"/>
      <c r="W804" s="14"/>
      <c r="X804" s="10" t="s">
        <v>1709</v>
      </c>
      <c r="Y804" s="16"/>
      <c r="Z804" s="17" t="s">
        <v>48</v>
      </c>
      <c r="AA804" s="6"/>
      <c r="AB804" s="18" t="n">
        <f aca="false">IF(O804="","",$D$3*PI()*(O804/1000)^2/4*3600)</f>
        <v>22.9741403500662</v>
      </c>
      <c r="AC804" s="19" t="n">
        <f aca="false">IF(OR(U804="",NOT(ISNUMBER(U804))),"",U804*$D$3^2/(2*$H$3))</f>
        <v>0.00458715596330275</v>
      </c>
      <c r="AD804" s="20" t="n">
        <f aca="false">IF(OR(U804="",NOT(ISNUMBER(U804))),"",U804*$D$3^2/2*$F$3)</f>
        <v>45</v>
      </c>
      <c r="AE804" s="19" t="str">
        <f aca="false">IF(OR(V804="",NOT(ISNUMBER(V804))),"",V804*$D$3^2/(2*$H$3))</f>
        <v/>
      </c>
      <c r="AF804" s="20" t="str">
        <f aca="false">IF(OR(V804="",NOT(ISNUMBER(V804))),"",V804*$D$3^2/2*$F$3)</f>
        <v/>
      </c>
      <c r="AG804" s="19" t="str">
        <f aca="false">IF(OR(W804="",NOT(ISNUMBER(W804))),"",W804*$D$3^2/(2*$H$3))</f>
        <v/>
      </c>
      <c r="AH804" s="20" t="str">
        <f aca="false">IF(OR(W804="",NOT(ISNUMBER(W804))),"",W804*$D$3^2/2*$F$3)</f>
        <v/>
      </c>
    </row>
    <row r="805" customFormat="false" ht="15" hidden="false" customHeight="false" outlineLevel="0" collapsed="false">
      <c r="A805" s="10" t="s">
        <v>1739</v>
      </c>
      <c r="B805" s="24" t="s">
        <v>1703</v>
      </c>
      <c r="C805" s="6" t="s">
        <v>925</v>
      </c>
      <c r="D805" s="6" t="s">
        <v>1740</v>
      </c>
      <c r="E805" s="6" t="s">
        <v>1712</v>
      </c>
      <c r="F805" s="6" t="s">
        <v>1706</v>
      </c>
      <c r="G805" s="6" t="n">
        <v>90</v>
      </c>
      <c r="H805" s="6"/>
      <c r="I805" s="6" t="s">
        <v>139</v>
      </c>
      <c r="J805" s="6" t="s">
        <v>1707</v>
      </c>
      <c r="K805" s="6" t="s">
        <v>1708</v>
      </c>
      <c r="L805" s="6"/>
      <c r="M805" s="6"/>
      <c r="N805" s="12" t="n">
        <v>73.6</v>
      </c>
      <c r="O805" s="12" t="n">
        <v>73.6</v>
      </c>
      <c r="P805" s="12" t="n">
        <v>73.6</v>
      </c>
      <c r="Q805" s="12"/>
      <c r="R805" s="14" t="n">
        <v>0.018</v>
      </c>
      <c r="S805" s="6" t="n">
        <v>0</v>
      </c>
      <c r="T805" s="6"/>
      <c r="U805" s="15" t="n">
        <f aca="false">0.04+(0.5*(1-(P805/N805)^2)+(1-(P805/N805)^2)^2)*(N805/P805)^4</f>
        <v>0.04</v>
      </c>
      <c r="V805" s="14"/>
      <c r="W805" s="14"/>
      <c r="X805" s="10" t="s">
        <v>1709</v>
      </c>
      <c r="Y805" s="16"/>
      <c r="Z805" s="17" t="s">
        <v>48</v>
      </c>
      <c r="AA805" s="6"/>
      <c r="AB805" s="18" t="n">
        <f aca="false">IF(O805="","",$D$3*PI()*(O805/1000)^2/4*3600)</f>
        <v>22.9741403500662</v>
      </c>
      <c r="AC805" s="19" t="n">
        <f aca="false">IF(OR(U805="",NOT(ISNUMBER(U805))),"",U805*$D$3^2/(2*$H$3))</f>
        <v>0.00458715596330275</v>
      </c>
      <c r="AD805" s="20" t="n">
        <f aca="false">IF(OR(U805="",NOT(ISNUMBER(U805))),"",U805*$D$3^2/2*$F$3)</f>
        <v>45</v>
      </c>
      <c r="AE805" s="19" t="str">
        <f aca="false">IF(OR(V805="",NOT(ISNUMBER(V805))),"",V805*$D$3^2/(2*$H$3))</f>
        <v/>
      </c>
      <c r="AF805" s="20" t="str">
        <f aca="false">IF(OR(V805="",NOT(ISNUMBER(V805))),"",V805*$D$3^2/2*$F$3)</f>
        <v/>
      </c>
      <c r="AG805" s="19" t="str">
        <f aca="false">IF(OR(W805="",NOT(ISNUMBER(W805))),"",W805*$D$3^2/(2*$H$3))</f>
        <v/>
      </c>
      <c r="AH805" s="20" t="str">
        <f aca="false">IF(OR(W805="",NOT(ISNUMBER(W805))),"",W805*$D$3^2/2*$F$3)</f>
        <v/>
      </c>
    </row>
    <row r="806" customFormat="false" ht="15" hidden="false" customHeight="false" outlineLevel="0" collapsed="false">
      <c r="A806" s="10" t="s">
        <v>1741</v>
      </c>
      <c r="B806" s="24" t="s">
        <v>1703</v>
      </c>
      <c r="C806" s="6" t="s">
        <v>925</v>
      </c>
      <c r="D806" s="6" t="s">
        <v>1742</v>
      </c>
      <c r="E806" s="6" t="s">
        <v>1705</v>
      </c>
      <c r="F806" s="6" t="s">
        <v>1706</v>
      </c>
      <c r="G806" s="6" t="n">
        <v>110</v>
      </c>
      <c r="H806" s="6"/>
      <c r="I806" s="6" t="s">
        <v>142</v>
      </c>
      <c r="J806" s="6" t="s">
        <v>1707</v>
      </c>
      <c r="K806" s="6" t="s">
        <v>1708</v>
      </c>
      <c r="L806" s="6"/>
      <c r="M806" s="6"/>
      <c r="N806" s="12" t="n">
        <v>90</v>
      </c>
      <c r="O806" s="12" t="n">
        <v>90</v>
      </c>
      <c r="P806" s="12" t="n">
        <v>90</v>
      </c>
      <c r="Q806" s="12"/>
      <c r="R806" s="14" t="n">
        <v>0.017</v>
      </c>
      <c r="S806" s="6" t="n">
        <v>0</v>
      </c>
      <c r="T806" s="6"/>
      <c r="U806" s="15" t="n">
        <f aca="false">0.04+(0.5*(1-(P806/N806)^2)+(1-(P806/N806)^2)^2)*(N806/P806)^4</f>
        <v>0.04</v>
      </c>
      <c r="V806" s="14"/>
      <c r="W806" s="14"/>
      <c r="X806" s="10" t="s">
        <v>1709</v>
      </c>
      <c r="Y806" s="16"/>
      <c r="Z806" s="17" t="s">
        <v>48</v>
      </c>
      <c r="AA806" s="6"/>
      <c r="AB806" s="18" t="n">
        <f aca="false">IF(O806="","",$D$3*PI()*(O806/1000)^2/4*3600)</f>
        <v>34.3533156670044</v>
      </c>
      <c r="AC806" s="19" t="n">
        <f aca="false">IF(OR(U806="",NOT(ISNUMBER(U806))),"",U806*$D$3^2/(2*$H$3))</f>
        <v>0.00458715596330275</v>
      </c>
      <c r="AD806" s="20" t="n">
        <f aca="false">IF(OR(U806="",NOT(ISNUMBER(U806))),"",U806*$D$3^2/2*$F$3)</f>
        <v>45</v>
      </c>
      <c r="AE806" s="19" t="str">
        <f aca="false">IF(OR(V806="",NOT(ISNUMBER(V806))),"",V806*$D$3^2/(2*$H$3))</f>
        <v/>
      </c>
      <c r="AF806" s="20" t="str">
        <f aca="false">IF(OR(V806="",NOT(ISNUMBER(V806))),"",V806*$D$3^2/2*$F$3)</f>
        <v/>
      </c>
      <c r="AG806" s="19" t="str">
        <f aca="false">IF(OR(W806="",NOT(ISNUMBER(W806))),"",W806*$D$3^2/(2*$H$3))</f>
        <v/>
      </c>
      <c r="AH806" s="20" t="str">
        <f aca="false">IF(OR(W806="",NOT(ISNUMBER(W806))),"",W806*$D$3^2/2*$F$3)</f>
        <v/>
      </c>
    </row>
    <row r="807" customFormat="false" ht="15" hidden="false" customHeight="false" outlineLevel="0" collapsed="false">
      <c r="A807" s="10" t="s">
        <v>1743</v>
      </c>
      <c r="B807" s="24" t="s">
        <v>1703</v>
      </c>
      <c r="C807" s="6" t="s">
        <v>925</v>
      </c>
      <c r="D807" s="6" t="s">
        <v>1744</v>
      </c>
      <c r="E807" s="6" t="s">
        <v>1712</v>
      </c>
      <c r="F807" s="6" t="s">
        <v>1706</v>
      </c>
      <c r="G807" s="6" t="n">
        <v>110</v>
      </c>
      <c r="H807" s="6"/>
      <c r="I807" s="6" t="s">
        <v>142</v>
      </c>
      <c r="J807" s="6" t="s">
        <v>1707</v>
      </c>
      <c r="K807" s="6" t="s">
        <v>1708</v>
      </c>
      <c r="L807" s="6"/>
      <c r="M807" s="6"/>
      <c r="N807" s="12" t="n">
        <v>90</v>
      </c>
      <c r="O807" s="12" t="n">
        <v>90</v>
      </c>
      <c r="P807" s="12" t="n">
        <v>90</v>
      </c>
      <c r="Q807" s="12"/>
      <c r="R807" s="14" t="n">
        <v>0.017</v>
      </c>
      <c r="S807" s="6" t="n">
        <v>0</v>
      </c>
      <c r="T807" s="6"/>
      <c r="U807" s="15" t="n">
        <f aca="false">0.04+(0.5*(1-(P807/N807)^2)+(1-(P807/N807)^2)^2)*(N807/P807)^4</f>
        <v>0.04</v>
      </c>
      <c r="V807" s="14"/>
      <c r="W807" s="14"/>
      <c r="X807" s="10" t="s">
        <v>1709</v>
      </c>
      <c r="Y807" s="16"/>
      <c r="Z807" s="17" t="s">
        <v>48</v>
      </c>
      <c r="AA807" s="6"/>
      <c r="AB807" s="18" t="n">
        <f aca="false">IF(O807="","",$D$3*PI()*(O807/1000)^2/4*3600)</f>
        <v>34.3533156670044</v>
      </c>
      <c r="AC807" s="19" t="n">
        <f aca="false">IF(OR(U807="",NOT(ISNUMBER(U807))),"",U807*$D$3^2/(2*$H$3))</f>
        <v>0.00458715596330275</v>
      </c>
      <c r="AD807" s="20" t="n">
        <f aca="false">IF(OR(U807="",NOT(ISNUMBER(U807))),"",U807*$D$3^2/2*$F$3)</f>
        <v>45</v>
      </c>
      <c r="AE807" s="19" t="str">
        <f aca="false">IF(OR(V807="",NOT(ISNUMBER(V807))),"",V807*$D$3^2/(2*$H$3))</f>
        <v/>
      </c>
      <c r="AF807" s="20" t="str">
        <f aca="false">IF(OR(V807="",NOT(ISNUMBER(V807))),"",V807*$D$3^2/2*$F$3)</f>
        <v/>
      </c>
      <c r="AG807" s="19" t="str">
        <f aca="false">IF(OR(W807="",NOT(ISNUMBER(W807))),"",W807*$D$3^2/(2*$H$3))</f>
        <v/>
      </c>
      <c r="AH807" s="20" t="str">
        <f aca="false">IF(OR(W807="",NOT(ISNUMBER(W807))),"",W807*$D$3^2/2*$F$3)</f>
        <v/>
      </c>
    </row>
    <row r="808" customFormat="false" ht="15" hidden="false" customHeight="false" outlineLevel="0" collapsed="false">
      <c r="A808" s="10" t="s">
        <v>1745</v>
      </c>
      <c r="B808" s="24" t="s">
        <v>1703</v>
      </c>
      <c r="C808" s="6" t="s">
        <v>925</v>
      </c>
      <c r="D808" s="6" t="s">
        <v>1746</v>
      </c>
      <c r="E808" s="6" t="s">
        <v>1705</v>
      </c>
      <c r="F808" s="6" t="s">
        <v>1706</v>
      </c>
      <c r="G808" s="6" t="n">
        <v>125</v>
      </c>
      <c r="H808" s="6"/>
      <c r="I808" s="6" t="s">
        <v>142</v>
      </c>
      <c r="J808" s="6" t="s">
        <v>1707</v>
      </c>
      <c r="K808" s="6" t="s">
        <v>1708</v>
      </c>
      <c r="L808" s="6"/>
      <c r="M808" s="6"/>
      <c r="N808" s="12" t="n">
        <v>102.2</v>
      </c>
      <c r="O808" s="12" t="n">
        <v>102.2</v>
      </c>
      <c r="P808" s="12" t="n">
        <v>102.2</v>
      </c>
      <c r="Q808" s="12"/>
      <c r="R808" s="14" t="n">
        <v>0.016</v>
      </c>
      <c r="S808" s="6" t="n">
        <v>0</v>
      </c>
      <c r="T808" s="6"/>
      <c r="U808" s="15" t="n">
        <f aca="false">0.04+(0.5*(1-(P808/N808)^2)+(1-(P808/N808)^2)^2)*(N808/P808)^4</f>
        <v>0.04</v>
      </c>
      <c r="V808" s="14"/>
      <c r="W808" s="14"/>
      <c r="X808" s="10" t="s">
        <v>1709</v>
      </c>
      <c r="Y808" s="16"/>
      <c r="Z808" s="17" t="s">
        <v>48</v>
      </c>
      <c r="AA808" s="6"/>
      <c r="AB808" s="18" t="n">
        <f aca="false">IF(O808="","",$D$3*PI()*(O808/1000)^2/4*3600)</f>
        <v>44.2981340260931</v>
      </c>
      <c r="AC808" s="19" t="n">
        <f aca="false">IF(OR(U808="",NOT(ISNUMBER(U808))),"",U808*$D$3^2/(2*$H$3))</f>
        <v>0.00458715596330275</v>
      </c>
      <c r="AD808" s="20" t="n">
        <f aca="false">IF(OR(U808="",NOT(ISNUMBER(U808))),"",U808*$D$3^2/2*$F$3)</f>
        <v>45</v>
      </c>
      <c r="AE808" s="19" t="str">
        <f aca="false">IF(OR(V808="",NOT(ISNUMBER(V808))),"",V808*$D$3^2/(2*$H$3))</f>
        <v/>
      </c>
      <c r="AF808" s="20" t="str">
        <f aca="false">IF(OR(V808="",NOT(ISNUMBER(V808))),"",V808*$D$3^2/2*$F$3)</f>
        <v/>
      </c>
      <c r="AG808" s="19" t="str">
        <f aca="false">IF(OR(W808="",NOT(ISNUMBER(W808))),"",W808*$D$3^2/(2*$H$3))</f>
        <v/>
      </c>
      <c r="AH808" s="20" t="str">
        <f aca="false">IF(OR(W808="",NOT(ISNUMBER(W808))),"",W808*$D$3^2/2*$F$3)</f>
        <v/>
      </c>
    </row>
    <row r="809" customFormat="false" ht="15" hidden="false" customHeight="false" outlineLevel="0" collapsed="false">
      <c r="A809" s="10" t="s">
        <v>1747</v>
      </c>
      <c r="B809" s="24" t="s">
        <v>1703</v>
      </c>
      <c r="C809" s="6" t="s">
        <v>925</v>
      </c>
      <c r="D809" s="6" t="s">
        <v>1748</v>
      </c>
      <c r="E809" s="6" t="s">
        <v>1712</v>
      </c>
      <c r="F809" s="6" t="s">
        <v>1706</v>
      </c>
      <c r="G809" s="6" t="n">
        <v>125</v>
      </c>
      <c r="H809" s="6"/>
      <c r="I809" s="6" t="s">
        <v>142</v>
      </c>
      <c r="J809" s="6" t="s">
        <v>1707</v>
      </c>
      <c r="K809" s="6" t="s">
        <v>1708</v>
      </c>
      <c r="L809" s="6"/>
      <c r="M809" s="6"/>
      <c r="N809" s="12" t="n">
        <v>102.2</v>
      </c>
      <c r="O809" s="12" t="n">
        <v>102.2</v>
      </c>
      <c r="P809" s="12" t="n">
        <v>102.2</v>
      </c>
      <c r="Q809" s="12"/>
      <c r="R809" s="14" t="n">
        <v>0.016</v>
      </c>
      <c r="S809" s="6" t="n">
        <v>0</v>
      </c>
      <c r="T809" s="6"/>
      <c r="U809" s="15" t="n">
        <f aca="false">0.04+(0.5*(1-(P809/N809)^2)+(1-(P809/N809)^2)^2)*(N809/P809)^4</f>
        <v>0.04</v>
      </c>
      <c r="V809" s="14"/>
      <c r="W809" s="14"/>
      <c r="X809" s="10" t="s">
        <v>1709</v>
      </c>
      <c r="Y809" s="16"/>
      <c r="Z809" s="17" t="s">
        <v>48</v>
      </c>
      <c r="AA809" s="6"/>
      <c r="AB809" s="18" t="n">
        <f aca="false">IF(O809="","",$D$3*PI()*(O809/1000)^2/4*3600)</f>
        <v>44.2981340260931</v>
      </c>
      <c r="AC809" s="19" t="n">
        <f aca="false">IF(OR(U809="",NOT(ISNUMBER(U809))),"",U809*$D$3^2/(2*$H$3))</f>
        <v>0.00458715596330275</v>
      </c>
      <c r="AD809" s="20" t="n">
        <f aca="false">IF(OR(U809="",NOT(ISNUMBER(U809))),"",U809*$D$3^2/2*$F$3)</f>
        <v>45</v>
      </c>
      <c r="AE809" s="19" t="str">
        <f aca="false">IF(OR(V809="",NOT(ISNUMBER(V809))),"",V809*$D$3^2/(2*$H$3))</f>
        <v/>
      </c>
      <c r="AF809" s="20" t="str">
        <f aca="false">IF(OR(V809="",NOT(ISNUMBER(V809))),"",V809*$D$3^2/2*$F$3)</f>
        <v/>
      </c>
      <c r="AG809" s="19" t="str">
        <f aca="false">IF(OR(W809="",NOT(ISNUMBER(W809))),"",W809*$D$3^2/(2*$H$3))</f>
        <v/>
      </c>
      <c r="AH809" s="20" t="str">
        <f aca="false">IF(OR(W809="",NOT(ISNUMBER(W809))),"",W809*$D$3^2/2*$F$3)</f>
        <v/>
      </c>
    </row>
    <row r="810" customFormat="false" ht="15" hidden="false" customHeight="false" outlineLevel="0" collapsed="false">
      <c r="A810" s="10" t="s">
        <v>1749</v>
      </c>
      <c r="B810" s="25" t="s">
        <v>1750</v>
      </c>
      <c r="C810" s="6" t="s">
        <v>925</v>
      </c>
      <c r="D810" s="6" t="s">
        <v>1751</v>
      </c>
      <c r="E810" s="6" t="s">
        <v>1752</v>
      </c>
      <c r="F810" s="6" t="s">
        <v>1637</v>
      </c>
      <c r="G810" s="6" t="n">
        <v>50</v>
      </c>
      <c r="H810" s="6"/>
      <c r="I810" s="6" t="s">
        <v>1753</v>
      </c>
      <c r="J810" s="6" t="s">
        <v>1707</v>
      </c>
      <c r="K810" s="6" t="s">
        <v>1754</v>
      </c>
      <c r="L810" s="6"/>
      <c r="M810" s="6"/>
      <c r="N810" s="12"/>
      <c r="O810" s="12"/>
      <c r="P810" s="12"/>
      <c r="Q810" s="12"/>
      <c r="R810" s="14"/>
      <c r="S810" s="6"/>
      <c r="T810" s="6"/>
      <c r="U810" s="14" t="n">
        <v>0</v>
      </c>
      <c r="V810" s="14"/>
      <c r="W810" s="14"/>
      <c r="X810" s="10" t="s">
        <v>929</v>
      </c>
      <c r="Y810" s="16"/>
      <c r="Z810" s="17" t="s">
        <v>48</v>
      </c>
      <c r="AA810" s="6" t="s">
        <v>1755</v>
      </c>
      <c r="AB810" s="18" t="str">
        <f aca="false">IF(O810="","",$D$3*PI()*(O810/1000)^2/4*3600)</f>
        <v/>
      </c>
      <c r="AC810" s="19" t="n">
        <f aca="false">IF(OR(U810="",NOT(ISNUMBER(U810))),"",U810*$D$3^2/(2*$H$3))</f>
        <v>0</v>
      </c>
      <c r="AD810" s="20" t="n">
        <f aca="false">IF(OR(U810="",NOT(ISNUMBER(U810))),"",U810*$D$3^2/2*$F$3)</f>
        <v>0</v>
      </c>
      <c r="AE810" s="19" t="str">
        <f aca="false">IF(OR(V810="",NOT(ISNUMBER(V810))),"",V810*$D$3^2/(2*$H$3))</f>
        <v/>
      </c>
      <c r="AF810" s="20" t="str">
        <f aca="false">IF(OR(V810="",NOT(ISNUMBER(V810))),"",V810*$D$3^2/2*$F$3)</f>
        <v/>
      </c>
      <c r="AG810" s="19" t="str">
        <f aca="false">IF(OR(W810="",NOT(ISNUMBER(W810))),"",W810*$D$3^2/(2*$H$3))</f>
        <v/>
      </c>
      <c r="AH810" s="20" t="str">
        <f aca="false">IF(OR(W810="",NOT(ISNUMBER(W810))),"",W810*$D$3^2/2*$F$3)</f>
        <v/>
      </c>
    </row>
    <row r="811" customFormat="false" ht="15" hidden="false" customHeight="false" outlineLevel="0" collapsed="false">
      <c r="A811" s="10" t="s">
        <v>1756</v>
      </c>
      <c r="B811" s="25" t="s">
        <v>1750</v>
      </c>
      <c r="C811" s="6" t="s">
        <v>925</v>
      </c>
      <c r="D811" s="6" t="s">
        <v>1757</v>
      </c>
      <c r="E811" s="6" t="s">
        <v>1752</v>
      </c>
      <c r="F811" s="6" t="s">
        <v>1637</v>
      </c>
      <c r="G811" s="6" t="n">
        <v>63</v>
      </c>
      <c r="H811" s="6"/>
      <c r="I811" s="6" t="s">
        <v>1758</v>
      </c>
      <c r="J811" s="6" t="s">
        <v>1707</v>
      </c>
      <c r="K811" s="6" t="s">
        <v>1754</v>
      </c>
      <c r="L811" s="6"/>
      <c r="M811" s="6"/>
      <c r="N811" s="12"/>
      <c r="O811" s="12"/>
      <c r="P811" s="12"/>
      <c r="Q811" s="12"/>
      <c r="R811" s="14"/>
      <c r="S811" s="6"/>
      <c r="T811" s="6"/>
      <c r="U811" s="14" t="n">
        <v>0</v>
      </c>
      <c r="V811" s="14"/>
      <c r="W811" s="14"/>
      <c r="X811" s="10" t="s">
        <v>929</v>
      </c>
      <c r="Y811" s="16"/>
      <c r="Z811" s="17" t="s">
        <v>48</v>
      </c>
      <c r="AA811" s="6" t="s">
        <v>1755</v>
      </c>
      <c r="AB811" s="18" t="str">
        <f aca="false">IF(O811="","",$D$3*PI()*(O811/1000)^2/4*3600)</f>
        <v/>
      </c>
      <c r="AC811" s="19" t="n">
        <f aca="false">IF(OR(U811="",NOT(ISNUMBER(U811))),"",U811*$D$3^2/(2*$H$3))</f>
        <v>0</v>
      </c>
      <c r="AD811" s="20" t="n">
        <f aca="false">IF(OR(U811="",NOT(ISNUMBER(U811))),"",U811*$D$3^2/2*$F$3)</f>
        <v>0</v>
      </c>
      <c r="AE811" s="19" t="str">
        <f aca="false">IF(OR(V811="",NOT(ISNUMBER(V811))),"",V811*$D$3^2/(2*$H$3))</f>
        <v/>
      </c>
      <c r="AF811" s="20" t="str">
        <f aca="false">IF(OR(V811="",NOT(ISNUMBER(V811))),"",V811*$D$3^2/2*$F$3)</f>
        <v/>
      </c>
      <c r="AG811" s="19" t="str">
        <f aca="false">IF(OR(W811="",NOT(ISNUMBER(W811))),"",W811*$D$3^2/(2*$H$3))</f>
        <v/>
      </c>
      <c r="AH811" s="20" t="str">
        <f aca="false">IF(OR(W811="",NOT(ISNUMBER(W811))),"",W811*$D$3^2/2*$F$3)</f>
        <v/>
      </c>
    </row>
    <row r="812" customFormat="false" ht="15" hidden="false" customHeight="false" outlineLevel="0" collapsed="false">
      <c r="A812" s="10" t="s">
        <v>1759</v>
      </c>
      <c r="B812" s="25" t="s">
        <v>1750</v>
      </c>
      <c r="C812" s="6" t="s">
        <v>925</v>
      </c>
      <c r="D812" s="6" t="s">
        <v>1760</v>
      </c>
      <c r="E812" s="6" t="s">
        <v>1752</v>
      </c>
      <c r="F812" s="6" t="s">
        <v>1637</v>
      </c>
      <c r="G812" s="6" t="n">
        <v>75</v>
      </c>
      <c r="H812" s="6"/>
      <c r="I812" s="6" t="s">
        <v>1761</v>
      </c>
      <c r="J812" s="6" t="s">
        <v>1707</v>
      </c>
      <c r="K812" s="6" t="s">
        <v>1754</v>
      </c>
      <c r="L812" s="6"/>
      <c r="M812" s="6"/>
      <c r="N812" s="12"/>
      <c r="O812" s="12"/>
      <c r="P812" s="12"/>
      <c r="Q812" s="12"/>
      <c r="R812" s="14"/>
      <c r="S812" s="6"/>
      <c r="T812" s="6"/>
      <c r="U812" s="14" t="n">
        <v>0</v>
      </c>
      <c r="V812" s="14"/>
      <c r="W812" s="14"/>
      <c r="X812" s="10" t="s">
        <v>929</v>
      </c>
      <c r="Y812" s="16"/>
      <c r="Z812" s="17" t="s">
        <v>48</v>
      </c>
      <c r="AA812" s="6" t="s">
        <v>1755</v>
      </c>
      <c r="AB812" s="18" t="str">
        <f aca="false">IF(O812="","",$D$3*PI()*(O812/1000)^2/4*3600)</f>
        <v/>
      </c>
      <c r="AC812" s="19" t="n">
        <f aca="false">IF(OR(U812="",NOT(ISNUMBER(U812))),"",U812*$D$3^2/(2*$H$3))</f>
        <v>0</v>
      </c>
      <c r="AD812" s="20" t="n">
        <f aca="false">IF(OR(U812="",NOT(ISNUMBER(U812))),"",U812*$D$3^2/2*$F$3)</f>
        <v>0</v>
      </c>
      <c r="AE812" s="19" t="str">
        <f aca="false">IF(OR(V812="",NOT(ISNUMBER(V812))),"",V812*$D$3^2/(2*$H$3))</f>
        <v/>
      </c>
      <c r="AF812" s="20" t="str">
        <f aca="false">IF(OR(V812="",NOT(ISNUMBER(V812))),"",V812*$D$3^2/2*$F$3)</f>
        <v/>
      </c>
      <c r="AG812" s="19" t="str">
        <f aca="false">IF(OR(W812="",NOT(ISNUMBER(W812))),"",W812*$D$3^2/(2*$H$3))</f>
        <v/>
      </c>
      <c r="AH812" s="20" t="str">
        <f aca="false">IF(OR(W812="",NOT(ISNUMBER(W812))),"",W812*$D$3^2/2*$F$3)</f>
        <v/>
      </c>
    </row>
    <row r="813" customFormat="false" ht="15" hidden="false" customHeight="false" outlineLevel="0" collapsed="false">
      <c r="A813" s="10" t="s">
        <v>1762</v>
      </c>
      <c r="B813" s="25" t="s">
        <v>1750</v>
      </c>
      <c r="C813" s="6" t="s">
        <v>925</v>
      </c>
      <c r="D813" s="6" t="s">
        <v>1763</v>
      </c>
      <c r="E813" s="6" t="s">
        <v>1752</v>
      </c>
      <c r="F813" s="6" t="s">
        <v>1637</v>
      </c>
      <c r="G813" s="6" t="n">
        <v>90</v>
      </c>
      <c r="H813" s="6"/>
      <c r="I813" s="6" t="s">
        <v>1764</v>
      </c>
      <c r="J813" s="6" t="s">
        <v>1707</v>
      </c>
      <c r="K813" s="6" t="s">
        <v>1754</v>
      </c>
      <c r="L813" s="6"/>
      <c r="M813" s="6"/>
      <c r="N813" s="12"/>
      <c r="O813" s="12"/>
      <c r="P813" s="12"/>
      <c r="Q813" s="12"/>
      <c r="R813" s="14"/>
      <c r="S813" s="6"/>
      <c r="T813" s="6"/>
      <c r="U813" s="14" t="n">
        <v>0</v>
      </c>
      <c r="V813" s="14"/>
      <c r="W813" s="14"/>
      <c r="X813" s="10" t="s">
        <v>929</v>
      </c>
      <c r="Y813" s="16"/>
      <c r="Z813" s="17" t="s">
        <v>48</v>
      </c>
      <c r="AA813" s="6" t="s">
        <v>1755</v>
      </c>
      <c r="AB813" s="18" t="str">
        <f aca="false">IF(O813="","",$D$3*PI()*(O813/1000)^2/4*3600)</f>
        <v/>
      </c>
      <c r="AC813" s="19" t="n">
        <f aca="false">IF(OR(U813="",NOT(ISNUMBER(U813))),"",U813*$D$3^2/(2*$H$3))</f>
        <v>0</v>
      </c>
      <c r="AD813" s="20" t="n">
        <f aca="false">IF(OR(U813="",NOT(ISNUMBER(U813))),"",U813*$D$3^2/2*$F$3)</f>
        <v>0</v>
      </c>
      <c r="AE813" s="19" t="str">
        <f aca="false">IF(OR(V813="",NOT(ISNUMBER(V813))),"",V813*$D$3^2/(2*$H$3))</f>
        <v/>
      </c>
      <c r="AF813" s="20" t="str">
        <f aca="false">IF(OR(V813="",NOT(ISNUMBER(V813))),"",V813*$D$3^2/2*$F$3)</f>
        <v/>
      </c>
      <c r="AG813" s="19" t="str">
        <f aca="false">IF(OR(W813="",NOT(ISNUMBER(W813))),"",W813*$D$3^2/(2*$H$3))</f>
        <v/>
      </c>
      <c r="AH813" s="20" t="str">
        <f aca="false">IF(OR(W813="",NOT(ISNUMBER(W813))),"",W813*$D$3^2/2*$F$3)</f>
        <v/>
      </c>
    </row>
    <row r="814" customFormat="false" ht="15" hidden="false" customHeight="false" outlineLevel="0" collapsed="false">
      <c r="A814" s="10" t="s">
        <v>1765</v>
      </c>
      <c r="B814" s="25" t="s">
        <v>1750</v>
      </c>
      <c r="C814" s="6" t="s">
        <v>925</v>
      </c>
      <c r="D814" s="6" t="s">
        <v>1766</v>
      </c>
      <c r="E814" s="6" t="s">
        <v>1752</v>
      </c>
      <c r="F814" s="6" t="s">
        <v>1637</v>
      </c>
      <c r="G814" s="6" t="n">
        <v>110</v>
      </c>
      <c r="H814" s="6"/>
      <c r="I814" s="6" t="s">
        <v>1767</v>
      </c>
      <c r="J814" s="6" t="s">
        <v>1707</v>
      </c>
      <c r="K814" s="6" t="s">
        <v>1754</v>
      </c>
      <c r="L814" s="6"/>
      <c r="M814" s="6"/>
      <c r="N814" s="12"/>
      <c r="O814" s="12"/>
      <c r="P814" s="12"/>
      <c r="Q814" s="12"/>
      <c r="R814" s="14"/>
      <c r="S814" s="6"/>
      <c r="T814" s="6"/>
      <c r="U814" s="14" t="n">
        <v>0</v>
      </c>
      <c r="V814" s="14"/>
      <c r="W814" s="14"/>
      <c r="X814" s="10" t="s">
        <v>929</v>
      </c>
      <c r="Y814" s="16"/>
      <c r="Z814" s="17" t="s">
        <v>48</v>
      </c>
      <c r="AA814" s="6" t="s">
        <v>1755</v>
      </c>
      <c r="AB814" s="18" t="str">
        <f aca="false">IF(O814="","",$D$3*PI()*(O814/1000)^2/4*3600)</f>
        <v/>
      </c>
      <c r="AC814" s="19" t="n">
        <f aca="false">IF(OR(U814="",NOT(ISNUMBER(U814))),"",U814*$D$3^2/(2*$H$3))</f>
        <v>0</v>
      </c>
      <c r="AD814" s="20" t="n">
        <f aca="false">IF(OR(U814="",NOT(ISNUMBER(U814))),"",U814*$D$3^2/2*$F$3)</f>
        <v>0</v>
      </c>
      <c r="AE814" s="19" t="str">
        <f aca="false">IF(OR(V814="",NOT(ISNUMBER(V814))),"",V814*$D$3^2/(2*$H$3))</f>
        <v/>
      </c>
      <c r="AF814" s="20" t="str">
        <f aca="false">IF(OR(V814="",NOT(ISNUMBER(V814))),"",V814*$D$3^2/2*$F$3)</f>
        <v/>
      </c>
      <c r="AG814" s="19" t="str">
        <f aca="false">IF(OR(W814="",NOT(ISNUMBER(W814))),"",W814*$D$3^2/(2*$H$3))</f>
        <v/>
      </c>
      <c r="AH814" s="20" t="str">
        <f aca="false">IF(OR(W814="",NOT(ISNUMBER(W814))),"",W814*$D$3^2/2*$F$3)</f>
        <v/>
      </c>
    </row>
    <row r="815" customFormat="false" ht="15" hidden="false" customHeight="false" outlineLevel="0" collapsed="false">
      <c r="A815" s="10" t="s">
        <v>1768</v>
      </c>
      <c r="B815" s="25" t="s">
        <v>1750</v>
      </c>
      <c r="C815" s="6" t="s">
        <v>925</v>
      </c>
      <c r="D815" s="6" t="s">
        <v>1769</v>
      </c>
      <c r="E815" s="6" t="s">
        <v>1752</v>
      </c>
      <c r="F815" s="6" t="s">
        <v>1637</v>
      </c>
      <c r="G815" s="6" t="n">
        <v>125</v>
      </c>
      <c r="H815" s="6"/>
      <c r="I815" s="6" t="s">
        <v>1767</v>
      </c>
      <c r="J815" s="6" t="s">
        <v>1707</v>
      </c>
      <c r="K815" s="6" t="s">
        <v>1754</v>
      </c>
      <c r="L815" s="6"/>
      <c r="M815" s="6"/>
      <c r="N815" s="12"/>
      <c r="O815" s="12"/>
      <c r="P815" s="12"/>
      <c r="Q815" s="12"/>
      <c r="R815" s="14"/>
      <c r="S815" s="6"/>
      <c r="T815" s="6"/>
      <c r="U815" s="14" t="n">
        <v>0</v>
      </c>
      <c r="V815" s="14"/>
      <c r="W815" s="14"/>
      <c r="X815" s="10" t="s">
        <v>929</v>
      </c>
      <c r="Y815" s="16"/>
      <c r="Z815" s="17" t="s">
        <v>48</v>
      </c>
      <c r="AA815" s="6" t="s">
        <v>1755</v>
      </c>
      <c r="AB815" s="18" t="str">
        <f aca="false">IF(O815="","",$D$3*PI()*(O815/1000)^2/4*3600)</f>
        <v/>
      </c>
      <c r="AC815" s="19" t="n">
        <f aca="false">IF(OR(U815="",NOT(ISNUMBER(U815))),"",U815*$D$3^2/(2*$H$3))</f>
        <v>0</v>
      </c>
      <c r="AD815" s="20" t="n">
        <f aca="false">IF(OR(U815="",NOT(ISNUMBER(U815))),"",U815*$D$3^2/2*$F$3)</f>
        <v>0</v>
      </c>
      <c r="AE815" s="19" t="str">
        <f aca="false">IF(OR(V815="",NOT(ISNUMBER(V815))),"",V815*$D$3^2/(2*$H$3))</f>
        <v/>
      </c>
      <c r="AF815" s="20" t="str">
        <f aca="false">IF(OR(V815="",NOT(ISNUMBER(V815))),"",V815*$D$3^2/2*$F$3)</f>
        <v/>
      </c>
      <c r="AG815" s="19" t="str">
        <f aca="false">IF(OR(W815="",NOT(ISNUMBER(W815))),"",W815*$D$3^2/(2*$H$3))</f>
        <v/>
      </c>
      <c r="AH815" s="20" t="str">
        <f aca="false">IF(OR(W815="",NOT(ISNUMBER(W815))),"",W815*$D$3^2/2*$F$3)</f>
        <v/>
      </c>
    </row>
    <row r="816" customFormat="false" ht="15" hidden="false" customHeight="false" outlineLevel="0" collapsed="false">
      <c r="A816" s="10" t="s">
        <v>1770</v>
      </c>
      <c r="B816" s="25" t="s">
        <v>1750</v>
      </c>
      <c r="C816" s="6" t="s">
        <v>925</v>
      </c>
      <c r="D816" s="6" t="s">
        <v>1771</v>
      </c>
      <c r="E816" s="6" t="s">
        <v>1752</v>
      </c>
      <c r="F816" s="6" t="s">
        <v>1637</v>
      </c>
      <c r="G816" s="6" t="n">
        <v>125</v>
      </c>
      <c r="H816" s="6"/>
      <c r="I816" s="6" t="s">
        <v>1772</v>
      </c>
      <c r="J816" s="6" t="s">
        <v>1707</v>
      </c>
      <c r="K816" s="6" t="s">
        <v>1754</v>
      </c>
      <c r="L816" s="6"/>
      <c r="M816" s="6"/>
      <c r="N816" s="12"/>
      <c r="O816" s="12"/>
      <c r="P816" s="12"/>
      <c r="Q816" s="12"/>
      <c r="R816" s="14"/>
      <c r="S816" s="6"/>
      <c r="T816" s="6"/>
      <c r="U816" s="14" t="n">
        <v>0</v>
      </c>
      <c r="V816" s="14"/>
      <c r="W816" s="14"/>
      <c r="X816" s="10" t="s">
        <v>929</v>
      </c>
      <c r="Y816" s="16"/>
      <c r="Z816" s="17" t="s">
        <v>48</v>
      </c>
      <c r="AA816" s="6" t="s">
        <v>1755</v>
      </c>
      <c r="AB816" s="18" t="str">
        <f aca="false">IF(O816="","",$D$3*PI()*(O816/1000)^2/4*3600)</f>
        <v/>
      </c>
      <c r="AC816" s="19" t="n">
        <f aca="false">IF(OR(U816="",NOT(ISNUMBER(U816))),"",U816*$D$3^2/(2*$H$3))</f>
        <v>0</v>
      </c>
      <c r="AD816" s="20" t="n">
        <f aca="false">IF(OR(U816="",NOT(ISNUMBER(U816))),"",U816*$D$3^2/2*$F$3)</f>
        <v>0</v>
      </c>
      <c r="AE816" s="19" t="str">
        <f aca="false">IF(OR(V816="",NOT(ISNUMBER(V816))),"",V816*$D$3^2/(2*$H$3))</f>
        <v/>
      </c>
      <c r="AF816" s="20" t="str">
        <f aca="false">IF(OR(V816="",NOT(ISNUMBER(V816))),"",V816*$D$3^2/2*$F$3)</f>
        <v/>
      </c>
      <c r="AG816" s="19" t="str">
        <f aca="false">IF(OR(W816="",NOT(ISNUMBER(W816))),"",W816*$D$3^2/(2*$H$3))</f>
        <v/>
      </c>
      <c r="AH816" s="20" t="str">
        <f aca="false">IF(OR(W816="",NOT(ISNUMBER(W816))),"",W816*$D$3^2/2*$F$3)</f>
        <v/>
      </c>
    </row>
    <row r="817" customFormat="false" ht="15" hidden="false" customHeight="false" outlineLevel="0" collapsed="false">
      <c r="A817" s="10" t="s">
        <v>1773</v>
      </c>
      <c r="B817" s="25" t="s">
        <v>1750</v>
      </c>
      <c r="C817" s="6" t="s">
        <v>925</v>
      </c>
      <c r="D817" s="6" t="s">
        <v>1774</v>
      </c>
      <c r="E817" s="6" t="s">
        <v>1752</v>
      </c>
      <c r="F817" s="6" t="s">
        <v>1637</v>
      </c>
      <c r="G817" s="6" t="n">
        <v>140</v>
      </c>
      <c r="H817" s="6"/>
      <c r="I817" s="6" t="s">
        <v>1772</v>
      </c>
      <c r="J817" s="6" t="s">
        <v>1707</v>
      </c>
      <c r="K817" s="6" t="s">
        <v>1754</v>
      </c>
      <c r="L817" s="6"/>
      <c r="M817" s="6"/>
      <c r="N817" s="12"/>
      <c r="O817" s="12"/>
      <c r="P817" s="12"/>
      <c r="Q817" s="12"/>
      <c r="R817" s="14"/>
      <c r="S817" s="6"/>
      <c r="T817" s="6"/>
      <c r="U817" s="14" t="n">
        <v>0</v>
      </c>
      <c r="V817" s="14"/>
      <c r="W817" s="14"/>
      <c r="X817" s="10" t="s">
        <v>929</v>
      </c>
      <c r="Y817" s="16"/>
      <c r="Z817" s="17" t="s">
        <v>48</v>
      </c>
      <c r="AA817" s="6" t="s">
        <v>1755</v>
      </c>
      <c r="AB817" s="18" t="str">
        <f aca="false">IF(O817="","",$D$3*PI()*(O817/1000)^2/4*3600)</f>
        <v/>
      </c>
      <c r="AC817" s="19" t="n">
        <f aca="false">IF(OR(U817="",NOT(ISNUMBER(U817))),"",U817*$D$3^2/(2*$H$3))</f>
        <v>0</v>
      </c>
      <c r="AD817" s="20" t="n">
        <f aca="false">IF(OR(U817="",NOT(ISNUMBER(U817))),"",U817*$D$3^2/2*$F$3)</f>
        <v>0</v>
      </c>
      <c r="AE817" s="19" t="str">
        <f aca="false">IF(OR(V817="",NOT(ISNUMBER(V817))),"",V817*$D$3^2/(2*$H$3))</f>
        <v/>
      </c>
      <c r="AF817" s="20" t="str">
        <f aca="false">IF(OR(V817="",NOT(ISNUMBER(V817))),"",V817*$D$3^2/2*$F$3)</f>
        <v/>
      </c>
      <c r="AG817" s="19" t="str">
        <f aca="false">IF(OR(W817="",NOT(ISNUMBER(W817))),"",W817*$D$3^2/(2*$H$3))</f>
        <v/>
      </c>
      <c r="AH817" s="20" t="str">
        <f aca="false">IF(OR(W817="",NOT(ISNUMBER(W817))),"",W817*$D$3^2/2*$F$3)</f>
        <v/>
      </c>
    </row>
    <row r="818" customFormat="false" ht="15" hidden="false" customHeight="false" outlineLevel="0" collapsed="false">
      <c r="A818" s="10" t="s">
        <v>1775</v>
      </c>
      <c r="B818" s="25" t="s">
        <v>1750</v>
      </c>
      <c r="C818" s="6" t="s">
        <v>925</v>
      </c>
      <c r="D818" s="6" t="s">
        <v>1776</v>
      </c>
      <c r="E818" s="6" t="s">
        <v>1752</v>
      </c>
      <c r="F818" s="6" t="s">
        <v>1637</v>
      </c>
      <c r="G818" s="6" t="n">
        <v>160</v>
      </c>
      <c r="H818" s="6"/>
      <c r="I818" s="6" t="s">
        <v>1777</v>
      </c>
      <c r="J818" s="6" t="s">
        <v>1707</v>
      </c>
      <c r="K818" s="6" t="s">
        <v>1754</v>
      </c>
      <c r="L818" s="6"/>
      <c r="M818" s="6"/>
      <c r="N818" s="12"/>
      <c r="O818" s="12"/>
      <c r="P818" s="12"/>
      <c r="Q818" s="12"/>
      <c r="R818" s="14"/>
      <c r="S818" s="6"/>
      <c r="T818" s="6"/>
      <c r="U818" s="14" t="n">
        <v>0</v>
      </c>
      <c r="V818" s="14"/>
      <c r="W818" s="14"/>
      <c r="X818" s="10" t="s">
        <v>929</v>
      </c>
      <c r="Y818" s="16"/>
      <c r="Z818" s="17" t="s">
        <v>48</v>
      </c>
      <c r="AA818" s="6" t="s">
        <v>1755</v>
      </c>
      <c r="AB818" s="18" t="str">
        <f aca="false">IF(O818="","",$D$3*PI()*(O818/1000)^2/4*3600)</f>
        <v/>
      </c>
      <c r="AC818" s="19" t="n">
        <f aca="false">IF(OR(U818="",NOT(ISNUMBER(U818))),"",U818*$D$3^2/(2*$H$3))</f>
        <v>0</v>
      </c>
      <c r="AD818" s="20" t="n">
        <f aca="false">IF(OR(U818="",NOT(ISNUMBER(U818))),"",U818*$D$3^2/2*$F$3)</f>
        <v>0</v>
      </c>
      <c r="AE818" s="19" t="str">
        <f aca="false">IF(OR(V818="",NOT(ISNUMBER(V818))),"",V818*$D$3^2/(2*$H$3))</f>
        <v/>
      </c>
      <c r="AF818" s="20" t="str">
        <f aca="false">IF(OR(V818="",NOT(ISNUMBER(V818))),"",V818*$D$3^2/2*$F$3)</f>
        <v/>
      </c>
      <c r="AG818" s="19" t="str">
        <f aca="false">IF(OR(W818="",NOT(ISNUMBER(W818))),"",W818*$D$3^2/(2*$H$3))</f>
        <v/>
      </c>
      <c r="AH818" s="20" t="str">
        <f aca="false">IF(OR(W818="",NOT(ISNUMBER(W818))),"",W818*$D$3^2/2*$F$3)</f>
        <v/>
      </c>
    </row>
    <row r="819" customFormat="false" ht="15" hidden="false" customHeight="false" outlineLevel="0" collapsed="false">
      <c r="A819" s="10" t="s">
        <v>1778</v>
      </c>
      <c r="B819" s="25" t="s">
        <v>1750</v>
      </c>
      <c r="C819" s="6" t="s">
        <v>925</v>
      </c>
      <c r="D819" s="6" t="s">
        <v>1779</v>
      </c>
      <c r="E819" s="6" t="s">
        <v>1752</v>
      </c>
      <c r="F819" s="6" t="s">
        <v>1637</v>
      </c>
      <c r="G819" s="6" t="n">
        <v>180</v>
      </c>
      <c r="H819" s="6"/>
      <c r="I819" s="6" t="s">
        <v>1777</v>
      </c>
      <c r="J819" s="6" t="s">
        <v>1707</v>
      </c>
      <c r="K819" s="6" t="s">
        <v>1754</v>
      </c>
      <c r="L819" s="6"/>
      <c r="M819" s="6"/>
      <c r="N819" s="12"/>
      <c r="O819" s="12"/>
      <c r="P819" s="12"/>
      <c r="Q819" s="12"/>
      <c r="R819" s="14"/>
      <c r="S819" s="6"/>
      <c r="T819" s="6"/>
      <c r="U819" s="14" t="n">
        <v>0</v>
      </c>
      <c r="V819" s="14"/>
      <c r="W819" s="14"/>
      <c r="X819" s="10" t="s">
        <v>929</v>
      </c>
      <c r="Y819" s="16"/>
      <c r="Z819" s="17" t="s">
        <v>48</v>
      </c>
      <c r="AA819" s="6" t="s">
        <v>1755</v>
      </c>
      <c r="AB819" s="18" t="str">
        <f aca="false">IF(O819="","",$D$3*PI()*(O819/1000)^2/4*3600)</f>
        <v/>
      </c>
      <c r="AC819" s="19" t="n">
        <f aca="false">IF(OR(U819="",NOT(ISNUMBER(U819))),"",U819*$D$3^2/(2*$H$3))</f>
        <v>0</v>
      </c>
      <c r="AD819" s="20" t="n">
        <f aca="false">IF(OR(U819="",NOT(ISNUMBER(U819))),"",U819*$D$3^2/2*$F$3)</f>
        <v>0</v>
      </c>
      <c r="AE819" s="19" t="str">
        <f aca="false">IF(OR(V819="",NOT(ISNUMBER(V819))),"",V819*$D$3^2/(2*$H$3))</f>
        <v/>
      </c>
      <c r="AF819" s="20" t="str">
        <f aca="false">IF(OR(V819="",NOT(ISNUMBER(V819))),"",V819*$D$3^2/2*$F$3)</f>
        <v/>
      </c>
      <c r="AG819" s="19" t="str">
        <f aca="false">IF(OR(W819="",NOT(ISNUMBER(W819))),"",W819*$D$3^2/(2*$H$3))</f>
        <v/>
      </c>
      <c r="AH819" s="20" t="str">
        <f aca="false">IF(OR(W819="",NOT(ISNUMBER(W819))),"",W819*$D$3^2/2*$F$3)</f>
        <v/>
      </c>
    </row>
    <row r="820" customFormat="false" ht="15" hidden="false" customHeight="false" outlineLevel="0" collapsed="false">
      <c r="A820" s="10" t="s">
        <v>1780</v>
      </c>
      <c r="B820" s="25" t="s">
        <v>1750</v>
      </c>
      <c r="C820" s="6" t="s">
        <v>925</v>
      </c>
      <c r="D820" s="6" t="s">
        <v>1781</v>
      </c>
      <c r="E820" s="6" t="s">
        <v>1752</v>
      </c>
      <c r="F820" s="6" t="s">
        <v>1637</v>
      </c>
      <c r="G820" s="6" t="n">
        <v>200</v>
      </c>
      <c r="H820" s="6"/>
      <c r="I820" s="6" t="s">
        <v>1782</v>
      </c>
      <c r="J820" s="6" t="s">
        <v>1707</v>
      </c>
      <c r="K820" s="6" t="s">
        <v>1754</v>
      </c>
      <c r="L820" s="6"/>
      <c r="M820" s="6"/>
      <c r="N820" s="12"/>
      <c r="O820" s="12"/>
      <c r="P820" s="12"/>
      <c r="Q820" s="12"/>
      <c r="R820" s="14"/>
      <c r="S820" s="6"/>
      <c r="T820" s="6"/>
      <c r="U820" s="14" t="n">
        <v>0</v>
      </c>
      <c r="V820" s="14"/>
      <c r="W820" s="14"/>
      <c r="X820" s="10" t="s">
        <v>929</v>
      </c>
      <c r="Y820" s="16"/>
      <c r="Z820" s="17" t="s">
        <v>48</v>
      </c>
      <c r="AA820" s="6" t="s">
        <v>1755</v>
      </c>
      <c r="AB820" s="18" t="str">
        <f aca="false">IF(O820="","",$D$3*PI()*(O820/1000)^2/4*3600)</f>
        <v/>
      </c>
      <c r="AC820" s="19" t="n">
        <f aca="false">IF(OR(U820="",NOT(ISNUMBER(U820))),"",U820*$D$3^2/(2*$H$3))</f>
        <v>0</v>
      </c>
      <c r="AD820" s="20" t="n">
        <f aca="false">IF(OR(U820="",NOT(ISNUMBER(U820))),"",U820*$D$3^2/2*$F$3)</f>
        <v>0</v>
      </c>
      <c r="AE820" s="19" t="str">
        <f aca="false">IF(OR(V820="",NOT(ISNUMBER(V820))),"",V820*$D$3^2/(2*$H$3))</f>
        <v/>
      </c>
      <c r="AF820" s="20" t="str">
        <f aca="false">IF(OR(V820="",NOT(ISNUMBER(V820))),"",V820*$D$3^2/2*$F$3)</f>
        <v/>
      </c>
      <c r="AG820" s="19" t="str">
        <f aca="false">IF(OR(W820="",NOT(ISNUMBER(W820))),"",W820*$D$3^2/(2*$H$3))</f>
        <v/>
      </c>
      <c r="AH820" s="20" t="str">
        <f aca="false">IF(OR(W820="",NOT(ISNUMBER(W820))),"",W820*$D$3^2/2*$F$3)</f>
        <v/>
      </c>
    </row>
    <row r="821" customFormat="false" ht="15" hidden="false" customHeight="false" outlineLevel="0" collapsed="false">
      <c r="A821" s="10" t="s">
        <v>1783</v>
      </c>
      <c r="B821" s="25" t="s">
        <v>1750</v>
      </c>
      <c r="C821" s="6" t="s">
        <v>925</v>
      </c>
      <c r="D821" s="6" t="s">
        <v>1784</v>
      </c>
      <c r="E821" s="6" t="s">
        <v>1752</v>
      </c>
      <c r="F821" s="6" t="s">
        <v>1637</v>
      </c>
      <c r="G821" s="6" t="n">
        <v>225</v>
      </c>
      <c r="H821" s="6"/>
      <c r="I821" s="6" t="s">
        <v>1782</v>
      </c>
      <c r="J821" s="6" t="s">
        <v>1707</v>
      </c>
      <c r="K821" s="6" t="s">
        <v>1754</v>
      </c>
      <c r="L821" s="6"/>
      <c r="M821" s="6"/>
      <c r="N821" s="12"/>
      <c r="O821" s="12"/>
      <c r="P821" s="12"/>
      <c r="Q821" s="12"/>
      <c r="R821" s="14"/>
      <c r="S821" s="6"/>
      <c r="T821" s="6"/>
      <c r="U821" s="14" t="n">
        <v>0</v>
      </c>
      <c r="V821" s="14"/>
      <c r="W821" s="14"/>
      <c r="X821" s="10" t="s">
        <v>929</v>
      </c>
      <c r="Y821" s="16"/>
      <c r="Z821" s="17" t="s">
        <v>48</v>
      </c>
      <c r="AA821" s="6" t="s">
        <v>1755</v>
      </c>
      <c r="AB821" s="18" t="str">
        <f aca="false">IF(O821="","",$D$3*PI()*(O821/1000)^2/4*3600)</f>
        <v/>
      </c>
      <c r="AC821" s="19" t="n">
        <f aca="false">IF(OR(U821="",NOT(ISNUMBER(U821))),"",U821*$D$3^2/(2*$H$3))</f>
        <v>0</v>
      </c>
      <c r="AD821" s="20" t="n">
        <f aca="false">IF(OR(U821="",NOT(ISNUMBER(U821))),"",U821*$D$3^2/2*$F$3)</f>
        <v>0</v>
      </c>
      <c r="AE821" s="19" t="str">
        <f aca="false">IF(OR(V821="",NOT(ISNUMBER(V821))),"",V821*$D$3^2/(2*$H$3))</f>
        <v/>
      </c>
      <c r="AF821" s="20" t="str">
        <f aca="false">IF(OR(V821="",NOT(ISNUMBER(V821))),"",V821*$D$3^2/2*$F$3)</f>
        <v/>
      </c>
      <c r="AG821" s="19" t="str">
        <f aca="false">IF(OR(W821="",NOT(ISNUMBER(W821))),"",W821*$D$3^2/(2*$H$3))</f>
        <v/>
      </c>
      <c r="AH821" s="20" t="str">
        <f aca="false">IF(OR(W821="",NOT(ISNUMBER(W821))),"",W821*$D$3^2/2*$F$3)</f>
        <v/>
      </c>
    </row>
    <row r="822" customFormat="false" ht="15" hidden="false" customHeight="false" outlineLevel="0" collapsed="false">
      <c r="A822" s="10" t="s">
        <v>1785</v>
      </c>
      <c r="B822" s="25" t="s">
        <v>1750</v>
      </c>
      <c r="C822" s="6" t="s">
        <v>925</v>
      </c>
      <c r="D822" s="6" t="s">
        <v>1786</v>
      </c>
      <c r="E822" s="6" t="s">
        <v>1752</v>
      </c>
      <c r="F822" s="6" t="s">
        <v>1637</v>
      </c>
      <c r="G822" s="6" t="n">
        <v>250</v>
      </c>
      <c r="H822" s="6"/>
      <c r="I822" s="6" t="s">
        <v>1787</v>
      </c>
      <c r="J822" s="6" t="s">
        <v>1707</v>
      </c>
      <c r="K822" s="6" t="s">
        <v>1754</v>
      </c>
      <c r="L822" s="6"/>
      <c r="M822" s="6"/>
      <c r="N822" s="12"/>
      <c r="O822" s="12"/>
      <c r="P822" s="12"/>
      <c r="Q822" s="12"/>
      <c r="R822" s="14"/>
      <c r="S822" s="6"/>
      <c r="T822" s="6"/>
      <c r="U822" s="14" t="n">
        <v>0</v>
      </c>
      <c r="V822" s="14"/>
      <c r="W822" s="14"/>
      <c r="X822" s="10" t="s">
        <v>929</v>
      </c>
      <c r="Y822" s="16"/>
      <c r="Z822" s="17" t="s">
        <v>48</v>
      </c>
      <c r="AA822" s="6" t="s">
        <v>1755</v>
      </c>
      <c r="AB822" s="18" t="str">
        <f aca="false">IF(O822="","",$D$3*PI()*(O822/1000)^2/4*3600)</f>
        <v/>
      </c>
      <c r="AC822" s="19" t="n">
        <f aca="false">IF(OR(U822="",NOT(ISNUMBER(U822))),"",U822*$D$3^2/(2*$H$3))</f>
        <v>0</v>
      </c>
      <c r="AD822" s="20" t="n">
        <f aca="false">IF(OR(U822="",NOT(ISNUMBER(U822))),"",U822*$D$3^2/2*$F$3)</f>
        <v>0</v>
      </c>
      <c r="AE822" s="19" t="str">
        <f aca="false">IF(OR(V822="",NOT(ISNUMBER(V822))),"",V822*$D$3^2/(2*$H$3))</f>
        <v/>
      </c>
      <c r="AF822" s="20" t="str">
        <f aca="false">IF(OR(V822="",NOT(ISNUMBER(V822))),"",V822*$D$3^2/2*$F$3)</f>
        <v/>
      </c>
      <c r="AG822" s="19" t="str">
        <f aca="false">IF(OR(W822="",NOT(ISNUMBER(W822))),"",W822*$D$3^2/(2*$H$3))</f>
        <v/>
      </c>
      <c r="AH822" s="20" t="str">
        <f aca="false">IF(OR(W822="",NOT(ISNUMBER(W822))),"",W822*$D$3^2/2*$F$3)</f>
        <v/>
      </c>
    </row>
    <row r="823" customFormat="false" ht="15" hidden="false" customHeight="false" outlineLevel="0" collapsed="false">
      <c r="A823" s="10" t="s">
        <v>1788</v>
      </c>
      <c r="B823" s="25" t="s">
        <v>1750</v>
      </c>
      <c r="C823" s="6" t="s">
        <v>925</v>
      </c>
      <c r="D823" s="6" t="s">
        <v>1789</v>
      </c>
      <c r="E823" s="6" t="s">
        <v>1752</v>
      </c>
      <c r="F823" s="6" t="s">
        <v>1637</v>
      </c>
      <c r="G823" s="6" t="n">
        <v>280</v>
      </c>
      <c r="H823" s="6"/>
      <c r="I823" s="6" t="s">
        <v>1787</v>
      </c>
      <c r="J823" s="6" t="s">
        <v>1707</v>
      </c>
      <c r="K823" s="6" t="s">
        <v>1754</v>
      </c>
      <c r="L823" s="6"/>
      <c r="M823" s="6"/>
      <c r="N823" s="12"/>
      <c r="O823" s="12"/>
      <c r="P823" s="12"/>
      <c r="Q823" s="12"/>
      <c r="R823" s="14"/>
      <c r="S823" s="6"/>
      <c r="T823" s="6"/>
      <c r="U823" s="14" t="n">
        <v>0</v>
      </c>
      <c r="V823" s="14"/>
      <c r="W823" s="14"/>
      <c r="X823" s="10" t="s">
        <v>929</v>
      </c>
      <c r="Y823" s="16"/>
      <c r="Z823" s="17" t="s">
        <v>48</v>
      </c>
      <c r="AA823" s="6" t="s">
        <v>1755</v>
      </c>
      <c r="AB823" s="18" t="str">
        <f aca="false">IF(O823="","",$D$3*PI()*(O823/1000)^2/4*3600)</f>
        <v/>
      </c>
      <c r="AC823" s="19" t="n">
        <f aca="false">IF(OR(U823="",NOT(ISNUMBER(U823))),"",U823*$D$3^2/(2*$H$3))</f>
        <v>0</v>
      </c>
      <c r="AD823" s="20" t="n">
        <f aca="false">IF(OR(U823="",NOT(ISNUMBER(U823))),"",U823*$D$3^2/2*$F$3)</f>
        <v>0</v>
      </c>
      <c r="AE823" s="19" t="str">
        <f aca="false">IF(OR(V823="",NOT(ISNUMBER(V823))),"",V823*$D$3^2/(2*$H$3))</f>
        <v/>
      </c>
      <c r="AF823" s="20" t="str">
        <f aca="false">IF(OR(V823="",NOT(ISNUMBER(V823))),"",V823*$D$3^2/2*$F$3)</f>
        <v/>
      </c>
      <c r="AG823" s="19" t="str">
        <f aca="false">IF(OR(W823="",NOT(ISNUMBER(W823))),"",W823*$D$3^2/(2*$H$3))</f>
        <v/>
      </c>
      <c r="AH823" s="20" t="str">
        <f aca="false">IF(OR(W823="",NOT(ISNUMBER(W823))),"",W823*$D$3^2/2*$F$3)</f>
        <v/>
      </c>
    </row>
    <row r="824" customFormat="false" ht="15" hidden="false" customHeight="false" outlineLevel="0" collapsed="false">
      <c r="A824" s="10" t="s">
        <v>1790</v>
      </c>
      <c r="B824" s="25" t="s">
        <v>1750</v>
      </c>
      <c r="C824" s="6" t="s">
        <v>925</v>
      </c>
      <c r="D824" s="6" t="s">
        <v>1791</v>
      </c>
      <c r="E824" s="6" t="s">
        <v>1752</v>
      </c>
      <c r="F824" s="6" t="s">
        <v>1637</v>
      </c>
      <c r="G824" s="6" t="n">
        <v>315</v>
      </c>
      <c r="H824" s="6"/>
      <c r="I824" s="6" t="s">
        <v>1792</v>
      </c>
      <c r="J824" s="6" t="s">
        <v>1707</v>
      </c>
      <c r="K824" s="6" t="s">
        <v>1754</v>
      </c>
      <c r="L824" s="6"/>
      <c r="M824" s="6"/>
      <c r="N824" s="12"/>
      <c r="O824" s="12"/>
      <c r="P824" s="12"/>
      <c r="Q824" s="12"/>
      <c r="R824" s="14"/>
      <c r="S824" s="6"/>
      <c r="T824" s="6"/>
      <c r="U824" s="14" t="n">
        <v>0</v>
      </c>
      <c r="V824" s="14"/>
      <c r="W824" s="14"/>
      <c r="X824" s="10" t="s">
        <v>929</v>
      </c>
      <c r="Y824" s="16"/>
      <c r="Z824" s="17" t="s">
        <v>48</v>
      </c>
      <c r="AA824" s="6" t="s">
        <v>1755</v>
      </c>
      <c r="AB824" s="18" t="str">
        <f aca="false">IF(O824="","",$D$3*PI()*(O824/1000)^2/4*3600)</f>
        <v/>
      </c>
      <c r="AC824" s="19" t="n">
        <f aca="false">IF(OR(U824="",NOT(ISNUMBER(U824))),"",U824*$D$3^2/(2*$H$3))</f>
        <v>0</v>
      </c>
      <c r="AD824" s="20" t="n">
        <f aca="false">IF(OR(U824="",NOT(ISNUMBER(U824))),"",U824*$D$3^2/2*$F$3)</f>
        <v>0</v>
      </c>
      <c r="AE824" s="19" t="str">
        <f aca="false">IF(OR(V824="",NOT(ISNUMBER(V824))),"",V824*$D$3^2/(2*$H$3))</f>
        <v/>
      </c>
      <c r="AF824" s="20" t="str">
        <f aca="false">IF(OR(V824="",NOT(ISNUMBER(V824))),"",V824*$D$3^2/2*$F$3)</f>
        <v/>
      </c>
      <c r="AG824" s="19" t="str">
        <f aca="false">IF(OR(W824="",NOT(ISNUMBER(W824))),"",W824*$D$3^2/(2*$H$3))</f>
        <v/>
      </c>
      <c r="AH824" s="20" t="str">
        <f aca="false">IF(OR(W824="",NOT(ISNUMBER(W824))),"",W824*$D$3^2/2*$F$3)</f>
        <v/>
      </c>
    </row>
    <row r="825" customFormat="false" ht="15" hidden="false" customHeight="false" outlineLevel="0" collapsed="false">
      <c r="A825" s="10" t="s">
        <v>1793</v>
      </c>
      <c r="B825" s="25" t="s">
        <v>1750</v>
      </c>
      <c r="C825" s="6" t="s">
        <v>925</v>
      </c>
      <c r="D825" s="6" t="s">
        <v>1794</v>
      </c>
      <c r="E825" s="6" t="s">
        <v>1752</v>
      </c>
      <c r="F825" s="6" t="s">
        <v>1637</v>
      </c>
      <c r="G825" s="6" t="n">
        <v>355</v>
      </c>
      <c r="H825" s="6"/>
      <c r="I825" s="6" t="s">
        <v>1795</v>
      </c>
      <c r="J825" s="6" t="s">
        <v>1707</v>
      </c>
      <c r="K825" s="6" t="s">
        <v>1754</v>
      </c>
      <c r="L825" s="6"/>
      <c r="M825" s="6"/>
      <c r="N825" s="12"/>
      <c r="O825" s="12"/>
      <c r="P825" s="12"/>
      <c r="Q825" s="12"/>
      <c r="R825" s="14"/>
      <c r="S825" s="6"/>
      <c r="T825" s="6"/>
      <c r="U825" s="14" t="n">
        <v>0</v>
      </c>
      <c r="V825" s="14"/>
      <c r="W825" s="14"/>
      <c r="X825" s="10" t="s">
        <v>929</v>
      </c>
      <c r="Y825" s="16"/>
      <c r="Z825" s="17" t="s">
        <v>48</v>
      </c>
      <c r="AA825" s="6" t="s">
        <v>1755</v>
      </c>
      <c r="AB825" s="18" t="str">
        <f aca="false">IF(O825="","",$D$3*PI()*(O825/1000)^2/4*3600)</f>
        <v/>
      </c>
      <c r="AC825" s="19" t="n">
        <f aca="false">IF(OR(U825="",NOT(ISNUMBER(U825))),"",U825*$D$3^2/(2*$H$3))</f>
        <v>0</v>
      </c>
      <c r="AD825" s="20" t="n">
        <f aca="false">IF(OR(U825="",NOT(ISNUMBER(U825))),"",U825*$D$3^2/2*$F$3)</f>
        <v>0</v>
      </c>
      <c r="AE825" s="19" t="str">
        <f aca="false">IF(OR(V825="",NOT(ISNUMBER(V825))),"",V825*$D$3^2/(2*$H$3))</f>
        <v/>
      </c>
      <c r="AF825" s="20" t="str">
        <f aca="false">IF(OR(V825="",NOT(ISNUMBER(V825))),"",V825*$D$3^2/2*$F$3)</f>
        <v/>
      </c>
      <c r="AG825" s="19" t="str">
        <f aca="false">IF(OR(W825="",NOT(ISNUMBER(W825))),"",W825*$D$3^2/(2*$H$3))</f>
        <v/>
      </c>
      <c r="AH825" s="20" t="str">
        <f aca="false">IF(OR(W825="",NOT(ISNUMBER(W825))),"",W825*$D$3^2/2*$F$3)</f>
        <v/>
      </c>
    </row>
    <row r="826" customFormat="false" ht="15" hidden="false" customHeight="false" outlineLevel="0" collapsed="false">
      <c r="A826" s="10" t="s">
        <v>1796</v>
      </c>
      <c r="B826" s="25" t="s">
        <v>1750</v>
      </c>
      <c r="C826" s="6" t="s">
        <v>925</v>
      </c>
      <c r="D826" s="6" t="s">
        <v>1797</v>
      </c>
      <c r="E826" s="6" t="s">
        <v>1752</v>
      </c>
      <c r="F826" s="6" t="s">
        <v>1637</v>
      </c>
      <c r="G826" s="6" t="n">
        <v>400</v>
      </c>
      <c r="H826" s="6"/>
      <c r="I826" s="6" t="s">
        <v>1798</v>
      </c>
      <c r="J826" s="6" t="s">
        <v>1707</v>
      </c>
      <c r="K826" s="6" t="s">
        <v>1754</v>
      </c>
      <c r="L826" s="6"/>
      <c r="M826" s="6"/>
      <c r="N826" s="12"/>
      <c r="O826" s="12"/>
      <c r="P826" s="12"/>
      <c r="Q826" s="12"/>
      <c r="R826" s="14"/>
      <c r="S826" s="6"/>
      <c r="T826" s="6"/>
      <c r="U826" s="14" t="n">
        <v>0</v>
      </c>
      <c r="V826" s="14"/>
      <c r="W826" s="14"/>
      <c r="X826" s="10" t="s">
        <v>929</v>
      </c>
      <c r="Y826" s="16"/>
      <c r="Z826" s="17" t="s">
        <v>48</v>
      </c>
      <c r="AA826" s="6" t="s">
        <v>1755</v>
      </c>
      <c r="AB826" s="18" t="str">
        <f aca="false">IF(O826="","",$D$3*PI()*(O826/1000)^2/4*3600)</f>
        <v/>
      </c>
      <c r="AC826" s="19" t="n">
        <f aca="false">IF(OR(U826="",NOT(ISNUMBER(U826))),"",U826*$D$3^2/(2*$H$3))</f>
        <v>0</v>
      </c>
      <c r="AD826" s="20" t="n">
        <f aca="false">IF(OR(U826="",NOT(ISNUMBER(U826))),"",U826*$D$3^2/2*$F$3)</f>
        <v>0</v>
      </c>
      <c r="AE826" s="19" t="str">
        <f aca="false">IF(OR(V826="",NOT(ISNUMBER(V826))),"",V826*$D$3^2/(2*$H$3))</f>
        <v/>
      </c>
      <c r="AF826" s="20" t="str">
        <f aca="false">IF(OR(V826="",NOT(ISNUMBER(V826))),"",V826*$D$3^2/2*$F$3)</f>
        <v/>
      </c>
      <c r="AG826" s="19" t="str">
        <f aca="false">IF(OR(W826="",NOT(ISNUMBER(W826))),"",W826*$D$3^2/(2*$H$3))</f>
        <v/>
      </c>
      <c r="AH826" s="20" t="str">
        <f aca="false">IF(OR(W826="",NOT(ISNUMBER(W826))),"",W826*$D$3^2/2*$F$3)</f>
        <v/>
      </c>
    </row>
    <row r="827" customFormat="false" ht="15" hidden="false" customHeight="false" outlineLevel="0" collapsed="false">
      <c r="A827" s="10" t="s">
        <v>1799</v>
      </c>
      <c r="B827" s="25" t="s">
        <v>1750</v>
      </c>
      <c r="C827" s="6" t="s">
        <v>925</v>
      </c>
      <c r="D827" s="6" t="s">
        <v>1800</v>
      </c>
      <c r="E827" s="6" t="s">
        <v>1801</v>
      </c>
      <c r="F827" s="6" t="s">
        <v>1637</v>
      </c>
      <c r="G827" s="6" t="n">
        <v>200</v>
      </c>
      <c r="H827" s="6"/>
      <c r="I827" s="6" t="s">
        <v>1782</v>
      </c>
      <c r="J827" s="6" t="s">
        <v>1707</v>
      </c>
      <c r="K827" s="6" t="s">
        <v>1754</v>
      </c>
      <c r="L827" s="6"/>
      <c r="M827" s="6"/>
      <c r="N827" s="12"/>
      <c r="O827" s="12"/>
      <c r="P827" s="12"/>
      <c r="Q827" s="12"/>
      <c r="R827" s="14"/>
      <c r="S827" s="6"/>
      <c r="T827" s="6"/>
      <c r="U827" s="14" t="n">
        <v>0</v>
      </c>
      <c r="V827" s="14"/>
      <c r="W827" s="14"/>
      <c r="X827" s="10" t="s">
        <v>929</v>
      </c>
      <c r="Y827" s="16"/>
      <c r="Z827" s="17" t="s">
        <v>48</v>
      </c>
      <c r="AA827" s="6" t="s">
        <v>1755</v>
      </c>
      <c r="AB827" s="18" t="str">
        <f aca="false">IF(O827="","",$D$3*PI()*(O827/1000)^2/4*3600)</f>
        <v/>
      </c>
      <c r="AC827" s="19" t="n">
        <f aca="false">IF(OR(U827="",NOT(ISNUMBER(U827))),"",U827*$D$3^2/(2*$H$3))</f>
        <v>0</v>
      </c>
      <c r="AD827" s="20" t="n">
        <f aca="false">IF(OR(U827="",NOT(ISNUMBER(U827))),"",U827*$D$3^2/2*$F$3)</f>
        <v>0</v>
      </c>
      <c r="AE827" s="19" t="str">
        <f aca="false">IF(OR(V827="",NOT(ISNUMBER(V827))),"",V827*$D$3^2/(2*$H$3))</f>
        <v/>
      </c>
      <c r="AF827" s="20" t="str">
        <f aca="false">IF(OR(V827="",NOT(ISNUMBER(V827))),"",V827*$D$3^2/2*$F$3)</f>
        <v/>
      </c>
      <c r="AG827" s="19" t="str">
        <f aca="false">IF(OR(W827="",NOT(ISNUMBER(W827))),"",W827*$D$3^2/(2*$H$3))</f>
        <v/>
      </c>
      <c r="AH827" s="20" t="str">
        <f aca="false">IF(OR(W827="",NOT(ISNUMBER(W827))),"",W827*$D$3^2/2*$F$3)</f>
        <v/>
      </c>
    </row>
    <row r="828" customFormat="false" ht="15" hidden="false" customHeight="false" outlineLevel="0" collapsed="false">
      <c r="A828" s="10" t="s">
        <v>1802</v>
      </c>
      <c r="B828" s="25" t="s">
        <v>1750</v>
      </c>
      <c r="C828" s="6" t="s">
        <v>925</v>
      </c>
      <c r="D828" s="6" t="s">
        <v>1803</v>
      </c>
      <c r="E828" s="6" t="s">
        <v>1801</v>
      </c>
      <c r="F828" s="6" t="s">
        <v>1637</v>
      </c>
      <c r="G828" s="6" t="n">
        <v>225</v>
      </c>
      <c r="H828" s="6"/>
      <c r="I828" s="6" t="s">
        <v>1782</v>
      </c>
      <c r="J828" s="6" t="s">
        <v>1707</v>
      </c>
      <c r="K828" s="6" t="s">
        <v>1754</v>
      </c>
      <c r="L828" s="6"/>
      <c r="M828" s="6"/>
      <c r="N828" s="12"/>
      <c r="O828" s="12"/>
      <c r="P828" s="12"/>
      <c r="Q828" s="12"/>
      <c r="R828" s="14"/>
      <c r="S828" s="6"/>
      <c r="T828" s="6"/>
      <c r="U828" s="14" t="n">
        <v>0</v>
      </c>
      <c r="V828" s="14"/>
      <c r="W828" s="14"/>
      <c r="X828" s="10" t="s">
        <v>929</v>
      </c>
      <c r="Y828" s="16"/>
      <c r="Z828" s="17" t="s">
        <v>48</v>
      </c>
      <c r="AA828" s="6" t="s">
        <v>1755</v>
      </c>
      <c r="AB828" s="18" t="str">
        <f aca="false">IF(O828="","",$D$3*PI()*(O828/1000)^2/4*3600)</f>
        <v/>
      </c>
      <c r="AC828" s="19" t="n">
        <f aca="false">IF(OR(U828="",NOT(ISNUMBER(U828))),"",U828*$D$3^2/(2*$H$3))</f>
        <v>0</v>
      </c>
      <c r="AD828" s="20" t="n">
        <f aca="false">IF(OR(U828="",NOT(ISNUMBER(U828))),"",U828*$D$3^2/2*$F$3)</f>
        <v>0</v>
      </c>
      <c r="AE828" s="19" t="str">
        <f aca="false">IF(OR(V828="",NOT(ISNUMBER(V828))),"",V828*$D$3^2/(2*$H$3))</f>
        <v/>
      </c>
      <c r="AF828" s="20" t="str">
        <f aca="false">IF(OR(V828="",NOT(ISNUMBER(V828))),"",V828*$D$3^2/2*$F$3)</f>
        <v/>
      </c>
      <c r="AG828" s="19" t="str">
        <f aca="false">IF(OR(W828="",NOT(ISNUMBER(W828))),"",W828*$D$3^2/(2*$H$3))</f>
        <v/>
      </c>
      <c r="AH828" s="20" t="str">
        <f aca="false">IF(OR(W828="",NOT(ISNUMBER(W828))),"",W828*$D$3^2/2*$F$3)</f>
        <v/>
      </c>
    </row>
    <row r="829" customFormat="false" ht="15" hidden="false" customHeight="false" outlineLevel="0" collapsed="false">
      <c r="A829" s="10" t="s">
        <v>1804</v>
      </c>
      <c r="B829" s="25" t="s">
        <v>1750</v>
      </c>
      <c r="C829" s="6" t="s">
        <v>925</v>
      </c>
      <c r="D829" s="6" t="s">
        <v>1805</v>
      </c>
      <c r="E829" s="6" t="s">
        <v>1801</v>
      </c>
      <c r="F829" s="6" t="s">
        <v>1637</v>
      </c>
      <c r="G829" s="6" t="n">
        <v>250</v>
      </c>
      <c r="H829" s="6"/>
      <c r="I829" s="6" t="s">
        <v>1787</v>
      </c>
      <c r="J829" s="6" t="s">
        <v>1707</v>
      </c>
      <c r="K829" s="6" t="s">
        <v>1754</v>
      </c>
      <c r="L829" s="6"/>
      <c r="M829" s="6"/>
      <c r="N829" s="12"/>
      <c r="O829" s="12"/>
      <c r="P829" s="12"/>
      <c r="Q829" s="12"/>
      <c r="R829" s="14"/>
      <c r="S829" s="6"/>
      <c r="T829" s="6"/>
      <c r="U829" s="14" t="n">
        <v>0</v>
      </c>
      <c r="V829" s="14"/>
      <c r="W829" s="14"/>
      <c r="X829" s="10" t="s">
        <v>929</v>
      </c>
      <c r="Y829" s="16"/>
      <c r="Z829" s="17" t="s">
        <v>48</v>
      </c>
      <c r="AA829" s="6" t="s">
        <v>1755</v>
      </c>
      <c r="AB829" s="18" t="str">
        <f aca="false">IF(O829="","",$D$3*PI()*(O829/1000)^2/4*3600)</f>
        <v/>
      </c>
      <c r="AC829" s="19" t="n">
        <f aca="false">IF(OR(U829="",NOT(ISNUMBER(U829))),"",U829*$D$3^2/(2*$H$3))</f>
        <v>0</v>
      </c>
      <c r="AD829" s="20" t="n">
        <f aca="false">IF(OR(U829="",NOT(ISNUMBER(U829))),"",U829*$D$3^2/2*$F$3)</f>
        <v>0</v>
      </c>
      <c r="AE829" s="19" t="str">
        <f aca="false">IF(OR(V829="",NOT(ISNUMBER(V829))),"",V829*$D$3^2/(2*$H$3))</f>
        <v/>
      </c>
      <c r="AF829" s="20" t="str">
        <f aca="false">IF(OR(V829="",NOT(ISNUMBER(V829))),"",V829*$D$3^2/2*$F$3)</f>
        <v/>
      </c>
      <c r="AG829" s="19" t="str">
        <f aca="false">IF(OR(W829="",NOT(ISNUMBER(W829))),"",W829*$D$3^2/(2*$H$3))</f>
        <v/>
      </c>
      <c r="AH829" s="20" t="str">
        <f aca="false">IF(OR(W829="",NOT(ISNUMBER(W829))),"",W829*$D$3^2/2*$F$3)</f>
        <v/>
      </c>
    </row>
    <row r="830" customFormat="false" ht="15" hidden="false" customHeight="false" outlineLevel="0" collapsed="false">
      <c r="A830" s="10" t="s">
        <v>1806</v>
      </c>
      <c r="B830" s="25" t="s">
        <v>1750</v>
      </c>
      <c r="C830" s="6" t="s">
        <v>925</v>
      </c>
      <c r="D830" s="6" t="s">
        <v>1807</v>
      </c>
      <c r="E830" s="6" t="s">
        <v>1801</v>
      </c>
      <c r="F830" s="6" t="s">
        <v>1637</v>
      </c>
      <c r="G830" s="6" t="n">
        <v>280</v>
      </c>
      <c r="H830" s="6"/>
      <c r="I830" s="6" t="s">
        <v>1787</v>
      </c>
      <c r="J830" s="6" t="s">
        <v>1707</v>
      </c>
      <c r="K830" s="6" t="s">
        <v>1754</v>
      </c>
      <c r="L830" s="6"/>
      <c r="M830" s="6"/>
      <c r="N830" s="12"/>
      <c r="O830" s="12"/>
      <c r="P830" s="12"/>
      <c r="Q830" s="12"/>
      <c r="R830" s="14"/>
      <c r="S830" s="6"/>
      <c r="T830" s="6"/>
      <c r="U830" s="14" t="n">
        <v>0</v>
      </c>
      <c r="V830" s="14"/>
      <c r="W830" s="14"/>
      <c r="X830" s="10" t="s">
        <v>929</v>
      </c>
      <c r="Y830" s="16"/>
      <c r="Z830" s="17" t="s">
        <v>48</v>
      </c>
      <c r="AA830" s="6" t="s">
        <v>1755</v>
      </c>
      <c r="AB830" s="18" t="str">
        <f aca="false">IF(O830="","",$D$3*PI()*(O830/1000)^2/4*3600)</f>
        <v/>
      </c>
      <c r="AC830" s="19" t="n">
        <f aca="false">IF(OR(U830="",NOT(ISNUMBER(U830))),"",U830*$D$3^2/(2*$H$3))</f>
        <v>0</v>
      </c>
      <c r="AD830" s="20" t="n">
        <f aca="false">IF(OR(U830="",NOT(ISNUMBER(U830))),"",U830*$D$3^2/2*$F$3)</f>
        <v>0</v>
      </c>
      <c r="AE830" s="19" t="str">
        <f aca="false">IF(OR(V830="",NOT(ISNUMBER(V830))),"",V830*$D$3^2/(2*$H$3))</f>
        <v/>
      </c>
      <c r="AF830" s="20" t="str">
        <f aca="false">IF(OR(V830="",NOT(ISNUMBER(V830))),"",V830*$D$3^2/2*$F$3)</f>
        <v/>
      </c>
      <c r="AG830" s="19" t="str">
        <f aca="false">IF(OR(W830="",NOT(ISNUMBER(W830))),"",W830*$D$3^2/(2*$H$3))</f>
        <v/>
      </c>
      <c r="AH830" s="20" t="str">
        <f aca="false">IF(OR(W830="",NOT(ISNUMBER(W830))),"",W830*$D$3^2/2*$F$3)</f>
        <v/>
      </c>
    </row>
    <row r="831" customFormat="false" ht="15" hidden="false" customHeight="false" outlineLevel="0" collapsed="false">
      <c r="A831" s="10" t="s">
        <v>1808</v>
      </c>
      <c r="B831" s="25" t="s">
        <v>1750</v>
      </c>
      <c r="C831" s="6" t="s">
        <v>925</v>
      </c>
      <c r="D831" s="6" t="s">
        <v>1809</v>
      </c>
      <c r="E831" s="6" t="s">
        <v>1801</v>
      </c>
      <c r="F831" s="6" t="s">
        <v>1637</v>
      </c>
      <c r="G831" s="6" t="n">
        <v>315</v>
      </c>
      <c r="H831" s="6"/>
      <c r="I831" s="6" t="s">
        <v>1792</v>
      </c>
      <c r="J831" s="6" t="s">
        <v>1707</v>
      </c>
      <c r="K831" s="6" t="s">
        <v>1754</v>
      </c>
      <c r="L831" s="6"/>
      <c r="M831" s="6"/>
      <c r="N831" s="12"/>
      <c r="O831" s="12"/>
      <c r="P831" s="12"/>
      <c r="Q831" s="12"/>
      <c r="R831" s="14"/>
      <c r="S831" s="6"/>
      <c r="T831" s="6"/>
      <c r="U831" s="14" t="n">
        <v>0</v>
      </c>
      <c r="V831" s="14"/>
      <c r="W831" s="14"/>
      <c r="X831" s="10" t="s">
        <v>929</v>
      </c>
      <c r="Y831" s="16"/>
      <c r="Z831" s="17" t="s">
        <v>48</v>
      </c>
      <c r="AA831" s="6" t="s">
        <v>1755</v>
      </c>
      <c r="AB831" s="18" t="str">
        <f aca="false">IF(O831="","",$D$3*PI()*(O831/1000)^2/4*3600)</f>
        <v/>
      </c>
      <c r="AC831" s="19" t="n">
        <f aca="false">IF(OR(U831="",NOT(ISNUMBER(U831))),"",U831*$D$3^2/(2*$H$3))</f>
        <v>0</v>
      </c>
      <c r="AD831" s="20" t="n">
        <f aca="false">IF(OR(U831="",NOT(ISNUMBER(U831))),"",U831*$D$3^2/2*$F$3)</f>
        <v>0</v>
      </c>
      <c r="AE831" s="19" t="str">
        <f aca="false">IF(OR(V831="",NOT(ISNUMBER(V831))),"",V831*$D$3^2/(2*$H$3))</f>
        <v/>
      </c>
      <c r="AF831" s="20" t="str">
        <f aca="false">IF(OR(V831="",NOT(ISNUMBER(V831))),"",V831*$D$3^2/2*$F$3)</f>
        <v/>
      </c>
      <c r="AG831" s="19" t="str">
        <f aca="false">IF(OR(W831="",NOT(ISNUMBER(W831))),"",W831*$D$3^2/(2*$H$3))</f>
        <v/>
      </c>
      <c r="AH831" s="20" t="str">
        <f aca="false">IF(OR(W831="",NOT(ISNUMBER(W831))),"",W831*$D$3^2/2*$F$3)</f>
        <v/>
      </c>
    </row>
    <row r="832" customFormat="false" ht="15" hidden="false" customHeight="false" outlineLevel="0" collapsed="false">
      <c r="A832" s="10" t="s">
        <v>1810</v>
      </c>
      <c r="B832" s="25" t="s">
        <v>1750</v>
      </c>
      <c r="C832" s="6" t="s">
        <v>925</v>
      </c>
      <c r="D832" s="6" t="s">
        <v>1811</v>
      </c>
      <c r="E832" s="6" t="s">
        <v>1801</v>
      </c>
      <c r="F832" s="6" t="s">
        <v>1637</v>
      </c>
      <c r="G832" s="6" t="n">
        <v>355</v>
      </c>
      <c r="H832" s="6"/>
      <c r="I832" s="6" t="s">
        <v>1795</v>
      </c>
      <c r="J832" s="6" t="s">
        <v>1707</v>
      </c>
      <c r="K832" s="6" t="s">
        <v>1754</v>
      </c>
      <c r="L832" s="6"/>
      <c r="M832" s="6"/>
      <c r="N832" s="12"/>
      <c r="O832" s="12"/>
      <c r="P832" s="12"/>
      <c r="Q832" s="12"/>
      <c r="R832" s="14"/>
      <c r="S832" s="6"/>
      <c r="T832" s="6"/>
      <c r="U832" s="14" t="n">
        <v>0</v>
      </c>
      <c r="V832" s="14"/>
      <c r="W832" s="14"/>
      <c r="X832" s="10" t="s">
        <v>929</v>
      </c>
      <c r="Y832" s="16"/>
      <c r="Z832" s="17" t="s">
        <v>48</v>
      </c>
      <c r="AA832" s="6" t="s">
        <v>1755</v>
      </c>
      <c r="AB832" s="18" t="str">
        <f aca="false">IF(O832="","",$D$3*PI()*(O832/1000)^2/4*3600)</f>
        <v/>
      </c>
      <c r="AC832" s="19" t="n">
        <f aca="false">IF(OR(U832="",NOT(ISNUMBER(U832))),"",U832*$D$3^2/(2*$H$3))</f>
        <v>0</v>
      </c>
      <c r="AD832" s="20" t="n">
        <f aca="false">IF(OR(U832="",NOT(ISNUMBER(U832))),"",U832*$D$3^2/2*$F$3)</f>
        <v>0</v>
      </c>
      <c r="AE832" s="19" t="str">
        <f aca="false">IF(OR(V832="",NOT(ISNUMBER(V832))),"",V832*$D$3^2/(2*$H$3))</f>
        <v/>
      </c>
      <c r="AF832" s="20" t="str">
        <f aca="false">IF(OR(V832="",NOT(ISNUMBER(V832))),"",V832*$D$3^2/2*$F$3)</f>
        <v/>
      </c>
      <c r="AG832" s="19" t="str">
        <f aca="false">IF(OR(W832="",NOT(ISNUMBER(W832))),"",W832*$D$3^2/(2*$H$3))</f>
        <v/>
      </c>
      <c r="AH832" s="20" t="str">
        <f aca="false">IF(OR(W832="",NOT(ISNUMBER(W832))),"",W832*$D$3^2/2*$F$3)</f>
        <v/>
      </c>
    </row>
    <row r="833" customFormat="false" ht="15" hidden="false" customHeight="false" outlineLevel="0" collapsed="false">
      <c r="A833" s="10" t="s">
        <v>1812</v>
      </c>
      <c r="B833" s="25" t="s">
        <v>1750</v>
      </c>
      <c r="C833" s="6" t="s">
        <v>925</v>
      </c>
      <c r="D833" s="6" t="s">
        <v>1813</v>
      </c>
      <c r="E833" s="6" t="s">
        <v>1801</v>
      </c>
      <c r="F833" s="6" t="s">
        <v>1637</v>
      </c>
      <c r="G833" s="6" t="n">
        <v>400</v>
      </c>
      <c r="H833" s="6"/>
      <c r="I833" s="6" t="s">
        <v>1798</v>
      </c>
      <c r="J833" s="6" t="s">
        <v>1707</v>
      </c>
      <c r="K833" s="6" t="s">
        <v>1754</v>
      </c>
      <c r="L833" s="6"/>
      <c r="M833" s="6"/>
      <c r="N833" s="12"/>
      <c r="O833" s="12"/>
      <c r="P833" s="12"/>
      <c r="Q833" s="12"/>
      <c r="R833" s="14"/>
      <c r="S833" s="6"/>
      <c r="T833" s="6"/>
      <c r="U833" s="14" t="n">
        <v>0</v>
      </c>
      <c r="V833" s="14"/>
      <c r="W833" s="14"/>
      <c r="X833" s="10" t="s">
        <v>929</v>
      </c>
      <c r="Y833" s="16"/>
      <c r="Z833" s="17" t="s">
        <v>48</v>
      </c>
      <c r="AA833" s="6" t="s">
        <v>1755</v>
      </c>
      <c r="AB833" s="18" t="str">
        <f aca="false">IF(O833="","",$D$3*PI()*(O833/1000)^2/4*3600)</f>
        <v/>
      </c>
      <c r="AC833" s="19" t="n">
        <f aca="false">IF(OR(U833="",NOT(ISNUMBER(U833))),"",U833*$D$3^2/(2*$H$3))</f>
        <v>0</v>
      </c>
      <c r="AD833" s="20" t="n">
        <f aca="false">IF(OR(U833="",NOT(ISNUMBER(U833))),"",U833*$D$3^2/2*$F$3)</f>
        <v>0</v>
      </c>
      <c r="AE833" s="19" t="str">
        <f aca="false">IF(OR(V833="",NOT(ISNUMBER(V833))),"",V833*$D$3^2/(2*$H$3))</f>
        <v/>
      </c>
      <c r="AF833" s="20" t="str">
        <f aca="false">IF(OR(V833="",NOT(ISNUMBER(V833))),"",V833*$D$3^2/2*$F$3)</f>
        <v/>
      </c>
      <c r="AG833" s="19" t="str">
        <f aca="false">IF(OR(W833="",NOT(ISNUMBER(W833))),"",W833*$D$3^2/(2*$H$3))</f>
        <v/>
      </c>
      <c r="AH833" s="20" t="str">
        <f aca="false">IF(OR(W833="",NOT(ISNUMBER(W833))),"",W833*$D$3^2/2*$F$3)</f>
        <v/>
      </c>
    </row>
    <row r="834" customFormat="false" ht="15" hidden="false" customHeight="false" outlineLevel="0" collapsed="false">
      <c r="A834" s="10" t="s">
        <v>1814</v>
      </c>
      <c r="B834" s="25" t="s">
        <v>1750</v>
      </c>
      <c r="C834" s="6" t="s">
        <v>925</v>
      </c>
      <c r="D834" s="6" t="s">
        <v>1815</v>
      </c>
      <c r="E834" s="6" t="s">
        <v>1816</v>
      </c>
      <c r="F834" s="6" t="s">
        <v>1637</v>
      </c>
      <c r="G834" s="6" t="n">
        <v>50</v>
      </c>
      <c r="H834" s="6"/>
      <c r="I834" s="6" t="s">
        <v>1753</v>
      </c>
      <c r="J834" s="6" t="s">
        <v>1707</v>
      </c>
      <c r="K834" s="6" t="s">
        <v>1817</v>
      </c>
      <c r="L834" s="6"/>
      <c r="M834" s="6"/>
      <c r="N834" s="12"/>
      <c r="O834" s="12"/>
      <c r="P834" s="12"/>
      <c r="Q834" s="12"/>
      <c r="R834" s="14"/>
      <c r="S834" s="6"/>
      <c r="T834" s="6"/>
      <c r="U834" s="14" t="n">
        <v>0</v>
      </c>
      <c r="V834" s="14"/>
      <c r="W834" s="14"/>
      <c r="X834" s="10" t="s">
        <v>929</v>
      </c>
      <c r="Y834" s="16"/>
      <c r="Z834" s="17" t="s">
        <v>48</v>
      </c>
      <c r="AA834" s="6" t="s">
        <v>1755</v>
      </c>
      <c r="AB834" s="18" t="str">
        <f aca="false">IF(O834="","",$D$3*PI()*(O834/1000)^2/4*3600)</f>
        <v/>
      </c>
      <c r="AC834" s="19" t="n">
        <f aca="false">IF(OR(U834="",NOT(ISNUMBER(U834))),"",U834*$D$3^2/(2*$H$3))</f>
        <v>0</v>
      </c>
      <c r="AD834" s="20" t="n">
        <f aca="false">IF(OR(U834="",NOT(ISNUMBER(U834))),"",U834*$D$3^2/2*$F$3)</f>
        <v>0</v>
      </c>
      <c r="AE834" s="19" t="str">
        <f aca="false">IF(OR(V834="",NOT(ISNUMBER(V834))),"",V834*$D$3^2/(2*$H$3))</f>
        <v/>
      </c>
      <c r="AF834" s="20" t="str">
        <f aca="false">IF(OR(V834="",NOT(ISNUMBER(V834))),"",V834*$D$3^2/2*$F$3)</f>
        <v/>
      </c>
      <c r="AG834" s="19" t="str">
        <f aca="false">IF(OR(W834="",NOT(ISNUMBER(W834))),"",W834*$D$3^2/(2*$H$3))</f>
        <v/>
      </c>
      <c r="AH834" s="20" t="str">
        <f aca="false">IF(OR(W834="",NOT(ISNUMBER(W834))),"",W834*$D$3^2/2*$F$3)</f>
        <v/>
      </c>
    </row>
    <row r="835" customFormat="false" ht="15" hidden="false" customHeight="false" outlineLevel="0" collapsed="false">
      <c r="A835" s="10" t="s">
        <v>1818</v>
      </c>
      <c r="B835" s="25" t="s">
        <v>1750</v>
      </c>
      <c r="C835" s="6" t="s">
        <v>925</v>
      </c>
      <c r="D835" s="6" t="s">
        <v>1819</v>
      </c>
      <c r="E835" s="6" t="s">
        <v>1816</v>
      </c>
      <c r="F835" s="6" t="s">
        <v>1637</v>
      </c>
      <c r="G835" s="6" t="n">
        <v>63</v>
      </c>
      <c r="H835" s="6"/>
      <c r="I835" s="6" t="s">
        <v>1758</v>
      </c>
      <c r="J835" s="6" t="s">
        <v>1707</v>
      </c>
      <c r="K835" s="6" t="s">
        <v>1817</v>
      </c>
      <c r="L835" s="6"/>
      <c r="M835" s="6"/>
      <c r="N835" s="12"/>
      <c r="O835" s="12"/>
      <c r="P835" s="12"/>
      <c r="Q835" s="12"/>
      <c r="R835" s="14"/>
      <c r="S835" s="6"/>
      <c r="T835" s="6"/>
      <c r="U835" s="14" t="n">
        <v>0</v>
      </c>
      <c r="V835" s="14"/>
      <c r="W835" s="14"/>
      <c r="X835" s="10" t="s">
        <v>929</v>
      </c>
      <c r="Y835" s="16"/>
      <c r="Z835" s="17" t="s">
        <v>48</v>
      </c>
      <c r="AA835" s="6" t="s">
        <v>1755</v>
      </c>
      <c r="AB835" s="18" t="str">
        <f aca="false">IF(O835="","",$D$3*PI()*(O835/1000)^2/4*3600)</f>
        <v/>
      </c>
      <c r="AC835" s="19" t="n">
        <f aca="false">IF(OR(U835="",NOT(ISNUMBER(U835))),"",U835*$D$3^2/(2*$H$3))</f>
        <v>0</v>
      </c>
      <c r="AD835" s="20" t="n">
        <f aca="false">IF(OR(U835="",NOT(ISNUMBER(U835))),"",U835*$D$3^2/2*$F$3)</f>
        <v>0</v>
      </c>
      <c r="AE835" s="19" t="str">
        <f aca="false">IF(OR(V835="",NOT(ISNUMBER(V835))),"",V835*$D$3^2/(2*$H$3))</f>
        <v/>
      </c>
      <c r="AF835" s="20" t="str">
        <f aca="false">IF(OR(V835="",NOT(ISNUMBER(V835))),"",V835*$D$3^2/2*$F$3)</f>
        <v/>
      </c>
      <c r="AG835" s="19" t="str">
        <f aca="false">IF(OR(W835="",NOT(ISNUMBER(W835))),"",W835*$D$3^2/(2*$H$3))</f>
        <v/>
      </c>
      <c r="AH835" s="20" t="str">
        <f aca="false">IF(OR(W835="",NOT(ISNUMBER(W835))),"",W835*$D$3^2/2*$F$3)</f>
        <v/>
      </c>
    </row>
    <row r="836" customFormat="false" ht="15" hidden="false" customHeight="false" outlineLevel="0" collapsed="false">
      <c r="A836" s="10" t="s">
        <v>1820</v>
      </c>
      <c r="B836" s="25" t="s">
        <v>1750</v>
      </c>
      <c r="C836" s="6" t="s">
        <v>925</v>
      </c>
      <c r="D836" s="6" t="s">
        <v>1821</v>
      </c>
      <c r="E836" s="6" t="s">
        <v>1816</v>
      </c>
      <c r="F836" s="6" t="s">
        <v>1637</v>
      </c>
      <c r="G836" s="6" t="n">
        <v>75</v>
      </c>
      <c r="H836" s="6"/>
      <c r="I836" s="6" t="s">
        <v>1761</v>
      </c>
      <c r="J836" s="6" t="s">
        <v>1707</v>
      </c>
      <c r="K836" s="6" t="s">
        <v>1817</v>
      </c>
      <c r="L836" s="6"/>
      <c r="M836" s="6"/>
      <c r="N836" s="12"/>
      <c r="O836" s="12"/>
      <c r="P836" s="12"/>
      <c r="Q836" s="12"/>
      <c r="R836" s="14"/>
      <c r="S836" s="6"/>
      <c r="T836" s="6"/>
      <c r="U836" s="14" t="n">
        <v>0</v>
      </c>
      <c r="V836" s="14"/>
      <c r="W836" s="14"/>
      <c r="X836" s="10" t="s">
        <v>929</v>
      </c>
      <c r="Y836" s="16"/>
      <c r="Z836" s="17" t="s">
        <v>48</v>
      </c>
      <c r="AA836" s="6" t="s">
        <v>1755</v>
      </c>
      <c r="AB836" s="18" t="str">
        <f aca="false">IF(O836="","",$D$3*PI()*(O836/1000)^2/4*3600)</f>
        <v/>
      </c>
      <c r="AC836" s="19" t="n">
        <f aca="false">IF(OR(U836="",NOT(ISNUMBER(U836))),"",U836*$D$3^2/(2*$H$3))</f>
        <v>0</v>
      </c>
      <c r="AD836" s="20" t="n">
        <f aca="false">IF(OR(U836="",NOT(ISNUMBER(U836))),"",U836*$D$3^2/2*$F$3)</f>
        <v>0</v>
      </c>
      <c r="AE836" s="19" t="str">
        <f aca="false">IF(OR(V836="",NOT(ISNUMBER(V836))),"",V836*$D$3^2/(2*$H$3))</f>
        <v/>
      </c>
      <c r="AF836" s="20" t="str">
        <f aca="false">IF(OR(V836="",NOT(ISNUMBER(V836))),"",V836*$D$3^2/2*$F$3)</f>
        <v/>
      </c>
      <c r="AG836" s="19" t="str">
        <f aca="false">IF(OR(W836="",NOT(ISNUMBER(W836))),"",W836*$D$3^2/(2*$H$3))</f>
        <v/>
      </c>
      <c r="AH836" s="20" t="str">
        <f aca="false">IF(OR(W836="",NOT(ISNUMBER(W836))),"",W836*$D$3^2/2*$F$3)</f>
        <v/>
      </c>
    </row>
    <row r="837" customFormat="false" ht="15" hidden="false" customHeight="false" outlineLevel="0" collapsed="false">
      <c r="A837" s="10" t="s">
        <v>1822</v>
      </c>
      <c r="B837" s="25" t="s">
        <v>1750</v>
      </c>
      <c r="C837" s="6" t="s">
        <v>925</v>
      </c>
      <c r="D837" s="6" t="s">
        <v>1823</v>
      </c>
      <c r="E837" s="6" t="s">
        <v>1816</v>
      </c>
      <c r="F837" s="6" t="s">
        <v>1637</v>
      </c>
      <c r="G837" s="6" t="n">
        <v>90</v>
      </c>
      <c r="H837" s="6"/>
      <c r="I837" s="6" t="s">
        <v>1764</v>
      </c>
      <c r="J837" s="6" t="s">
        <v>1707</v>
      </c>
      <c r="K837" s="6" t="s">
        <v>1817</v>
      </c>
      <c r="L837" s="6"/>
      <c r="M837" s="6"/>
      <c r="N837" s="12"/>
      <c r="O837" s="12"/>
      <c r="P837" s="12"/>
      <c r="Q837" s="12"/>
      <c r="R837" s="14"/>
      <c r="S837" s="6"/>
      <c r="T837" s="6"/>
      <c r="U837" s="14" t="n">
        <v>0</v>
      </c>
      <c r="V837" s="14"/>
      <c r="W837" s="14"/>
      <c r="X837" s="10" t="s">
        <v>929</v>
      </c>
      <c r="Y837" s="16"/>
      <c r="Z837" s="17" t="s">
        <v>48</v>
      </c>
      <c r="AA837" s="6" t="s">
        <v>1755</v>
      </c>
      <c r="AB837" s="18" t="str">
        <f aca="false">IF(O837="","",$D$3*PI()*(O837/1000)^2/4*3600)</f>
        <v/>
      </c>
      <c r="AC837" s="19" t="n">
        <f aca="false">IF(OR(U837="",NOT(ISNUMBER(U837))),"",U837*$D$3^2/(2*$H$3))</f>
        <v>0</v>
      </c>
      <c r="AD837" s="20" t="n">
        <f aca="false">IF(OR(U837="",NOT(ISNUMBER(U837))),"",U837*$D$3^2/2*$F$3)</f>
        <v>0</v>
      </c>
      <c r="AE837" s="19" t="str">
        <f aca="false">IF(OR(V837="",NOT(ISNUMBER(V837))),"",V837*$D$3^2/(2*$H$3))</f>
        <v/>
      </c>
      <c r="AF837" s="20" t="str">
        <f aca="false">IF(OR(V837="",NOT(ISNUMBER(V837))),"",V837*$D$3^2/2*$F$3)</f>
        <v/>
      </c>
      <c r="AG837" s="19" t="str">
        <f aca="false">IF(OR(W837="",NOT(ISNUMBER(W837))),"",W837*$D$3^2/(2*$H$3))</f>
        <v/>
      </c>
      <c r="AH837" s="20" t="str">
        <f aca="false">IF(OR(W837="",NOT(ISNUMBER(W837))),"",W837*$D$3^2/2*$F$3)</f>
        <v/>
      </c>
    </row>
    <row r="838" customFormat="false" ht="15" hidden="false" customHeight="false" outlineLevel="0" collapsed="false">
      <c r="A838" s="10" t="s">
        <v>1824</v>
      </c>
      <c r="B838" s="25" t="s">
        <v>1750</v>
      </c>
      <c r="C838" s="6" t="s">
        <v>925</v>
      </c>
      <c r="D838" s="6" t="s">
        <v>1825</v>
      </c>
      <c r="E838" s="6" t="s">
        <v>1816</v>
      </c>
      <c r="F838" s="6" t="s">
        <v>1637</v>
      </c>
      <c r="G838" s="6" t="n">
        <v>110</v>
      </c>
      <c r="H838" s="6"/>
      <c r="I838" s="6" t="s">
        <v>1767</v>
      </c>
      <c r="J838" s="6" t="s">
        <v>1707</v>
      </c>
      <c r="K838" s="6" t="s">
        <v>1817</v>
      </c>
      <c r="L838" s="6"/>
      <c r="M838" s="6"/>
      <c r="N838" s="12"/>
      <c r="O838" s="12"/>
      <c r="P838" s="12"/>
      <c r="Q838" s="12"/>
      <c r="R838" s="14"/>
      <c r="S838" s="6"/>
      <c r="T838" s="6"/>
      <c r="U838" s="14" t="n">
        <v>0</v>
      </c>
      <c r="V838" s="14"/>
      <c r="W838" s="14"/>
      <c r="X838" s="10" t="s">
        <v>929</v>
      </c>
      <c r="Y838" s="16"/>
      <c r="Z838" s="17" t="s">
        <v>48</v>
      </c>
      <c r="AA838" s="6" t="s">
        <v>1755</v>
      </c>
      <c r="AB838" s="18" t="str">
        <f aca="false">IF(O838="","",$D$3*PI()*(O838/1000)^2/4*3600)</f>
        <v/>
      </c>
      <c r="AC838" s="19" t="n">
        <f aca="false">IF(OR(U838="",NOT(ISNUMBER(U838))),"",U838*$D$3^2/(2*$H$3))</f>
        <v>0</v>
      </c>
      <c r="AD838" s="20" t="n">
        <f aca="false">IF(OR(U838="",NOT(ISNUMBER(U838))),"",U838*$D$3^2/2*$F$3)</f>
        <v>0</v>
      </c>
      <c r="AE838" s="19" t="str">
        <f aca="false">IF(OR(V838="",NOT(ISNUMBER(V838))),"",V838*$D$3^2/(2*$H$3))</f>
        <v/>
      </c>
      <c r="AF838" s="20" t="str">
        <f aca="false">IF(OR(V838="",NOT(ISNUMBER(V838))),"",V838*$D$3^2/2*$F$3)</f>
        <v/>
      </c>
      <c r="AG838" s="19" t="str">
        <f aca="false">IF(OR(W838="",NOT(ISNUMBER(W838))),"",W838*$D$3^2/(2*$H$3))</f>
        <v/>
      </c>
      <c r="AH838" s="20" t="str">
        <f aca="false">IF(OR(W838="",NOT(ISNUMBER(W838))),"",W838*$D$3^2/2*$F$3)</f>
        <v/>
      </c>
    </row>
    <row r="839" customFormat="false" ht="15" hidden="false" customHeight="false" outlineLevel="0" collapsed="false">
      <c r="A839" s="10" t="s">
        <v>1826</v>
      </c>
      <c r="B839" s="25" t="s">
        <v>1750</v>
      </c>
      <c r="C839" s="6" t="s">
        <v>925</v>
      </c>
      <c r="D839" s="6" t="s">
        <v>1827</v>
      </c>
      <c r="E839" s="6" t="s">
        <v>1816</v>
      </c>
      <c r="F839" s="6" t="s">
        <v>1637</v>
      </c>
      <c r="G839" s="6" t="n">
        <v>125</v>
      </c>
      <c r="H839" s="6"/>
      <c r="I839" s="6" t="s">
        <v>1767</v>
      </c>
      <c r="J839" s="6" t="s">
        <v>1707</v>
      </c>
      <c r="K839" s="6" t="s">
        <v>1817</v>
      </c>
      <c r="L839" s="6"/>
      <c r="M839" s="6"/>
      <c r="N839" s="12"/>
      <c r="O839" s="12"/>
      <c r="P839" s="12"/>
      <c r="Q839" s="12"/>
      <c r="R839" s="14"/>
      <c r="S839" s="6"/>
      <c r="T839" s="6"/>
      <c r="U839" s="14" t="n">
        <v>0</v>
      </c>
      <c r="V839" s="14"/>
      <c r="W839" s="14"/>
      <c r="X839" s="10" t="s">
        <v>929</v>
      </c>
      <c r="Y839" s="16"/>
      <c r="Z839" s="17" t="s">
        <v>48</v>
      </c>
      <c r="AA839" s="6" t="s">
        <v>1755</v>
      </c>
      <c r="AB839" s="18" t="str">
        <f aca="false">IF(O839="","",$D$3*PI()*(O839/1000)^2/4*3600)</f>
        <v/>
      </c>
      <c r="AC839" s="19" t="n">
        <f aca="false">IF(OR(U839="",NOT(ISNUMBER(U839))),"",U839*$D$3^2/(2*$H$3))</f>
        <v>0</v>
      </c>
      <c r="AD839" s="20" t="n">
        <f aca="false">IF(OR(U839="",NOT(ISNUMBER(U839))),"",U839*$D$3^2/2*$F$3)</f>
        <v>0</v>
      </c>
      <c r="AE839" s="19" t="str">
        <f aca="false">IF(OR(V839="",NOT(ISNUMBER(V839))),"",V839*$D$3^2/(2*$H$3))</f>
        <v/>
      </c>
      <c r="AF839" s="20" t="str">
        <f aca="false">IF(OR(V839="",NOT(ISNUMBER(V839))),"",V839*$D$3^2/2*$F$3)</f>
        <v/>
      </c>
      <c r="AG839" s="19" t="str">
        <f aca="false">IF(OR(W839="",NOT(ISNUMBER(W839))),"",W839*$D$3^2/(2*$H$3))</f>
        <v/>
      </c>
      <c r="AH839" s="20" t="str">
        <f aca="false">IF(OR(W839="",NOT(ISNUMBER(W839))),"",W839*$D$3^2/2*$F$3)</f>
        <v/>
      </c>
    </row>
    <row r="840" customFormat="false" ht="15" hidden="false" customHeight="false" outlineLevel="0" collapsed="false">
      <c r="A840" s="10" t="s">
        <v>1828</v>
      </c>
      <c r="B840" s="25" t="s">
        <v>1750</v>
      </c>
      <c r="C840" s="6" t="s">
        <v>925</v>
      </c>
      <c r="D840" s="6" t="s">
        <v>1829</v>
      </c>
      <c r="E840" s="6" t="s">
        <v>1816</v>
      </c>
      <c r="F840" s="6" t="s">
        <v>1637</v>
      </c>
      <c r="G840" s="6" t="n">
        <v>140</v>
      </c>
      <c r="H840" s="6"/>
      <c r="I840" s="6" t="s">
        <v>1772</v>
      </c>
      <c r="J840" s="6" t="s">
        <v>1707</v>
      </c>
      <c r="K840" s="6" t="s">
        <v>1817</v>
      </c>
      <c r="L840" s="6"/>
      <c r="M840" s="6"/>
      <c r="N840" s="12"/>
      <c r="O840" s="12"/>
      <c r="P840" s="12"/>
      <c r="Q840" s="12"/>
      <c r="R840" s="14"/>
      <c r="S840" s="6"/>
      <c r="T840" s="6"/>
      <c r="U840" s="14" t="n">
        <v>0</v>
      </c>
      <c r="V840" s="14"/>
      <c r="W840" s="14"/>
      <c r="X840" s="10" t="s">
        <v>929</v>
      </c>
      <c r="Y840" s="16"/>
      <c r="Z840" s="17" t="s">
        <v>48</v>
      </c>
      <c r="AA840" s="6" t="s">
        <v>1755</v>
      </c>
      <c r="AB840" s="18" t="str">
        <f aca="false">IF(O840="","",$D$3*PI()*(O840/1000)^2/4*3600)</f>
        <v/>
      </c>
      <c r="AC840" s="19" t="n">
        <f aca="false">IF(OR(U840="",NOT(ISNUMBER(U840))),"",U840*$D$3^2/(2*$H$3))</f>
        <v>0</v>
      </c>
      <c r="AD840" s="20" t="n">
        <f aca="false">IF(OR(U840="",NOT(ISNUMBER(U840))),"",U840*$D$3^2/2*$F$3)</f>
        <v>0</v>
      </c>
      <c r="AE840" s="19" t="str">
        <f aca="false">IF(OR(V840="",NOT(ISNUMBER(V840))),"",V840*$D$3^2/(2*$H$3))</f>
        <v/>
      </c>
      <c r="AF840" s="20" t="str">
        <f aca="false">IF(OR(V840="",NOT(ISNUMBER(V840))),"",V840*$D$3^2/2*$F$3)</f>
        <v/>
      </c>
      <c r="AG840" s="19" t="str">
        <f aca="false">IF(OR(W840="",NOT(ISNUMBER(W840))),"",W840*$D$3^2/(2*$H$3))</f>
        <v/>
      </c>
      <c r="AH840" s="20" t="str">
        <f aca="false">IF(OR(W840="",NOT(ISNUMBER(W840))),"",W840*$D$3^2/2*$F$3)</f>
        <v/>
      </c>
    </row>
    <row r="841" customFormat="false" ht="15" hidden="false" customHeight="false" outlineLevel="0" collapsed="false">
      <c r="A841" s="10" t="s">
        <v>1830</v>
      </c>
      <c r="B841" s="25" t="s">
        <v>1750</v>
      </c>
      <c r="C841" s="6" t="s">
        <v>925</v>
      </c>
      <c r="D841" s="6" t="s">
        <v>1831</v>
      </c>
      <c r="E841" s="6" t="s">
        <v>1816</v>
      </c>
      <c r="F841" s="6" t="s">
        <v>1637</v>
      </c>
      <c r="G841" s="6" t="n">
        <v>160</v>
      </c>
      <c r="H841" s="6"/>
      <c r="I841" s="6" t="s">
        <v>1777</v>
      </c>
      <c r="J841" s="6" t="s">
        <v>1707</v>
      </c>
      <c r="K841" s="6" t="s">
        <v>1817</v>
      </c>
      <c r="L841" s="6"/>
      <c r="M841" s="6"/>
      <c r="N841" s="12"/>
      <c r="O841" s="12"/>
      <c r="P841" s="12"/>
      <c r="Q841" s="12"/>
      <c r="R841" s="14"/>
      <c r="S841" s="6"/>
      <c r="T841" s="6"/>
      <c r="U841" s="14" t="n">
        <v>0</v>
      </c>
      <c r="V841" s="14"/>
      <c r="W841" s="14"/>
      <c r="X841" s="10" t="s">
        <v>929</v>
      </c>
      <c r="Y841" s="16"/>
      <c r="Z841" s="17" t="s">
        <v>48</v>
      </c>
      <c r="AA841" s="6" t="s">
        <v>1755</v>
      </c>
      <c r="AB841" s="18" t="str">
        <f aca="false">IF(O841="","",$D$3*PI()*(O841/1000)^2/4*3600)</f>
        <v/>
      </c>
      <c r="AC841" s="19" t="n">
        <f aca="false">IF(OR(U841="",NOT(ISNUMBER(U841))),"",U841*$D$3^2/(2*$H$3))</f>
        <v>0</v>
      </c>
      <c r="AD841" s="20" t="n">
        <f aca="false">IF(OR(U841="",NOT(ISNUMBER(U841))),"",U841*$D$3^2/2*$F$3)</f>
        <v>0</v>
      </c>
      <c r="AE841" s="19" t="str">
        <f aca="false">IF(OR(V841="",NOT(ISNUMBER(V841))),"",V841*$D$3^2/(2*$H$3))</f>
        <v/>
      </c>
      <c r="AF841" s="20" t="str">
        <f aca="false">IF(OR(V841="",NOT(ISNUMBER(V841))),"",V841*$D$3^2/2*$F$3)</f>
        <v/>
      </c>
      <c r="AG841" s="19" t="str">
        <f aca="false">IF(OR(W841="",NOT(ISNUMBER(W841))),"",W841*$D$3^2/(2*$H$3))</f>
        <v/>
      </c>
      <c r="AH841" s="20" t="str">
        <f aca="false">IF(OR(W841="",NOT(ISNUMBER(W841))),"",W841*$D$3^2/2*$F$3)</f>
        <v/>
      </c>
    </row>
    <row r="842" customFormat="false" ht="15" hidden="false" customHeight="false" outlineLevel="0" collapsed="false">
      <c r="A842" s="10" t="s">
        <v>1832</v>
      </c>
      <c r="B842" s="25" t="s">
        <v>1750</v>
      </c>
      <c r="C842" s="6" t="s">
        <v>925</v>
      </c>
      <c r="D842" s="6" t="s">
        <v>1833</v>
      </c>
      <c r="E842" s="6" t="s">
        <v>1816</v>
      </c>
      <c r="F842" s="6" t="s">
        <v>1637</v>
      </c>
      <c r="G842" s="6" t="n">
        <v>180</v>
      </c>
      <c r="H842" s="6"/>
      <c r="I842" s="6" t="s">
        <v>1777</v>
      </c>
      <c r="J842" s="6" t="s">
        <v>1707</v>
      </c>
      <c r="K842" s="6" t="s">
        <v>1817</v>
      </c>
      <c r="L842" s="6"/>
      <c r="M842" s="6"/>
      <c r="N842" s="12"/>
      <c r="O842" s="12"/>
      <c r="P842" s="12"/>
      <c r="Q842" s="12"/>
      <c r="R842" s="14"/>
      <c r="S842" s="6"/>
      <c r="T842" s="6"/>
      <c r="U842" s="14" t="n">
        <v>0</v>
      </c>
      <c r="V842" s="14"/>
      <c r="W842" s="14"/>
      <c r="X842" s="10" t="s">
        <v>929</v>
      </c>
      <c r="Y842" s="16"/>
      <c r="Z842" s="17" t="s">
        <v>48</v>
      </c>
      <c r="AA842" s="6" t="s">
        <v>1755</v>
      </c>
      <c r="AB842" s="18" t="str">
        <f aca="false">IF(O842="","",$D$3*PI()*(O842/1000)^2/4*3600)</f>
        <v/>
      </c>
      <c r="AC842" s="19" t="n">
        <f aca="false">IF(OR(U842="",NOT(ISNUMBER(U842))),"",U842*$D$3^2/(2*$H$3))</f>
        <v>0</v>
      </c>
      <c r="AD842" s="20" t="n">
        <f aca="false">IF(OR(U842="",NOT(ISNUMBER(U842))),"",U842*$D$3^2/2*$F$3)</f>
        <v>0</v>
      </c>
      <c r="AE842" s="19" t="str">
        <f aca="false">IF(OR(V842="",NOT(ISNUMBER(V842))),"",V842*$D$3^2/(2*$H$3))</f>
        <v/>
      </c>
      <c r="AF842" s="20" t="str">
        <f aca="false">IF(OR(V842="",NOT(ISNUMBER(V842))),"",V842*$D$3^2/2*$F$3)</f>
        <v/>
      </c>
      <c r="AG842" s="19" t="str">
        <f aca="false">IF(OR(W842="",NOT(ISNUMBER(W842))),"",W842*$D$3^2/(2*$H$3))</f>
        <v/>
      </c>
      <c r="AH842" s="20" t="str">
        <f aca="false">IF(OR(W842="",NOT(ISNUMBER(W842))),"",W842*$D$3^2/2*$F$3)</f>
        <v/>
      </c>
    </row>
    <row r="843" customFormat="false" ht="15" hidden="false" customHeight="false" outlineLevel="0" collapsed="false">
      <c r="A843" s="10" t="s">
        <v>1834</v>
      </c>
      <c r="B843" s="25" t="s">
        <v>1750</v>
      </c>
      <c r="C843" s="6" t="s">
        <v>925</v>
      </c>
      <c r="D843" s="6" t="s">
        <v>1835</v>
      </c>
      <c r="E843" s="6" t="s">
        <v>1816</v>
      </c>
      <c r="F843" s="6" t="s">
        <v>1637</v>
      </c>
      <c r="G843" s="6" t="n">
        <v>200</v>
      </c>
      <c r="H843" s="6"/>
      <c r="I843" s="6" t="s">
        <v>1782</v>
      </c>
      <c r="J843" s="6" t="s">
        <v>1707</v>
      </c>
      <c r="K843" s="6" t="s">
        <v>1817</v>
      </c>
      <c r="L843" s="6"/>
      <c r="M843" s="6"/>
      <c r="N843" s="12"/>
      <c r="O843" s="12"/>
      <c r="P843" s="12"/>
      <c r="Q843" s="12"/>
      <c r="R843" s="14"/>
      <c r="S843" s="6"/>
      <c r="T843" s="6"/>
      <c r="U843" s="14" t="n">
        <v>0</v>
      </c>
      <c r="V843" s="14"/>
      <c r="W843" s="14"/>
      <c r="X843" s="10" t="s">
        <v>929</v>
      </c>
      <c r="Y843" s="16"/>
      <c r="Z843" s="17" t="s">
        <v>48</v>
      </c>
      <c r="AA843" s="6" t="s">
        <v>1755</v>
      </c>
      <c r="AB843" s="18" t="str">
        <f aca="false">IF(O843="","",$D$3*PI()*(O843/1000)^2/4*3600)</f>
        <v/>
      </c>
      <c r="AC843" s="19" t="n">
        <f aca="false">IF(OR(U843="",NOT(ISNUMBER(U843))),"",U843*$D$3^2/(2*$H$3))</f>
        <v>0</v>
      </c>
      <c r="AD843" s="20" t="n">
        <f aca="false">IF(OR(U843="",NOT(ISNUMBER(U843))),"",U843*$D$3^2/2*$F$3)</f>
        <v>0</v>
      </c>
      <c r="AE843" s="19" t="str">
        <f aca="false">IF(OR(V843="",NOT(ISNUMBER(V843))),"",V843*$D$3^2/(2*$H$3))</f>
        <v/>
      </c>
      <c r="AF843" s="20" t="str">
        <f aca="false">IF(OR(V843="",NOT(ISNUMBER(V843))),"",V843*$D$3^2/2*$F$3)</f>
        <v/>
      </c>
      <c r="AG843" s="19" t="str">
        <f aca="false">IF(OR(W843="",NOT(ISNUMBER(W843))),"",W843*$D$3^2/(2*$H$3))</f>
        <v/>
      </c>
      <c r="AH843" s="20" t="str">
        <f aca="false">IF(OR(W843="",NOT(ISNUMBER(W843))),"",W843*$D$3^2/2*$F$3)</f>
        <v/>
      </c>
    </row>
    <row r="844" customFormat="false" ht="15" hidden="false" customHeight="false" outlineLevel="0" collapsed="false">
      <c r="A844" s="10" t="s">
        <v>1836</v>
      </c>
      <c r="B844" s="25" t="s">
        <v>1750</v>
      </c>
      <c r="C844" s="6" t="s">
        <v>925</v>
      </c>
      <c r="D844" s="6" t="s">
        <v>1837</v>
      </c>
      <c r="E844" s="6" t="s">
        <v>1816</v>
      </c>
      <c r="F844" s="6" t="s">
        <v>1637</v>
      </c>
      <c r="G844" s="6" t="n">
        <v>225</v>
      </c>
      <c r="H844" s="6"/>
      <c r="I844" s="6" t="s">
        <v>1782</v>
      </c>
      <c r="J844" s="6" t="s">
        <v>1707</v>
      </c>
      <c r="K844" s="6" t="s">
        <v>1817</v>
      </c>
      <c r="L844" s="6"/>
      <c r="M844" s="6"/>
      <c r="N844" s="12"/>
      <c r="O844" s="12"/>
      <c r="P844" s="12"/>
      <c r="Q844" s="12"/>
      <c r="R844" s="14"/>
      <c r="S844" s="6"/>
      <c r="T844" s="6"/>
      <c r="U844" s="14" t="n">
        <v>0</v>
      </c>
      <c r="V844" s="14"/>
      <c r="W844" s="14"/>
      <c r="X844" s="10" t="s">
        <v>929</v>
      </c>
      <c r="Y844" s="16"/>
      <c r="Z844" s="17" t="s">
        <v>48</v>
      </c>
      <c r="AA844" s="6" t="s">
        <v>1755</v>
      </c>
      <c r="AB844" s="18" t="str">
        <f aca="false">IF(O844="","",$D$3*PI()*(O844/1000)^2/4*3600)</f>
        <v/>
      </c>
      <c r="AC844" s="19" t="n">
        <f aca="false">IF(OR(U844="",NOT(ISNUMBER(U844))),"",U844*$D$3^2/(2*$H$3))</f>
        <v>0</v>
      </c>
      <c r="AD844" s="20" t="n">
        <f aca="false">IF(OR(U844="",NOT(ISNUMBER(U844))),"",U844*$D$3^2/2*$F$3)</f>
        <v>0</v>
      </c>
      <c r="AE844" s="19" t="str">
        <f aca="false">IF(OR(V844="",NOT(ISNUMBER(V844))),"",V844*$D$3^2/(2*$H$3))</f>
        <v/>
      </c>
      <c r="AF844" s="20" t="str">
        <f aca="false">IF(OR(V844="",NOT(ISNUMBER(V844))),"",V844*$D$3^2/2*$F$3)</f>
        <v/>
      </c>
      <c r="AG844" s="19" t="str">
        <f aca="false">IF(OR(W844="",NOT(ISNUMBER(W844))),"",W844*$D$3^2/(2*$H$3))</f>
        <v/>
      </c>
      <c r="AH844" s="20" t="str">
        <f aca="false">IF(OR(W844="",NOT(ISNUMBER(W844))),"",W844*$D$3^2/2*$F$3)</f>
        <v/>
      </c>
    </row>
    <row r="845" customFormat="false" ht="15" hidden="false" customHeight="false" outlineLevel="0" collapsed="false">
      <c r="A845" s="10" t="s">
        <v>1838</v>
      </c>
      <c r="B845" s="25" t="s">
        <v>1750</v>
      </c>
      <c r="C845" s="6" t="s">
        <v>925</v>
      </c>
      <c r="D845" s="6" t="s">
        <v>1839</v>
      </c>
      <c r="E845" s="6" t="s">
        <v>1816</v>
      </c>
      <c r="F845" s="6" t="s">
        <v>1637</v>
      </c>
      <c r="G845" s="6" t="n">
        <v>250</v>
      </c>
      <c r="H845" s="6"/>
      <c r="I845" s="6" t="s">
        <v>1787</v>
      </c>
      <c r="J845" s="6" t="s">
        <v>1707</v>
      </c>
      <c r="K845" s="6" t="s">
        <v>1817</v>
      </c>
      <c r="L845" s="6"/>
      <c r="M845" s="6"/>
      <c r="N845" s="12"/>
      <c r="O845" s="12"/>
      <c r="P845" s="12"/>
      <c r="Q845" s="12"/>
      <c r="R845" s="14"/>
      <c r="S845" s="6"/>
      <c r="T845" s="6"/>
      <c r="U845" s="14" t="n">
        <v>0</v>
      </c>
      <c r="V845" s="14"/>
      <c r="W845" s="14"/>
      <c r="X845" s="10" t="s">
        <v>929</v>
      </c>
      <c r="Y845" s="16"/>
      <c r="Z845" s="17" t="s">
        <v>48</v>
      </c>
      <c r="AA845" s="6" t="s">
        <v>1755</v>
      </c>
      <c r="AB845" s="18" t="str">
        <f aca="false">IF(O845="","",$D$3*PI()*(O845/1000)^2/4*3600)</f>
        <v/>
      </c>
      <c r="AC845" s="19" t="n">
        <f aca="false">IF(OR(U845="",NOT(ISNUMBER(U845))),"",U845*$D$3^2/(2*$H$3))</f>
        <v>0</v>
      </c>
      <c r="AD845" s="20" t="n">
        <f aca="false">IF(OR(U845="",NOT(ISNUMBER(U845))),"",U845*$D$3^2/2*$F$3)</f>
        <v>0</v>
      </c>
      <c r="AE845" s="19" t="str">
        <f aca="false">IF(OR(V845="",NOT(ISNUMBER(V845))),"",V845*$D$3^2/(2*$H$3))</f>
        <v/>
      </c>
      <c r="AF845" s="20" t="str">
        <f aca="false">IF(OR(V845="",NOT(ISNUMBER(V845))),"",V845*$D$3^2/2*$F$3)</f>
        <v/>
      </c>
      <c r="AG845" s="19" t="str">
        <f aca="false">IF(OR(W845="",NOT(ISNUMBER(W845))),"",W845*$D$3^2/(2*$H$3))</f>
        <v/>
      </c>
      <c r="AH845" s="20" t="str">
        <f aca="false">IF(OR(W845="",NOT(ISNUMBER(W845))),"",W845*$D$3^2/2*$F$3)</f>
        <v/>
      </c>
    </row>
    <row r="846" customFormat="false" ht="15" hidden="false" customHeight="false" outlineLevel="0" collapsed="false">
      <c r="A846" s="10" t="s">
        <v>1840</v>
      </c>
      <c r="B846" s="25" t="s">
        <v>1750</v>
      </c>
      <c r="C846" s="6" t="s">
        <v>925</v>
      </c>
      <c r="D846" s="6" t="s">
        <v>1841</v>
      </c>
      <c r="E846" s="6" t="s">
        <v>1816</v>
      </c>
      <c r="F846" s="6" t="s">
        <v>1637</v>
      </c>
      <c r="G846" s="6" t="n">
        <v>280</v>
      </c>
      <c r="H846" s="6"/>
      <c r="I846" s="6" t="s">
        <v>1787</v>
      </c>
      <c r="J846" s="6" t="s">
        <v>1707</v>
      </c>
      <c r="K846" s="6" t="s">
        <v>1817</v>
      </c>
      <c r="L846" s="6"/>
      <c r="M846" s="6"/>
      <c r="N846" s="12"/>
      <c r="O846" s="12"/>
      <c r="P846" s="12"/>
      <c r="Q846" s="12"/>
      <c r="R846" s="14"/>
      <c r="S846" s="6"/>
      <c r="T846" s="6"/>
      <c r="U846" s="14" t="n">
        <v>0</v>
      </c>
      <c r="V846" s="14"/>
      <c r="W846" s="14"/>
      <c r="X846" s="10" t="s">
        <v>929</v>
      </c>
      <c r="Y846" s="16"/>
      <c r="Z846" s="17" t="s">
        <v>48</v>
      </c>
      <c r="AA846" s="6" t="s">
        <v>1755</v>
      </c>
      <c r="AB846" s="18" t="str">
        <f aca="false">IF(O846="","",$D$3*PI()*(O846/1000)^2/4*3600)</f>
        <v/>
      </c>
      <c r="AC846" s="19" t="n">
        <f aca="false">IF(OR(U846="",NOT(ISNUMBER(U846))),"",U846*$D$3^2/(2*$H$3))</f>
        <v>0</v>
      </c>
      <c r="AD846" s="20" t="n">
        <f aca="false">IF(OR(U846="",NOT(ISNUMBER(U846))),"",U846*$D$3^2/2*$F$3)</f>
        <v>0</v>
      </c>
      <c r="AE846" s="19" t="str">
        <f aca="false">IF(OR(V846="",NOT(ISNUMBER(V846))),"",V846*$D$3^2/(2*$H$3))</f>
        <v/>
      </c>
      <c r="AF846" s="20" t="str">
        <f aca="false">IF(OR(V846="",NOT(ISNUMBER(V846))),"",V846*$D$3^2/2*$F$3)</f>
        <v/>
      </c>
      <c r="AG846" s="19" t="str">
        <f aca="false">IF(OR(W846="",NOT(ISNUMBER(W846))),"",W846*$D$3^2/(2*$H$3))</f>
        <v/>
      </c>
      <c r="AH846" s="20" t="str">
        <f aca="false">IF(OR(W846="",NOT(ISNUMBER(W846))),"",W846*$D$3^2/2*$F$3)</f>
        <v/>
      </c>
    </row>
    <row r="847" customFormat="false" ht="15" hidden="false" customHeight="false" outlineLevel="0" collapsed="false">
      <c r="A847" s="10" t="s">
        <v>1842</v>
      </c>
      <c r="B847" s="25" t="s">
        <v>1750</v>
      </c>
      <c r="C847" s="6" t="s">
        <v>925</v>
      </c>
      <c r="D847" s="6" t="s">
        <v>1843</v>
      </c>
      <c r="E847" s="6" t="s">
        <v>1816</v>
      </c>
      <c r="F847" s="6" t="s">
        <v>1637</v>
      </c>
      <c r="G847" s="6" t="n">
        <v>315</v>
      </c>
      <c r="H847" s="6"/>
      <c r="I847" s="6" t="s">
        <v>1792</v>
      </c>
      <c r="J847" s="6" t="s">
        <v>1707</v>
      </c>
      <c r="K847" s="6" t="s">
        <v>1817</v>
      </c>
      <c r="L847" s="6"/>
      <c r="M847" s="6"/>
      <c r="N847" s="12"/>
      <c r="O847" s="12"/>
      <c r="P847" s="12"/>
      <c r="Q847" s="12"/>
      <c r="R847" s="14"/>
      <c r="S847" s="6"/>
      <c r="T847" s="6"/>
      <c r="U847" s="14" t="n">
        <v>0</v>
      </c>
      <c r="V847" s="14"/>
      <c r="W847" s="14"/>
      <c r="X847" s="10" t="s">
        <v>929</v>
      </c>
      <c r="Y847" s="16"/>
      <c r="Z847" s="17" t="s">
        <v>48</v>
      </c>
      <c r="AA847" s="6" t="s">
        <v>1755</v>
      </c>
      <c r="AB847" s="18" t="str">
        <f aca="false">IF(O847="","",$D$3*PI()*(O847/1000)^2/4*3600)</f>
        <v/>
      </c>
      <c r="AC847" s="19" t="n">
        <f aca="false">IF(OR(U847="",NOT(ISNUMBER(U847))),"",U847*$D$3^2/(2*$H$3))</f>
        <v>0</v>
      </c>
      <c r="AD847" s="20" t="n">
        <f aca="false">IF(OR(U847="",NOT(ISNUMBER(U847))),"",U847*$D$3^2/2*$F$3)</f>
        <v>0</v>
      </c>
      <c r="AE847" s="19" t="str">
        <f aca="false">IF(OR(V847="",NOT(ISNUMBER(V847))),"",V847*$D$3^2/(2*$H$3))</f>
        <v/>
      </c>
      <c r="AF847" s="20" t="str">
        <f aca="false">IF(OR(V847="",NOT(ISNUMBER(V847))),"",V847*$D$3^2/2*$F$3)</f>
        <v/>
      </c>
      <c r="AG847" s="19" t="str">
        <f aca="false">IF(OR(W847="",NOT(ISNUMBER(W847))),"",W847*$D$3^2/(2*$H$3))</f>
        <v/>
      </c>
      <c r="AH847" s="20" t="str">
        <f aca="false">IF(OR(W847="",NOT(ISNUMBER(W847))),"",W847*$D$3^2/2*$F$3)</f>
        <v/>
      </c>
    </row>
    <row r="848" customFormat="false" ht="15" hidden="false" customHeight="false" outlineLevel="0" collapsed="false">
      <c r="A848" s="10" t="s">
        <v>1844</v>
      </c>
      <c r="B848" s="25" t="s">
        <v>1750</v>
      </c>
      <c r="C848" s="6" t="s">
        <v>925</v>
      </c>
      <c r="D848" s="6" t="s">
        <v>1845</v>
      </c>
      <c r="E848" s="6" t="s">
        <v>1846</v>
      </c>
      <c r="F848" s="6" t="s">
        <v>1847</v>
      </c>
      <c r="G848" s="6"/>
      <c r="H848" s="6"/>
      <c r="I848" s="6" t="s">
        <v>1753</v>
      </c>
      <c r="J848" s="6"/>
      <c r="K848" s="6" t="s">
        <v>1848</v>
      </c>
      <c r="L848" s="6"/>
      <c r="M848" s="6"/>
      <c r="N848" s="12"/>
      <c r="O848" s="12"/>
      <c r="P848" s="12"/>
      <c r="Q848" s="12"/>
      <c r="R848" s="14"/>
      <c r="S848" s="6"/>
      <c r="T848" s="6"/>
      <c r="U848" s="14" t="n">
        <v>0</v>
      </c>
      <c r="V848" s="14"/>
      <c r="W848" s="14"/>
      <c r="X848" s="10" t="s">
        <v>929</v>
      </c>
      <c r="Y848" s="16"/>
      <c r="Z848" s="17" t="s">
        <v>48</v>
      </c>
      <c r="AA848" s="6"/>
      <c r="AB848" s="18" t="str">
        <f aca="false">IF(O848="","",$D$3*PI()*(O848/1000)^2/4*3600)</f>
        <v/>
      </c>
      <c r="AC848" s="19" t="n">
        <f aca="false">IF(OR(U848="",NOT(ISNUMBER(U848))),"",U848*$D$3^2/(2*$H$3))</f>
        <v>0</v>
      </c>
      <c r="AD848" s="20" t="n">
        <f aca="false">IF(OR(U848="",NOT(ISNUMBER(U848))),"",U848*$D$3^2/2*$F$3)</f>
        <v>0</v>
      </c>
      <c r="AE848" s="19" t="str">
        <f aca="false">IF(OR(V848="",NOT(ISNUMBER(V848))),"",V848*$D$3^2/(2*$H$3))</f>
        <v/>
      </c>
      <c r="AF848" s="20" t="str">
        <f aca="false">IF(OR(V848="",NOT(ISNUMBER(V848))),"",V848*$D$3^2/2*$F$3)</f>
        <v/>
      </c>
      <c r="AG848" s="19" t="str">
        <f aca="false">IF(OR(W848="",NOT(ISNUMBER(W848))),"",W848*$D$3^2/(2*$H$3))</f>
        <v/>
      </c>
      <c r="AH848" s="20" t="str">
        <f aca="false">IF(OR(W848="",NOT(ISNUMBER(W848))),"",W848*$D$3^2/2*$F$3)</f>
        <v/>
      </c>
    </row>
    <row r="849" customFormat="false" ht="15" hidden="false" customHeight="false" outlineLevel="0" collapsed="false">
      <c r="A849" s="10" t="s">
        <v>1849</v>
      </c>
      <c r="B849" s="25" t="s">
        <v>1750</v>
      </c>
      <c r="C849" s="6" t="s">
        <v>925</v>
      </c>
      <c r="D849" s="6" t="s">
        <v>1850</v>
      </c>
      <c r="E849" s="6" t="s">
        <v>1846</v>
      </c>
      <c r="F849" s="6" t="s">
        <v>1847</v>
      </c>
      <c r="G849" s="6"/>
      <c r="H849" s="6"/>
      <c r="I849" s="6" t="s">
        <v>1758</v>
      </c>
      <c r="J849" s="6"/>
      <c r="K849" s="6" t="s">
        <v>1848</v>
      </c>
      <c r="L849" s="6"/>
      <c r="M849" s="6"/>
      <c r="N849" s="12"/>
      <c r="O849" s="12"/>
      <c r="P849" s="12"/>
      <c r="Q849" s="12"/>
      <c r="R849" s="14"/>
      <c r="S849" s="6"/>
      <c r="T849" s="6"/>
      <c r="U849" s="14" t="n">
        <v>0</v>
      </c>
      <c r="V849" s="14"/>
      <c r="W849" s="14"/>
      <c r="X849" s="10" t="s">
        <v>929</v>
      </c>
      <c r="Y849" s="16"/>
      <c r="Z849" s="17" t="s">
        <v>48</v>
      </c>
      <c r="AA849" s="6"/>
      <c r="AB849" s="18" t="str">
        <f aca="false">IF(O849="","",$D$3*PI()*(O849/1000)^2/4*3600)</f>
        <v/>
      </c>
      <c r="AC849" s="19" t="n">
        <f aca="false">IF(OR(U849="",NOT(ISNUMBER(U849))),"",U849*$D$3^2/(2*$H$3))</f>
        <v>0</v>
      </c>
      <c r="AD849" s="20" t="n">
        <f aca="false">IF(OR(U849="",NOT(ISNUMBER(U849))),"",U849*$D$3^2/2*$F$3)</f>
        <v>0</v>
      </c>
      <c r="AE849" s="19" t="str">
        <f aca="false">IF(OR(V849="",NOT(ISNUMBER(V849))),"",V849*$D$3^2/(2*$H$3))</f>
        <v/>
      </c>
      <c r="AF849" s="20" t="str">
        <f aca="false">IF(OR(V849="",NOT(ISNUMBER(V849))),"",V849*$D$3^2/2*$F$3)</f>
        <v/>
      </c>
      <c r="AG849" s="19" t="str">
        <f aca="false">IF(OR(W849="",NOT(ISNUMBER(W849))),"",W849*$D$3^2/(2*$H$3))</f>
        <v/>
      </c>
      <c r="AH849" s="20" t="str">
        <f aca="false">IF(OR(W849="",NOT(ISNUMBER(W849))),"",W849*$D$3^2/2*$F$3)</f>
        <v/>
      </c>
    </row>
    <row r="850" customFormat="false" ht="15" hidden="false" customHeight="false" outlineLevel="0" collapsed="false">
      <c r="A850" s="10" t="s">
        <v>1851</v>
      </c>
      <c r="B850" s="25" t="s">
        <v>1750</v>
      </c>
      <c r="C850" s="6" t="s">
        <v>925</v>
      </c>
      <c r="D850" s="6" t="s">
        <v>1852</v>
      </c>
      <c r="E850" s="6" t="s">
        <v>1846</v>
      </c>
      <c r="F850" s="6" t="s">
        <v>1847</v>
      </c>
      <c r="G850" s="6"/>
      <c r="H850" s="6"/>
      <c r="I850" s="6" t="s">
        <v>1761</v>
      </c>
      <c r="J850" s="6"/>
      <c r="K850" s="6" t="s">
        <v>1848</v>
      </c>
      <c r="L850" s="6"/>
      <c r="M850" s="6"/>
      <c r="N850" s="12"/>
      <c r="O850" s="12"/>
      <c r="P850" s="12"/>
      <c r="Q850" s="12"/>
      <c r="R850" s="14"/>
      <c r="S850" s="6"/>
      <c r="T850" s="6"/>
      <c r="U850" s="14" t="n">
        <v>0</v>
      </c>
      <c r="V850" s="14"/>
      <c r="W850" s="14"/>
      <c r="X850" s="10" t="s">
        <v>929</v>
      </c>
      <c r="Y850" s="16"/>
      <c r="Z850" s="17" t="s">
        <v>48</v>
      </c>
      <c r="AA850" s="6"/>
      <c r="AB850" s="18" t="str">
        <f aca="false">IF(O850="","",$D$3*PI()*(O850/1000)^2/4*3600)</f>
        <v/>
      </c>
      <c r="AC850" s="19" t="n">
        <f aca="false">IF(OR(U850="",NOT(ISNUMBER(U850))),"",U850*$D$3^2/(2*$H$3))</f>
        <v>0</v>
      </c>
      <c r="AD850" s="20" t="n">
        <f aca="false">IF(OR(U850="",NOT(ISNUMBER(U850))),"",U850*$D$3^2/2*$F$3)</f>
        <v>0</v>
      </c>
      <c r="AE850" s="19" t="str">
        <f aca="false">IF(OR(V850="",NOT(ISNUMBER(V850))),"",V850*$D$3^2/(2*$H$3))</f>
        <v/>
      </c>
      <c r="AF850" s="20" t="str">
        <f aca="false">IF(OR(V850="",NOT(ISNUMBER(V850))),"",V850*$D$3^2/2*$F$3)</f>
        <v/>
      </c>
      <c r="AG850" s="19" t="str">
        <f aca="false">IF(OR(W850="",NOT(ISNUMBER(W850))),"",W850*$D$3^2/(2*$H$3))</f>
        <v/>
      </c>
      <c r="AH850" s="20" t="str">
        <f aca="false">IF(OR(W850="",NOT(ISNUMBER(W850))),"",W850*$D$3^2/2*$F$3)</f>
        <v/>
      </c>
    </row>
    <row r="851" customFormat="false" ht="15" hidden="false" customHeight="false" outlineLevel="0" collapsed="false">
      <c r="A851" s="10" t="s">
        <v>1853</v>
      </c>
      <c r="B851" s="25" t="s">
        <v>1750</v>
      </c>
      <c r="C851" s="6" t="s">
        <v>925</v>
      </c>
      <c r="D851" s="6" t="s">
        <v>1854</v>
      </c>
      <c r="E851" s="6" t="s">
        <v>1846</v>
      </c>
      <c r="F851" s="6" t="s">
        <v>1847</v>
      </c>
      <c r="G851" s="6"/>
      <c r="H851" s="6"/>
      <c r="I851" s="6" t="s">
        <v>1764</v>
      </c>
      <c r="J851" s="6"/>
      <c r="K851" s="6" t="s">
        <v>1848</v>
      </c>
      <c r="L851" s="6"/>
      <c r="M851" s="6"/>
      <c r="N851" s="12"/>
      <c r="O851" s="12"/>
      <c r="P851" s="12"/>
      <c r="Q851" s="12"/>
      <c r="R851" s="14"/>
      <c r="S851" s="6"/>
      <c r="T851" s="6"/>
      <c r="U851" s="14" t="n">
        <v>0</v>
      </c>
      <c r="V851" s="14"/>
      <c r="W851" s="14"/>
      <c r="X851" s="10" t="s">
        <v>929</v>
      </c>
      <c r="Y851" s="16"/>
      <c r="Z851" s="17" t="s">
        <v>48</v>
      </c>
      <c r="AA851" s="6"/>
      <c r="AB851" s="18" t="str">
        <f aca="false">IF(O851="","",$D$3*PI()*(O851/1000)^2/4*3600)</f>
        <v/>
      </c>
      <c r="AC851" s="19" t="n">
        <f aca="false">IF(OR(U851="",NOT(ISNUMBER(U851))),"",U851*$D$3^2/(2*$H$3))</f>
        <v>0</v>
      </c>
      <c r="AD851" s="20" t="n">
        <f aca="false">IF(OR(U851="",NOT(ISNUMBER(U851))),"",U851*$D$3^2/2*$F$3)</f>
        <v>0</v>
      </c>
      <c r="AE851" s="19" t="str">
        <f aca="false">IF(OR(V851="",NOT(ISNUMBER(V851))),"",V851*$D$3^2/(2*$H$3))</f>
        <v/>
      </c>
      <c r="AF851" s="20" t="str">
        <f aca="false">IF(OR(V851="",NOT(ISNUMBER(V851))),"",V851*$D$3^2/2*$F$3)</f>
        <v/>
      </c>
      <c r="AG851" s="19" t="str">
        <f aca="false">IF(OR(W851="",NOT(ISNUMBER(W851))),"",W851*$D$3^2/(2*$H$3))</f>
        <v/>
      </c>
      <c r="AH851" s="20" t="str">
        <f aca="false">IF(OR(W851="",NOT(ISNUMBER(W851))),"",W851*$D$3^2/2*$F$3)</f>
        <v/>
      </c>
    </row>
    <row r="852" customFormat="false" ht="15" hidden="false" customHeight="false" outlineLevel="0" collapsed="false">
      <c r="A852" s="10" t="s">
        <v>1855</v>
      </c>
      <c r="B852" s="25" t="s">
        <v>1750</v>
      </c>
      <c r="C852" s="6" t="s">
        <v>925</v>
      </c>
      <c r="D852" s="6" t="s">
        <v>1856</v>
      </c>
      <c r="E852" s="6" t="s">
        <v>1846</v>
      </c>
      <c r="F852" s="6" t="s">
        <v>1847</v>
      </c>
      <c r="G852" s="6"/>
      <c r="H852" s="6"/>
      <c r="I852" s="6" t="s">
        <v>1767</v>
      </c>
      <c r="J852" s="6"/>
      <c r="K852" s="6" t="s">
        <v>1848</v>
      </c>
      <c r="L852" s="6"/>
      <c r="M852" s="6"/>
      <c r="N852" s="12"/>
      <c r="O852" s="12"/>
      <c r="P852" s="12"/>
      <c r="Q852" s="12"/>
      <c r="R852" s="14"/>
      <c r="S852" s="6"/>
      <c r="T852" s="6"/>
      <c r="U852" s="14" t="n">
        <v>0</v>
      </c>
      <c r="V852" s="14"/>
      <c r="W852" s="14"/>
      <c r="X852" s="10" t="s">
        <v>929</v>
      </c>
      <c r="Y852" s="16"/>
      <c r="Z852" s="17" t="s">
        <v>48</v>
      </c>
      <c r="AA852" s="6"/>
      <c r="AB852" s="18" t="str">
        <f aca="false">IF(O852="","",$D$3*PI()*(O852/1000)^2/4*3600)</f>
        <v/>
      </c>
      <c r="AC852" s="19" t="n">
        <f aca="false">IF(OR(U852="",NOT(ISNUMBER(U852))),"",U852*$D$3^2/(2*$H$3))</f>
        <v>0</v>
      </c>
      <c r="AD852" s="20" t="n">
        <f aca="false">IF(OR(U852="",NOT(ISNUMBER(U852))),"",U852*$D$3^2/2*$F$3)</f>
        <v>0</v>
      </c>
      <c r="AE852" s="19" t="str">
        <f aca="false">IF(OR(V852="",NOT(ISNUMBER(V852))),"",V852*$D$3^2/(2*$H$3))</f>
        <v/>
      </c>
      <c r="AF852" s="20" t="str">
        <f aca="false">IF(OR(V852="",NOT(ISNUMBER(V852))),"",V852*$D$3^2/2*$F$3)</f>
        <v/>
      </c>
      <c r="AG852" s="19" t="str">
        <f aca="false">IF(OR(W852="",NOT(ISNUMBER(W852))),"",W852*$D$3^2/(2*$H$3))</f>
        <v/>
      </c>
      <c r="AH852" s="20" t="str">
        <f aca="false">IF(OR(W852="",NOT(ISNUMBER(W852))),"",W852*$D$3^2/2*$F$3)</f>
        <v/>
      </c>
    </row>
    <row r="853" customFormat="false" ht="15" hidden="false" customHeight="false" outlineLevel="0" collapsed="false">
      <c r="A853" s="10" t="s">
        <v>1857</v>
      </c>
      <c r="B853" s="25" t="s">
        <v>1750</v>
      </c>
      <c r="C853" s="6" t="s">
        <v>925</v>
      </c>
      <c r="D853" s="6" t="s">
        <v>1858</v>
      </c>
      <c r="E853" s="6" t="s">
        <v>1846</v>
      </c>
      <c r="F853" s="6" t="s">
        <v>1847</v>
      </c>
      <c r="G853" s="6"/>
      <c r="H853" s="6"/>
      <c r="I853" s="6" t="s">
        <v>1772</v>
      </c>
      <c r="J853" s="6"/>
      <c r="K853" s="6" t="s">
        <v>1848</v>
      </c>
      <c r="L853" s="6"/>
      <c r="M853" s="6"/>
      <c r="N853" s="12"/>
      <c r="O853" s="12"/>
      <c r="P853" s="12"/>
      <c r="Q853" s="12"/>
      <c r="R853" s="14"/>
      <c r="S853" s="6"/>
      <c r="T853" s="6"/>
      <c r="U853" s="14" t="n">
        <v>0</v>
      </c>
      <c r="V853" s="14"/>
      <c r="W853" s="14"/>
      <c r="X853" s="10" t="s">
        <v>929</v>
      </c>
      <c r="Y853" s="16"/>
      <c r="Z853" s="17" t="s">
        <v>48</v>
      </c>
      <c r="AA853" s="6"/>
      <c r="AB853" s="18" t="str">
        <f aca="false">IF(O853="","",$D$3*PI()*(O853/1000)^2/4*3600)</f>
        <v/>
      </c>
      <c r="AC853" s="19" t="n">
        <f aca="false">IF(OR(U853="",NOT(ISNUMBER(U853))),"",U853*$D$3^2/(2*$H$3))</f>
        <v>0</v>
      </c>
      <c r="AD853" s="20" t="n">
        <f aca="false">IF(OR(U853="",NOT(ISNUMBER(U853))),"",U853*$D$3^2/2*$F$3)</f>
        <v>0</v>
      </c>
      <c r="AE853" s="19" t="str">
        <f aca="false">IF(OR(V853="",NOT(ISNUMBER(V853))),"",V853*$D$3^2/(2*$H$3))</f>
        <v/>
      </c>
      <c r="AF853" s="20" t="str">
        <f aca="false">IF(OR(V853="",NOT(ISNUMBER(V853))),"",V853*$D$3^2/2*$F$3)</f>
        <v/>
      </c>
      <c r="AG853" s="19" t="str">
        <f aca="false">IF(OR(W853="",NOT(ISNUMBER(W853))),"",W853*$D$3^2/(2*$H$3))</f>
        <v/>
      </c>
      <c r="AH853" s="20" t="str">
        <f aca="false">IF(OR(W853="",NOT(ISNUMBER(W853))),"",W853*$D$3^2/2*$F$3)</f>
        <v/>
      </c>
    </row>
    <row r="854" customFormat="false" ht="15" hidden="false" customHeight="false" outlineLevel="0" collapsed="false">
      <c r="A854" s="10" t="s">
        <v>1859</v>
      </c>
      <c r="B854" s="25" t="s">
        <v>1750</v>
      </c>
      <c r="C854" s="6" t="s">
        <v>925</v>
      </c>
      <c r="D854" s="6" t="s">
        <v>1860</v>
      </c>
      <c r="E854" s="6" t="s">
        <v>1846</v>
      </c>
      <c r="F854" s="6" t="s">
        <v>1847</v>
      </c>
      <c r="G854" s="6"/>
      <c r="H854" s="6"/>
      <c r="I854" s="6" t="s">
        <v>1777</v>
      </c>
      <c r="J854" s="6"/>
      <c r="K854" s="6" t="s">
        <v>1848</v>
      </c>
      <c r="L854" s="6"/>
      <c r="M854" s="6"/>
      <c r="N854" s="12"/>
      <c r="O854" s="12"/>
      <c r="P854" s="12"/>
      <c r="Q854" s="12"/>
      <c r="R854" s="14"/>
      <c r="S854" s="6"/>
      <c r="T854" s="6"/>
      <c r="U854" s="14" t="n">
        <v>0</v>
      </c>
      <c r="V854" s="14"/>
      <c r="W854" s="14"/>
      <c r="X854" s="10" t="s">
        <v>929</v>
      </c>
      <c r="Y854" s="16"/>
      <c r="Z854" s="17" t="s">
        <v>48</v>
      </c>
      <c r="AA854" s="6"/>
      <c r="AB854" s="18" t="str">
        <f aca="false">IF(O854="","",$D$3*PI()*(O854/1000)^2/4*3600)</f>
        <v/>
      </c>
      <c r="AC854" s="19" t="n">
        <f aca="false">IF(OR(U854="",NOT(ISNUMBER(U854))),"",U854*$D$3^2/(2*$H$3))</f>
        <v>0</v>
      </c>
      <c r="AD854" s="20" t="n">
        <f aca="false">IF(OR(U854="",NOT(ISNUMBER(U854))),"",U854*$D$3^2/2*$F$3)</f>
        <v>0</v>
      </c>
      <c r="AE854" s="19" t="str">
        <f aca="false">IF(OR(V854="",NOT(ISNUMBER(V854))),"",V854*$D$3^2/(2*$H$3))</f>
        <v/>
      </c>
      <c r="AF854" s="20" t="str">
        <f aca="false">IF(OR(V854="",NOT(ISNUMBER(V854))),"",V854*$D$3^2/2*$F$3)</f>
        <v/>
      </c>
      <c r="AG854" s="19" t="str">
        <f aca="false">IF(OR(W854="",NOT(ISNUMBER(W854))),"",W854*$D$3^2/(2*$H$3))</f>
        <v/>
      </c>
      <c r="AH854" s="20" t="str">
        <f aca="false">IF(OR(W854="",NOT(ISNUMBER(W854))),"",W854*$D$3^2/2*$F$3)</f>
        <v/>
      </c>
    </row>
    <row r="855" customFormat="false" ht="15" hidden="false" customHeight="false" outlineLevel="0" collapsed="false">
      <c r="A855" s="10" t="s">
        <v>1861</v>
      </c>
      <c r="B855" s="25" t="s">
        <v>1750</v>
      </c>
      <c r="C855" s="6" t="s">
        <v>925</v>
      </c>
      <c r="D855" s="6" t="s">
        <v>1862</v>
      </c>
      <c r="E855" s="6" t="s">
        <v>1846</v>
      </c>
      <c r="F855" s="6" t="s">
        <v>1847</v>
      </c>
      <c r="G855" s="6"/>
      <c r="H855" s="6"/>
      <c r="I855" s="6" t="s">
        <v>1782</v>
      </c>
      <c r="J855" s="6"/>
      <c r="K855" s="6" t="s">
        <v>1848</v>
      </c>
      <c r="L855" s="6"/>
      <c r="M855" s="6"/>
      <c r="N855" s="12"/>
      <c r="O855" s="12"/>
      <c r="P855" s="12"/>
      <c r="Q855" s="12"/>
      <c r="R855" s="14"/>
      <c r="S855" s="6"/>
      <c r="T855" s="6"/>
      <c r="U855" s="14" t="n">
        <v>0</v>
      </c>
      <c r="V855" s="14"/>
      <c r="W855" s="14"/>
      <c r="X855" s="10" t="s">
        <v>929</v>
      </c>
      <c r="Y855" s="16"/>
      <c r="Z855" s="17" t="s">
        <v>48</v>
      </c>
      <c r="AA855" s="6"/>
      <c r="AB855" s="18" t="str">
        <f aca="false">IF(O855="","",$D$3*PI()*(O855/1000)^2/4*3600)</f>
        <v/>
      </c>
      <c r="AC855" s="19" t="n">
        <f aca="false">IF(OR(U855="",NOT(ISNUMBER(U855))),"",U855*$D$3^2/(2*$H$3))</f>
        <v>0</v>
      </c>
      <c r="AD855" s="20" t="n">
        <f aca="false">IF(OR(U855="",NOT(ISNUMBER(U855))),"",U855*$D$3^2/2*$F$3)</f>
        <v>0</v>
      </c>
      <c r="AE855" s="19" t="str">
        <f aca="false">IF(OR(V855="",NOT(ISNUMBER(V855))),"",V855*$D$3^2/(2*$H$3))</f>
        <v/>
      </c>
      <c r="AF855" s="20" t="str">
        <f aca="false">IF(OR(V855="",NOT(ISNUMBER(V855))),"",V855*$D$3^2/2*$F$3)</f>
        <v/>
      </c>
      <c r="AG855" s="19" t="str">
        <f aca="false">IF(OR(W855="",NOT(ISNUMBER(W855))),"",W855*$D$3^2/(2*$H$3))</f>
        <v/>
      </c>
      <c r="AH855" s="20" t="str">
        <f aca="false">IF(OR(W855="",NOT(ISNUMBER(W855))),"",W855*$D$3^2/2*$F$3)</f>
        <v/>
      </c>
    </row>
    <row r="856" customFormat="false" ht="15" hidden="false" customHeight="false" outlineLevel="0" collapsed="false">
      <c r="A856" s="10" t="s">
        <v>1863</v>
      </c>
      <c r="B856" s="25" t="s">
        <v>1750</v>
      </c>
      <c r="C856" s="6" t="s">
        <v>925</v>
      </c>
      <c r="D856" s="6" t="s">
        <v>1864</v>
      </c>
      <c r="E856" s="6" t="s">
        <v>1846</v>
      </c>
      <c r="F856" s="6" t="s">
        <v>1847</v>
      </c>
      <c r="G856" s="6"/>
      <c r="H856" s="6"/>
      <c r="I856" s="6" t="s">
        <v>1787</v>
      </c>
      <c r="J856" s="6"/>
      <c r="K856" s="6" t="s">
        <v>1848</v>
      </c>
      <c r="L856" s="6"/>
      <c r="M856" s="6"/>
      <c r="N856" s="12"/>
      <c r="O856" s="12"/>
      <c r="P856" s="12"/>
      <c r="Q856" s="12"/>
      <c r="R856" s="14"/>
      <c r="S856" s="6"/>
      <c r="T856" s="6"/>
      <c r="U856" s="14" t="n">
        <v>0</v>
      </c>
      <c r="V856" s="14"/>
      <c r="W856" s="14"/>
      <c r="X856" s="10" t="s">
        <v>929</v>
      </c>
      <c r="Y856" s="16"/>
      <c r="Z856" s="17" t="s">
        <v>48</v>
      </c>
      <c r="AA856" s="6"/>
      <c r="AB856" s="18" t="str">
        <f aca="false">IF(O856="","",$D$3*PI()*(O856/1000)^2/4*3600)</f>
        <v/>
      </c>
      <c r="AC856" s="19" t="n">
        <f aca="false">IF(OR(U856="",NOT(ISNUMBER(U856))),"",U856*$D$3^2/(2*$H$3))</f>
        <v>0</v>
      </c>
      <c r="AD856" s="20" t="n">
        <f aca="false">IF(OR(U856="",NOT(ISNUMBER(U856))),"",U856*$D$3^2/2*$F$3)</f>
        <v>0</v>
      </c>
      <c r="AE856" s="19" t="str">
        <f aca="false">IF(OR(V856="",NOT(ISNUMBER(V856))),"",V856*$D$3^2/(2*$H$3))</f>
        <v/>
      </c>
      <c r="AF856" s="20" t="str">
        <f aca="false">IF(OR(V856="",NOT(ISNUMBER(V856))),"",V856*$D$3^2/2*$F$3)</f>
        <v/>
      </c>
      <c r="AG856" s="19" t="str">
        <f aca="false">IF(OR(W856="",NOT(ISNUMBER(W856))),"",W856*$D$3^2/(2*$H$3))</f>
        <v/>
      </c>
      <c r="AH856" s="20" t="str">
        <f aca="false">IF(OR(W856="",NOT(ISNUMBER(W856))),"",W856*$D$3^2/2*$F$3)</f>
        <v/>
      </c>
    </row>
    <row r="857" customFormat="false" ht="15" hidden="false" customHeight="false" outlineLevel="0" collapsed="false">
      <c r="A857" s="10" t="s">
        <v>1865</v>
      </c>
      <c r="B857" s="25" t="s">
        <v>1750</v>
      </c>
      <c r="C857" s="6" t="s">
        <v>925</v>
      </c>
      <c r="D857" s="6" t="s">
        <v>1866</v>
      </c>
      <c r="E857" s="6" t="s">
        <v>1846</v>
      </c>
      <c r="F857" s="6" t="s">
        <v>1847</v>
      </c>
      <c r="G857" s="6"/>
      <c r="H857" s="6"/>
      <c r="I857" s="6" t="s">
        <v>1792</v>
      </c>
      <c r="J857" s="6"/>
      <c r="K857" s="6" t="s">
        <v>1848</v>
      </c>
      <c r="L857" s="6"/>
      <c r="M857" s="6"/>
      <c r="N857" s="12"/>
      <c r="O857" s="12"/>
      <c r="P857" s="12"/>
      <c r="Q857" s="12"/>
      <c r="R857" s="14"/>
      <c r="S857" s="6"/>
      <c r="T857" s="6"/>
      <c r="U857" s="14" t="n">
        <v>0</v>
      </c>
      <c r="V857" s="14"/>
      <c r="W857" s="14"/>
      <c r="X857" s="10" t="s">
        <v>929</v>
      </c>
      <c r="Y857" s="16"/>
      <c r="Z857" s="17" t="s">
        <v>48</v>
      </c>
      <c r="AA857" s="6"/>
      <c r="AB857" s="18" t="str">
        <f aca="false">IF(O857="","",$D$3*PI()*(O857/1000)^2/4*3600)</f>
        <v/>
      </c>
      <c r="AC857" s="19" t="n">
        <f aca="false">IF(OR(U857="",NOT(ISNUMBER(U857))),"",U857*$D$3^2/(2*$H$3))</f>
        <v>0</v>
      </c>
      <c r="AD857" s="20" t="n">
        <f aca="false">IF(OR(U857="",NOT(ISNUMBER(U857))),"",U857*$D$3^2/2*$F$3)</f>
        <v>0</v>
      </c>
      <c r="AE857" s="19" t="str">
        <f aca="false">IF(OR(V857="",NOT(ISNUMBER(V857))),"",V857*$D$3^2/(2*$H$3))</f>
        <v/>
      </c>
      <c r="AF857" s="20" t="str">
        <f aca="false">IF(OR(V857="",NOT(ISNUMBER(V857))),"",V857*$D$3^2/2*$F$3)</f>
        <v/>
      </c>
      <c r="AG857" s="19" t="str">
        <f aca="false">IF(OR(W857="",NOT(ISNUMBER(W857))),"",W857*$D$3^2/(2*$H$3))</f>
        <v/>
      </c>
      <c r="AH857" s="20" t="str">
        <f aca="false">IF(OR(W857="",NOT(ISNUMBER(W857))),"",W857*$D$3^2/2*$F$3)</f>
        <v/>
      </c>
    </row>
    <row r="858" customFormat="false" ht="15" hidden="false" customHeight="false" outlineLevel="0" collapsed="false">
      <c r="A858" s="10" t="s">
        <v>1867</v>
      </c>
      <c r="B858" s="25" t="s">
        <v>1750</v>
      </c>
      <c r="C858" s="6" t="s">
        <v>925</v>
      </c>
      <c r="D858" s="6" t="s">
        <v>1868</v>
      </c>
      <c r="E858" s="6" t="s">
        <v>1846</v>
      </c>
      <c r="F858" s="6" t="s">
        <v>1847</v>
      </c>
      <c r="G858" s="6"/>
      <c r="H858" s="6"/>
      <c r="I858" s="6" t="s">
        <v>1795</v>
      </c>
      <c r="J858" s="6"/>
      <c r="K858" s="6" t="s">
        <v>1848</v>
      </c>
      <c r="L858" s="6"/>
      <c r="M858" s="6"/>
      <c r="N858" s="12"/>
      <c r="O858" s="12"/>
      <c r="P858" s="12"/>
      <c r="Q858" s="12"/>
      <c r="R858" s="14"/>
      <c r="S858" s="6"/>
      <c r="T858" s="6"/>
      <c r="U858" s="14" t="n">
        <v>0</v>
      </c>
      <c r="V858" s="14"/>
      <c r="W858" s="14"/>
      <c r="X858" s="10" t="s">
        <v>929</v>
      </c>
      <c r="Y858" s="16"/>
      <c r="Z858" s="17" t="s">
        <v>48</v>
      </c>
      <c r="AA858" s="6"/>
      <c r="AB858" s="18" t="str">
        <f aca="false">IF(O858="","",$D$3*PI()*(O858/1000)^2/4*3600)</f>
        <v/>
      </c>
      <c r="AC858" s="19" t="n">
        <f aca="false">IF(OR(U858="",NOT(ISNUMBER(U858))),"",U858*$D$3^2/(2*$H$3))</f>
        <v>0</v>
      </c>
      <c r="AD858" s="20" t="n">
        <f aca="false">IF(OR(U858="",NOT(ISNUMBER(U858))),"",U858*$D$3^2/2*$F$3)</f>
        <v>0</v>
      </c>
      <c r="AE858" s="19" t="str">
        <f aca="false">IF(OR(V858="",NOT(ISNUMBER(V858))),"",V858*$D$3^2/(2*$H$3))</f>
        <v/>
      </c>
      <c r="AF858" s="20" t="str">
        <f aca="false">IF(OR(V858="",NOT(ISNUMBER(V858))),"",V858*$D$3^2/2*$F$3)</f>
        <v/>
      </c>
      <c r="AG858" s="19" t="str">
        <f aca="false">IF(OR(W858="",NOT(ISNUMBER(W858))),"",W858*$D$3^2/(2*$H$3))</f>
        <v/>
      </c>
      <c r="AH858" s="20" t="str">
        <f aca="false">IF(OR(W858="",NOT(ISNUMBER(W858))),"",W858*$D$3^2/2*$F$3)</f>
        <v/>
      </c>
    </row>
    <row r="859" customFormat="false" ht="15" hidden="false" customHeight="false" outlineLevel="0" collapsed="false">
      <c r="A859" s="10" t="s">
        <v>1869</v>
      </c>
      <c r="B859" s="25" t="s">
        <v>1750</v>
      </c>
      <c r="C859" s="6" t="s">
        <v>925</v>
      </c>
      <c r="D859" s="6" t="s">
        <v>1870</v>
      </c>
      <c r="E859" s="6" t="s">
        <v>1846</v>
      </c>
      <c r="F859" s="6" t="s">
        <v>1847</v>
      </c>
      <c r="G859" s="6"/>
      <c r="H859" s="6"/>
      <c r="I859" s="6" t="s">
        <v>1798</v>
      </c>
      <c r="J859" s="6"/>
      <c r="K859" s="6" t="s">
        <v>1848</v>
      </c>
      <c r="L859" s="6"/>
      <c r="M859" s="6"/>
      <c r="N859" s="12"/>
      <c r="O859" s="12"/>
      <c r="P859" s="12"/>
      <c r="Q859" s="12"/>
      <c r="R859" s="14"/>
      <c r="S859" s="6"/>
      <c r="T859" s="6"/>
      <c r="U859" s="14" t="n">
        <v>0</v>
      </c>
      <c r="V859" s="14"/>
      <c r="W859" s="14"/>
      <c r="X859" s="10" t="s">
        <v>929</v>
      </c>
      <c r="Y859" s="16"/>
      <c r="Z859" s="17" t="s">
        <v>48</v>
      </c>
      <c r="AA859" s="6"/>
      <c r="AB859" s="18" t="str">
        <f aca="false">IF(O859="","",$D$3*PI()*(O859/1000)^2/4*3600)</f>
        <v/>
      </c>
      <c r="AC859" s="19" t="n">
        <f aca="false">IF(OR(U859="",NOT(ISNUMBER(U859))),"",U859*$D$3^2/(2*$H$3))</f>
        <v>0</v>
      </c>
      <c r="AD859" s="20" t="n">
        <f aca="false">IF(OR(U859="",NOT(ISNUMBER(U859))),"",U859*$D$3^2/2*$F$3)</f>
        <v>0</v>
      </c>
      <c r="AE859" s="19" t="str">
        <f aca="false">IF(OR(V859="",NOT(ISNUMBER(V859))),"",V859*$D$3^2/(2*$H$3))</f>
        <v/>
      </c>
      <c r="AF859" s="20" t="str">
        <f aca="false">IF(OR(V859="",NOT(ISNUMBER(V859))),"",V859*$D$3^2/2*$F$3)</f>
        <v/>
      </c>
      <c r="AG859" s="19" t="str">
        <f aca="false">IF(OR(W859="",NOT(ISNUMBER(W859))),"",W859*$D$3^2/(2*$H$3))</f>
        <v/>
      </c>
      <c r="AH859" s="20" t="str">
        <f aca="false">IF(OR(W859="",NOT(ISNUMBER(W859))),"",W859*$D$3^2/2*$F$3)</f>
        <v/>
      </c>
    </row>
    <row r="860" customFormat="false" ht="15" hidden="false" customHeight="false" outlineLevel="0" collapsed="false">
      <c r="A860" s="10" t="s">
        <v>1871</v>
      </c>
      <c r="B860" s="11" t="s">
        <v>41</v>
      </c>
      <c r="C860" s="6" t="s">
        <v>1872</v>
      </c>
      <c r="D860" s="6" t="s">
        <v>1873</v>
      </c>
      <c r="E860" s="6" t="s">
        <v>44</v>
      </c>
      <c r="F860" s="6" t="s">
        <v>45</v>
      </c>
      <c r="G860" s="6" t="n">
        <v>20</v>
      </c>
      <c r="H860" s="6"/>
      <c r="I860" s="6"/>
      <c r="J860" s="6" t="n">
        <v>16</v>
      </c>
      <c r="K860" s="6" t="s">
        <v>46</v>
      </c>
      <c r="L860" s="6"/>
      <c r="M860" s="6"/>
      <c r="N860" s="12" t="n">
        <v>16</v>
      </c>
      <c r="O860" s="12" t="n">
        <v>16</v>
      </c>
      <c r="P860" s="13" t="n">
        <v>13</v>
      </c>
      <c r="Q860" s="12"/>
      <c r="R860" s="14" t="n">
        <v>0.027</v>
      </c>
      <c r="S860" s="6" t="n">
        <v>0</v>
      </c>
      <c r="T860" s="6"/>
      <c r="U860" s="15" t="n">
        <f aca="false">(S860*R860+0.5*(1-(P860/N860)^2)+(1-(P860/O860)^2)^2)*(O860/P860)^4</f>
        <v>0.654914043625924</v>
      </c>
      <c r="V860" s="14"/>
      <c r="W860" s="14"/>
      <c r="X860" s="10" t="s">
        <v>47</v>
      </c>
      <c r="Y860" s="16" t="n">
        <v>1.95</v>
      </c>
      <c r="Z860" s="17" t="s">
        <v>48</v>
      </c>
      <c r="AA860" s="6" t="s">
        <v>1874</v>
      </c>
      <c r="AB860" s="18" t="n">
        <f aca="false">IF(O860="","",$D$3*PI()*(O860/1000)^2/4*3600)</f>
        <v>1.08573442108063</v>
      </c>
      <c r="AC860" s="19" t="n">
        <f aca="false">IF(OR(U860="",NOT(ISNUMBER(U860))),"",U860*$D$3^2/(2*$H$3))</f>
        <v>0.0751048215167344</v>
      </c>
      <c r="AD860" s="20" t="n">
        <f aca="false">IF(OR(U860="",NOT(ISNUMBER(U860))),"",U860*$D$3^2/2*$F$3)</f>
        <v>736.778299079164</v>
      </c>
      <c r="AE860" s="19" t="str">
        <f aca="false">IF(OR(V860="",NOT(ISNUMBER(V860))),"",V860*$D$3^2/(2*$H$3))</f>
        <v/>
      </c>
      <c r="AF860" s="20" t="str">
        <f aca="false">IF(OR(V860="",NOT(ISNUMBER(V860))),"",V860*$D$3^2/2*$F$3)</f>
        <v/>
      </c>
      <c r="AG860" s="19" t="str">
        <f aca="false">IF(OR(W860="",NOT(ISNUMBER(W860))),"",W860*$D$3^2/(2*$H$3))</f>
        <v/>
      </c>
      <c r="AH860" s="20" t="str">
        <f aca="false">IF(OR(W860="",NOT(ISNUMBER(W860))),"",W860*$D$3^2/2*$F$3)</f>
        <v/>
      </c>
    </row>
    <row r="861" customFormat="false" ht="15" hidden="false" customHeight="false" outlineLevel="0" collapsed="false">
      <c r="A861" s="10" t="s">
        <v>1875</v>
      </c>
      <c r="B861" s="11" t="s">
        <v>41</v>
      </c>
      <c r="C861" s="6" t="s">
        <v>1872</v>
      </c>
      <c r="D861" s="6" t="s">
        <v>1876</v>
      </c>
      <c r="E861" s="6" t="s">
        <v>44</v>
      </c>
      <c r="F861" s="6" t="s">
        <v>45</v>
      </c>
      <c r="G861" s="6" t="n">
        <v>25</v>
      </c>
      <c r="H861" s="6"/>
      <c r="I861" s="6"/>
      <c r="J861" s="6" t="n">
        <v>16</v>
      </c>
      <c r="K861" s="6" t="s">
        <v>46</v>
      </c>
      <c r="L861" s="6"/>
      <c r="M861" s="6"/>
      <c r="N861" s="12" t="n">
        <v>20.4</v>
      </c>
      <c r="O861" s="12" t="n">
        <v>20.4</v>
      </c>
      <c r="P861" s="13" t="n">
        <v>17</v>
      </c>
      <c r="Q861" s="12"/>
      <c r="R861" s="14" t="n">
        <v>0.025</v>
      </c>
      <c r="S861" s="6" t="n">
        <v>0</v>
      </c>
      <c r="T861" s="6"/>
      <c r="U861" s="15" t="n">
        <f aca="false">(S861*R861+0.5*(1-(P861/N861)^2)+(1-(P861/O861)^2)^2)*(O861/P861)^4</f>
        <v>0.5104</v>
      </c>
      <c r="V861" s="14"/>
      <c r="W861" s="14"/>
      <c r="X861" s="10" t="s">
        <v>47</v>
      </c>
      <c r="Y861" s="16" t="n">
        <v>1.95</v>
      </c>
      <c r="Z861" s="17" t="s">
        <v>48</v>
      </c>
      <c r="AA861" s="6" t="s">
        <v>1874</v>
      </c>
      <c r="AB861" s="18" t="n">
        <f aca="false">IF(O861="","",$D$3*PI()*(O861/1000)^2/4*3600)</f>
        <v>1.7649970182692</v>
      </c>
      <c r="AC861" s="19" t="n">
        <f aca="false">IF(OR(U861="",NOT(ISNUMBER(U861))),"",U861*$D$3^2/(2*$H$3))</f>
        <v>0.0585321100917431</v>
      </c>
      <c r="AD861" s="20" t="n">
        <f aca="false">IF(OR(U861="",NOT(ISNUMBER(U861))),"",U861*$D$3^2/2*$F$3)</f>
        <v>574.2</v>
      </c>
      <c r="AE861" s="19" t="str">
        <f aca="false">IF(OR(V861="",NOT(ISNUMBER(V861))),"",V861*$D$3^2/(2*$H$3))</f>
        <v/>
      </c>
      <c r="AF861" s="20" t="str">
        <f aca="false">IF(OR(V861="",NOT(ISNUMBER(V861))),"",V861*$D$3^2/2*$F$3)</f>
        <v/>
      </c>
      <c r="AG861" s="19" t="str">
        <f aca="false">IF(OR(W861="",NOT(ISNUMBER(W861))),"",W861*$D$3^2/(2*$H$3))</f>
        <v/>
      </c>
      <c r="AH861" s="20" t="str">
        <f aca="false">IF(OR(W861="",NOT(ISNUMBER(W861))),"",W861*$D$3^2/2*$F$3)</f>
        <v/>
      </c>
    </row>
    <row r="862" customFormat="false" ht="15" hidden="false" customHeight="false" outlineLevel="0" collapsed="false">
      <c r="A862" s="10" t="s">
        <v>1877</v>
      </c>
      <c r="B862" s="11" t="s">
        <v>41</v>
      </c>
      <c r="C862" s="6" t="s">
        <v>1872</v>
      </c>
      <c r="D862" s="6" t="s">
        <v>1878</v>
      </c>
      <c r="E862" s="6" t="s">
        <v>44</v>
      </c>
      <c r="F862" s="6" t="s">
        <v>45</v>
      </c>
      <c r="G862" s="6" t="n">
        <v>32</v>
      </c>
      <c r="H862" s="6"/>
      <c r="I862" s="6"/>
      <c r="J862" s="6" t="n">
        <v>16</v>
      </c>
      <c r="K862" s="6" t="s">
        <v>46</v>
      </c>
      <c r="L862" s="6"/>
      <c r="M862" s="6"/>
      <c r="N862" s="12" t="n">
        <v>26.2</v>
      </c>
      <c r="O862" s="12" t="n">
        <v>26.2</v>
      </c>
      <c r="P862" s="13" t="n">
        <v>22</v>
      </c>
      <c r="Q862" s="12"/>
      <c r="R862" s="14" t="n">
        <v>0.023</v>
      </c>
      <c r="S862" s="6" t="n">
        <v>0</v>
      </c>
      <c r="T862" s="6"/>
      <c r="U862" s="15" t="n">
        <f aca="false">(S862*R862+0.5*(1-(P862/N862)^2)+(1-(P862/O862)^2)^2)*(O862/P862)^4</f>
        <v>0.471549972679462</v>
      </c>
      <c r="V862" s="14"/>
      <c r="W862" s="14"/>
      <c r="X862" s="10" t="s">
        <v>47</v>
      </c>
      <c r="Y862" s="16" t="n">
        <v>1.95</v>
      </c>
      <c r="Z862" s="17" t="s">
        <v>48</v>
      </c>
      <c r="AA862" s="6" t="s">
        <v>1874</v>
      </c>
      <c r="AB862" s="18" t="n">
        <f aca="false">IF(O862="","",$D$3*PI()*(O862/1000)^2/4*3600)</f>
        <v>2.91129506252574</v>
      </c>
      <c r="AC862" s="19" t="n">
        <f aca="false">IF(OR(U862="",NOT(ISNUMBER(U862))),"",U862*$D$3^2/(2*$H$3))</f>
        <v>0.054076831729296</v>
      </c>
      <c r="AD862" s="20" t="n">
        <f aca="false">IF(OR(U862="",NOT(ISNUMBER(U862))),"",U862*$D$3^2/2*$F$3)</f>
        <v>530.493719264394</v>
      </c>
      <c r="AE862" s="19" t="str">
        <f aca="false">IF(OR(V862="",NOT(ISNUMBER(V862))),"",V862*$D$3^2/(2*$H$3))</f>
        <v/>
      </c>
      <c r="AF862" s="20" t="str">
        <f aca="false">IF(OR(V862="",NOT(ISNUMBER(V862))),"",V862*$D$3^2/2*$F$3)</f>
        <v/>
      </c>
      <c r="AG862" s="19" t="str">
        <f aca="false">IF(OR(W862="",NOT(ISNUMBER(W862))),"",W862*$D$3^2/(2*$H$3))</f>
        <v/>
      </c>
      <c r="AH862" s="20" t="str">
        <f aca="false">IF(OR(W862="",NOT(ISNUMBER(W862))),"",W862*$D$3^2/2*$F$3)</f>
        <v/>
      </c>
    </row>
    <row r="863" customFormat="false" ht="15" hidden="false" customHeight="false" outlineLevel="0" collapsed="false">
      <c r="A863" s="10" t="s">
        <v>1879</v>
      </c>
      <c r="B863" s="11" t="s">
        <v>41</v>
      </c>
      <c r="C863" s="6" t="s">
        <v>1872</v>
      </c>
      <c r="D863" s="6" t="s">
        <v>1880</v>
      </c>
      <c r="E863" s="6" t="s">
        <v>44</v>
      </c>
      <c r="F863" s="6" t="s">
        <v>45</v>
      </c>
      <c r="G863" s="6" t="n">
        <v>40</v>
      </c>
      <c r="H863" s="6"/>
      <c r="I863" s="6"/>
      <c r="J863" s="6" t="n">
        <v>16</v>
      </c>
      <c r="K863" s="6" t="s">
        <v>46</v>
      </c>
      <c r="L863" s="6"/>
      <c r="M863" s="6"/>
      <c r="N863" s="12" t="n">
        <v>32.6</v>
      </c>
      <c r="O863" s="12" t="n">
        <v>32.6</v>
      </c>
      <c r="P863" s="13" t="n">
        <v>28</v>
      </c>
      <c r="Q863" s="12"/>
      <c r="R863" s="14" t="n">
        <v>0.022</v>
      </c>
      <c r="S863" s="6" t="n">
        <v>0</v>
      </c>
      <c r="T863" s="6"/>
      <c r="U863" s="15" t="n">
        <f aca="false">(S863*R863+0.5*(1-(P863/N863)^2)+(1-(P863/O863)^2)^2)*(O863/P863)^4</f>
        <v>0.367416288785923</v>
      </c>
      <c r="V863" s="14"/>
      <c r="W863" s="14"/>
      <c r="X863" s="10" t="s">
        <v>47</v>
      </c>
      <c r="Y863" s="16" t="n">
        <v>1.95</v>
      </c>
      <c r="Z863" s="17" t="s">
        <v>48</v>
      </c>
      <c r="AA863" s="6" t="s">
        <v>1874</v>
      </c>
      <c r="AB863" s="18" t="n">
        <f aca="false">IF(O863="","",$D$3*PI()*(O863/1000)^2/4*3600)</f>
        <v>4.50732466151427</v>
      </c>
      <c r="AC863" s="19" t="n">
        <f aca="false">IF(OR(U863="",NOT(ISNUMBER(U863))),"",U863*$D$3^2/(2*$H$3))</f>
        <v>0.0421348955029728</v>
      </c>
      <c r="AD863" s="20" t="n">
        <f aca="false">IF(OR(U863="",NOT(ISNUMBER(U863))),"",U863*$D$3^2/2*$F$3)</f>
        <v>413.343324884163</v>
      </c>
      <c r="AE863" s="19" t="str">
        <f aca="false">IF(OR(V863="",NOT(ISNUMBER(V863))),"",V863*$D$3^2/(2*$H$3))</f>
        <v/>
      </c>
      <c r="AF863" s="20" t="str">
        <f aca="false">IF(OR(V863="",NOT(ISNUMBER(V863))),"",V863*$D$3^2/2*$F$3)</f>
        <v/>
      </c>
      <c r="AG863" s="19" t="str">
        <f aca="false">IF(OR(W863="",NOT(ISNUMBER(W863))),"",W863*$D$3^2/(2*$H$3))</f>
        <v/>
      </c>
      <c r="AH863" s="20" t="str">
        <f aca="false">IF(OR(W863="",NOT(ISNUMBER(W863))),"",W863*$D$3^2/2*$F$3)</f>
        <v/>
      </c>
    </row>
    <row r="864" customFormat="false" ht="15" hidden="false" customHeight="false" outlineLevel="0" collapsed="false">
      <c r="A864" s="10" t="s">
        <v>1881</v>
      </c>
      <c r="B864" s="11" t="s">
        <v>41</v>
      </c>
      <c r="C864" s="6" t="s">
        <v>1872</v>
      </c>
      <c r="D864" s="6" t="s">
        <v>1882</v>
      </c>
      <c r="E864" s="6" t="s">
        <v>44</v>
      </c>
      <c r="F864" s="6" t="s">
        <v>45</v>
      </c>
      <c r="G864" s="6" t="n">
        <v>50</v>
      </c>
      <c r="H864" s="6"/>
      <c r="I864" s="6"/>
      <c r="J864" s="6" t="n">
        <v>16</v>
      </c>
      <c r="K864" s="6" t="s">
        <v>46</v>
      </c>
      <c r="L864" s="6"/>
      <c r="M864" s="6"/>
      <c r="N864" s="12" t="n">
        <v>40.8</v>
      </c>
      <c r="O864" s="12" t="n">
        <v>40.8</v>
      </c>
      <c r="P864" s="13" t="n">
        <v>35</v>
      </c>
      <c r="Q864" s="12"/>
      <c r="R864" s="14" t="n">
        <v>0.021</v>
      </c>
      <c r="S864" s="6" t="n">
        <v>0</v>
      </c>
      <c r="T864" s="6"/>
      <c r="U864" s="15" t="n">
        <f aca="false">(S864*R864+0.5*(1-(P864/N864)^2)+(1-(P864/O864)^2)^2)*(O864/P864)^4</f>
        <v>0.372647726380675</v>
      </c>
      <c r="V864" s="14"/>
      <c r="W864" s="14"/>
      <c r="X864" s="10" t="s">
        <v>47</v>
      </c>
      <c r="Y864" s="16" t="n">
        <v>1.95</v>
      </c>
      <c r="Z864" s="17" t="s">
        <v>48</v>
      </c>
      <c r="AA864" s="6" t="s">
        <v>1874</v>
      </c>
      <c r="AB864" s="18" t="n">
        <f aca="false">IF(O864="","",$D$3*PI()*(O864/1000)^2/4*3600)</f>
        <v>7.05998807307681</v>
      </c>
      <c r="AC864" s="19" t="n">
        <f aca="false">IF(OR(U864="",NOT(ISNUMBER(U864))),"",U864*$D$3^2/(2*$H$3))</f>
        <v>0.0427348310069581</v>
      </c>
      <c r="AD864" s="20" t="n">
        <f aca="false">IF(OR(U864="",NOT(ISNUMBER(U864))),"",U864*$D$3^2/2*$F$3)</f>
        <v>419.228692178259</v>
      </c>
      <c r="AE864" s="19" t="str">
        <f aca="false">IF(OR(V864="",NOT(ISNUMBER(V864))),"",V864*$D$3^2/(2*$H$3))</f>
        <v/>
      </c>
      <c r="AF864" s="20" t="str">
        <f aca="false">IF(OR(V864="",NOT(ISNUMBER(V864))),"",V864*$D$3^2/2*$F$3)</f>
        <v/>
      </c>
      <c r="AG864" s="19" t="str">
        <f aca="false">IF(OR(W864="",NOT(ISNUMBER(W864))),"",W864*$D$3^2/(2*$H$3))</f>
        <v/>
      </c>
      <c r="AH864" s="20" t="str">
        <f aca="false">IF(OR(W864="",NOT(ISNUMBER(W864))),"",W864*$D$3^2/2*$F$3)</f>
        <v/>
      </c>
    </row>
    <row r="865" customFormat="false" ht="15" hidden="false" customHeight="false" outlineLevel="0" collapsed="false">
      <c r="A865" s="10" t="s">
        <v>1883</v>
      </c>
      <c r="B865" s="11" t="s">
        <v>41</v>
      </c>
      <c r="C865" s="6" t="s">
        <v>1872</v>
      </c>
      <c r="D865" s="6" t="s">
        <v>1884</v>
      </c>
      <c r="E865" s="6" t="s">
        <v>44</v>
      </c>
      <c r="F865" s="6" t="s">
        <v>45</v>
      </c>
      <c r="G865" s="6" t="n">
        <v>63</v>
      </c>
      <c r="H865" s="6"/>
      <c r="I865" s="6"/>
      <c r="J865" s="6" t="n">
        <v>16</v>
      </c>
      <c r="K865" s="6" t="s">
        <v>46</v>
      </c>
      <c r="L865" s="6"/>
      <c r="M865" s="6"/>
      <c r="N865" s="12" t="n">
        <v>51.4</v>
      </c>
      <c r="O865" s="12" t="n">
        <v>51.4</v>
      </c>
      <c r="P865" s="13" t="n">
        <v>45</v>
      </c>
      <c r="Q865" s="12"/>
      <c r="R865" s="14" t="n">
        <v>0.019</v>
      </c>
      <c r="S865" s="6" t="n">
        <v>0</v>
      </c>
      <c r="T865" s="6"/>
      <c r="U865" s="15" t="n">
        <f aca="false">(S865*R865+0.5*(1-(P865/N865)^2)+(1-(P865/O865)^2)^2)*(O865/P865)^4</f>
        <v>0.291572982752629</v>
      </c>
      <c r="V865" s="14"/>
      <c r="W865" s="14"/>
      <c r="X865" s="10" t="s">
        <v>47</v>
      </c>
      <c r="Y865" s="16" t="n">
        <v>1.95</v>
      </c>
      <c r="Z865" s="17" t="s">
        <v>48</v>
      </c>
      <c r="AA865" s="6" t="s">
        <v>1874</v>
      </c>
      <c r="AB865" s="18" t="n">
        <f aca="false">IF(O865="","",$D$3*PI()*(O865/1000)^2/4*3600)</f>
        <v>11.2049488715554</v>
      </c>
      <c r="AC865" s="19" t="n">
        <f aca="false">IF(OR(U865="",NOT(ISNUMBER(U865))),"",U865*$D$3^2/(2*$H$3))</f>
        <v>0.0334372686642924</v>
      </c>
      <c r="AD865" s="20" t="n">
        <f aca="false">IF(OR(U865="",NOT(ISNUMBER(U865))),"",U865*$D$3^2/2*$F$3)</f>
        <v>328.019605596708</v>
      </c>
      <c r="AE865" s="19" t="str">
        <f aca="false">IF(OR(V865="",NOT(ISNUMBER(V865))),"",V865*$D$3^2/(2*$H$3))</f>
        <v/>
      </c>
      <c r="AF865" s="20" t="str">
        <f aca="false">IF(OR(V865="",NOT(ISNUMBER(V865))),"",V865*$D$3^2/2*$F$3)</f>
        <v/>
      </c>
      <c r="AG865" s="19" t="str">
        <f aca="false">IF(OR(W865="",NOT(ISNUMBER(W865))),"",W865*$D$3^2/(2*$H$3))</f>
        <v/>
      </c>
      <c r="AH865" s="20" t="str">
        <f aca="false">IF(OR(W865="",NOT(ISNUMBER(W865))),"",W865*$D$3^2/2*$F$3)</f>
        <v/>
      </c>
    </row>
    <row r="866" customFormat="false" ht="15" hidden="false" customHeight="false" outlineLevel="0" collapsed="false">
      <c r="A866" s="10" t="s">
        <v>1885</v>
      </c>
      <c r="B866" s="11" t="s">
        <v>41</v>
      </c>
      <c r="C866" s="6" t="s">
        <v>1872</v>
      </c>
      <c r="D866" s="6" t="s">
        <v>1886</v>
      </c>
      <c r="E866" s="6" t="s">
        <v>44</v>
      </c>
      <c r="F866" s="6" t="s">
        <v>45</v>
      </c>
      <c r="G866" s="6" t="n">
        <v>75</v>
      </c>
      <c r="H866" s="6"/>
      <c r="I866" s="6"/>
      <c r="J866" s="6" t="n">
        <v>16</v>
      </c>
      <c r="K866" s="6" t="s">
        <v>46</v>
      </c>
      <c r="L866" s="6"/>
      <c r="M866" s="6"/>
      <c r="N866" s="12" t="n">
        <v>61.4</v>
      </c>
      <c r="O866" s="12" t="n">
        <v>61.4</v>
      </c>
      <c r="P866" s="13" t="n">
        <v>54</v>
      </c>
      <c r="Q866" s="12"/>
      <c r="R866" s="14" t="n">
        <v>0.018</v>
      </c>
      <c r="S866" s="6" t="n">
        <v>0</v>
      </c>
      <c r="T866" s="6"/>
      <c r="U866" s="15" t="n">
        <f aca="false">(S866*R866+0.5*(1-(P866/N866)^2)+(1-(P866/O866)^2)^2)*(O866/P866)^4</f>
        <v>0.275071127651047</v>
      </c>
      <c r="V866" s="14"/>
      <c r="W866" s="14"/>
      <c r="X866" s="10" t="s">
        <v>47</v>
      </c>
      <c r="Y866" s="16" t="n">
        <v>1.95</v>
      </c>
      <c r="Z866" s="17" t="s">
        <v>48</v>
      </c>
      <c r="AA866" s="6" t="s">
        <v>1874</v>
      </c>
      <c r="AB866" s="18" t="n">
        <f aca="false">IF(O866="","",$D$3*PI()*(O866/1000)^2/4*3600)</f>
        <v>15.988966164442</v>
      </c>
      <c r="AC866" s="19" t="n">
        <f aca="false">IF(OR(U866="",NOT(ISNUMBER(U866))),"",U866*$D$3^2/(2*$H$3))</f>
        <v>0.0315448540884228</v>
      </c>
      <c r="AD866" s="20" t="n">
        <f aca="false">IF(OR(U866="",NOT(ISNUMBER(U866))),"",U866*$D$3^2/2*$F$3)</f>
        <v>309.455018607428</v>
      </c>
      <c r="AE866" s="19" t="str">
        <f aca="false">IF(OR(V866="",NOT(ISNUMBER(V866))),"",V866*$D$3^2/(2*$H$3))</f>
        <v/>
      </c>
      <c r="AF866" s="20" t="str">
        <f aca="false">IF(OR(V866="",NOT(ISNUMBER(V866))),"",V866*$D$3^2/2*$F$3)</f>
        <v/>
      </c>
      <c r="AG866" s="19" t="str">
        <f aca="false">IF(OR(W866="",NOT(ISNUMBER(W866))),"",W866*$D$3^2/(2*$H$3))</f>
        <v/>
      </c>
      <c r="AH866" s="20" t="str">
        <f aca="false">IF(OR(W866="",NOT(ISNUMBER(W866))),"",W866*$D$3^2/2*$F$3)</f>
        <v/>
      </c>
    </row>
    <row r="867" customFormat="false" ht="15" hidden="false" customHeight="false" outlineLevel="0" collapsed="false">
      <c r="A867" s="10" t="s">
        <v>1887</v>
      </c>
      <c r="B867" s="11" t="s">
        <v>41</v>
      </c>
      <c r="C867" s="6" t="s">
        <v>1872</v>
      </c>
      <c r="D867" s="6" t="s">
        <v>1888</v>
      </c>
      <c r="E867" s="6" t="s">
        <v>44</v>
      </c>
      <c r="F867" s="6" t="s">
        <v>45</v>
      </c>
      <c r="G867" s="6" t="n">
        <v>90</v>
      </c>
      <c r="H867" s="6"/>
      <c r="I867" s="6"/>
      <c r="J867" s="6" t="n">
        <v>16</v>
      </c>
      <c r="K867" s="6" t="s">
        <v>46</v>
      </c>
      <c r="L867" s="6"/>
      <c r="M867" s="6"/>
      <c r="N867" s="12" t="n">
        <v>73.6</v>
      </c>
      <c r="O867" s="12" t="n">
        <v>73.6</v>
      </c>
      <c r="P867" s="13" t="n">
        <v>66</v>
      </c>
      <c r="Q867" s="12"/>
      <c r="R867" s="14" t="n">
        <v>0.018</v>
      </c>
      <c r="S867" s="6" t="n">
        <v>0</v>
      </c>
      <c r="T867" s="6"/>
      <c r="U867" s="15" t="n">
        <f aca="false">(S867*R867+0.5*(1-(P867/N867)^2)+(1-(P867/O867)^2)^2)*(O867/P867)^4</f>
        <v>0.210765781531822</v>
      </c>
      <c r="V867" s="14"/>
      <c r="W867" s="14"/>
      <c r="X867" s="10" t="s">
        <v>47</v>
      </c>
      <c r="Y867" s="16" t="n">
        <v>1.95</v>
      </c>
      <c r="Z867" s="17" t="s">
        <v>48</v>
      </c>
      <c r="AA867" s="6" t="s">
        <v>1874</v>
      </c>
      <c r="AB867" s="18" t="n">
        <f aca="false">IF(O867="","",$D$3*PI()*(O867/1000)^2/4*3600)</f>
        <v>22.9741403500662</v>
      </c>
      <c r="AC867" s="19" t="n">
        <f aca="false">IF(OR(U867="",NOT(ISNUMBER(U867))),"",U867*$D$3^2/(2*$H$3))</f>
        <v>0.0241703877903465</v>
      </c>
      <c r="AD867" s="20" t="n">
        <f aca="false">IF(OR(U867="",NOT(ISNUMBER(U867))),"",U867*$D$3^2/2*$F$3)</f>
        <v>237.1115042233</v>
      </c>
      <c r="AE867" s="19" t="str">
        <f aca="false">IF(OR(V867="",NOT(ISNUMBER(V867))),"",V867*$D$3^2/(2*$H$3))</f>
        <v/>
      </c>
      <c r="AF867" s="20" t="str">
        <f aca="false">IF(OR(V867="",NOT(ISNUMBER(V867))),"",V867*$D$3^2/2*$F$3)</f>
        <v/>
      </c>
      <c r="AG867" s="19" t="str">
        <f aca="false">IF(OR(W867="",NOT(ISNUMBER(W867))),"",W867*$D$3^2/(2*$H$3))</f>
        <v/>
      </c>
      <c r="AH867" s="20" t="str">
        <f aca="false">IF(OR(W867="",NOT(ISNUMBER(W867))),"",W867*$D$3^2/2*$F$3)</f>
        <v/>
      </c>
    </row>
    <row r="868" customFormat="false" ht="15" hidden="false" customHeight="false" outlineLevel="0" collapsed="false">
      <c r="A868" s="10" t="s">
        <v>1889</v>
      </c>
      <c r="B868" s="11" t="s">
        <v>41</v>
      </c>
      <c r="C868" s="6" t="s">
        <v>1872</v>
      </c>
      <c r="D868" s="6" t="s">
        <v>1890</v>
      </c>
      <c r="E868" s="6" t="s">
        <v>67</v>
      </c>
      <c r="F868" s="6" t="s">
        <v>68</v>
      </c>
      <c r="G868" s="6" t="n">
        <v>25</v>
      </c>
      <c r="H868" s="6" t="n">
        <v>20</v>
      </c>
      <c r="I868" s="6"/>
      <c r="J868" s="6" t="n">
        <v>16</v>
      </c>
      <c r="K868" s="6" t="s">
        <v>46</v>
      </c>
      <c r="L868" s="6"/>
      <c r="M868" s="6"/>
      <c r="N868" s="12" t="n">
        <v>20.4</v>
      </c>
      <c r="O868" s="12" t="n">
        <v>16</v>
      </c>
      <c r="P868" s="13" t="n">
        <v>13</v>
      </c>
      <c r="Q868" s="12"/>
      <c r="R868" s="14" t="n">
        <v>0.025</v>
      </c>
      <c r="S868" s="6" t="n">
        <v>0</v>
      </c>
      <c r="T868" s="6"/>
      <c r="U868" s="15" t="n">
        <f aca="false">(S868*R868+0.5*(1-(P868/N868)^2)+(1-(P868/O868)^2)^2)*(O868/P868)^4</f>
        <v>0.946399566945357</v>
      </c>
      <c r="V868" s="14"/>
      <c r="W868" s="15" t="n">
        <f aca="false">(S868*R868+0.5*(1-(P868/O868)^2)+(1-(P868/N868)^2)^2)*(O868/P868)^4</f>
        <v>1.19926322340412</v>
      </c>
      <c r="X868" s="10" t="s">
        <v>47</v>
      </c>
      <c r="Y868" s="16" t="n">
        <v>2.29</v>
      </c>
      <c r="Z868" s="17" t="s">
        <v>48</v>
      </c>
      <c r="AA868" s="6" t="s">
        <v>1874</v>
      </c>
      <c r="AB868" s="18" t="n">
        <f aca="false">IF(O868="","",$D$3*PI()*(O868/1000)^2/4*3600)</f>
        <v>1.08573442108063</v>
      </c>
      <c r="AC868" s="19" t="n">
        <f aca="false">IF(OR(U868="",NOT(ISNUMBER(U868))),"",U868*$D$3^2/(2*$H$3))</f>
        <v>0.108532060429513</v>
      </c>
      <c r="AD868" s="20" t="n">
        <f aca="false">IF(OR(U868="",NOT(ISNUMBER(U868))),"",U868*$D$3^2/2*$F$3)</f>
        <v>1064.69951281353</v>
      </c>
      <c r="AE868" s="19" t="str">
        <f aca="false">IF(OR(V868="",NOT(ISNUMBER(V868))),"",V868*$D$3^2/(2*$H$3))</f>
        <v/>
      </c>
      <c r="AF868" s="20" t="str">
        <f aca="false">IF(OR(V868="",NOT(ISNUMBER(V868))),"",V868*$D$3^2/2*$F$3)</f>
        <v/>
      </c>
      <c r="AG868" s="19" t="n">
        <f aca="false">IF(OR(W868="",NOT(ISNUMBER(W868))),"",W868*$D$3^2/(2*$H$3))</f>
        <v>0.137530186170197</v>
      </c>
      <c r="AH868" s="20" t="n">
        <f aca="false">IF(OR(W868="",NOT(ISNUMBER(W868))),"",W868*$D$3^2/2*$F$3)</f>
        <v>1349.17112632963</v>
      </c>
    </row>
    <row r="869" customFormat="false" ht="15" hidden="false" customHeight="false" outlineLevel="0" collapsed="false">
      <c r="A869" s="10" t="s">
        <v>1891</v>
      </c>
      <c r="B869" s="11" t="s">
        <v>41</v>
      </c>
      <c r="C869" s="6" t="s">
        <v>1872</v>
      </c>
      <c r="D869" s="6" t="s">
        <v>1892</v>
      </c>
      <c r="E869" s="6" t="s">
        <v>67</v>
      </c>
      <c r="F869" s="6" t="s">
        <v>68</v>
      </c>
      <c r="G869" s="6" t="n">
        <v>32</v>
      </c>
      <c r="H869" s="6" t="n">
        <v>25</v>
      </c>
      <c r="I869" s="6"/>
      <c r="J869" s="6" t="n">
        <v>16</v>
      </c>
      <c r="K869" s="6" t="s">
        <v>46</v>
      </c>
      <c r="L869" s="6"/>
      <c r="M869" s="6"/>
      <c r="N869" s="12" t="n">
        <v>26.2</v>
      </c>
      <c r="O869" s="12" t="n">
        <v>20.4</v>
      </c>
      <c r="P869" s="13" t="n">
        <v>17</v>
      </c>
      <c r="Q869" s="12"/>
      <c r="R869" s="14" t="n">
        <v>0.023</v>
      </c>
      <c r="S869" s="6" t="n">
        <v>0</v>
      </c>
      <c r="T869" s="6"/>
      <c r="U869" s="15" t="n">
        <f aca="false">(S869*R869+0.5*(1-(P869/N869)^2)+(1-(P869/O869)^2)^2)*(O869/P869)^4</f>
        <v>0.793893968882932</v>
      </c>
      <c r="V869" s="14"/>
      <c r="W869" s="15" t="n">
        <f aca="false">(S869*R869+0.5*(1-(P869/O869)^2)+(1-(P869/N869)^2)^2)*(O869/P869)^4</f>
        <v>1.01192509467057</v>
      </c>
      <c r="X869" s="10" t="s">
        <v>47</v>
      </c>
      <c r="Y869" s="16" t="n">
        <v>2.29</v>
      </c>
      <c r="Z869" s="17" t="s">
        <v>48</v>
      </c>
      <c r="AA869" s="6" t="s">
        <v>1874</v>
      </c>
      <c r="AB869" s="18" t="n">
        <f aca="false">IF(O869="","",$D$3*PI()*(O869/1000)^2/4*3600)</f>
        <v>1.7649970182692</v>
      </c>
      <c r="AC869" s="19" t="n">
        <f aca="false">IF(OR(U869="",NOT(ISNUMBER(U869))),"",U869*$D$3^2/(2*$H$3))</f>
        <v>0.0910428863397858</v>
      </c>
      <c r="AD869" s="20" t="n">
        <f aca="false">IF(OR(U869="",NOT(ISNUMBER(U869))),"",U869*$D$3^2/2*$F$3)</f>
        <v>893.130714993299</v>
      </c>
      <c r="AE869" s="19" t="str">
        <f aca="false">IF(OR(V869="",NOT(ISNUMBER(V869))),"",V869*$D$3^2/(2*$H$3))</f>
        <v/>
      </c>
      <c r="AF869" s="20" t="str">
        <f aca="false">IF(OR(V869="",NOT(ISNUMBER(V869))),"",V869*$D$3^2/2*$F$3)</f>
        <v/>
      </c>
      <c r="AG869" s="19" t="n">
        <f aca="false">IF(OR(W869="",NOT(ISNUMBER(W869))),"",W869*$D$3^2/(2*$H$3))</f>
        <v>0.116046455810845</v>
      </c>
      <c r="AH869" s="20" t="n">
        <f aca="false">IF(OR(W869="",NOT(ISNUMBER(W869))),"",W869*$D$3^2/2*$F$3)</f>
        <v>1138.41573150439</v>
      </c>
    </row>
    <row r="870" customFormat="false" ht="15" hidden="false" customHeight="false" outlineLevel="0" collapsed="false">
      <c r="A870" s="10" t="s">
        <v>1893</v>
      </c>
      <c r="B870" s="11" t="s">
        <v>41</v>
      </c>
      <c r="C870" s="6" t="s">
        <v>1872</v>
      </c>
      <c r="D870" s="6" t="s">
        <v>1894</v>
      </c>
      <c r="E870" s="6" t="s">
        <v>67</v>
      </c>
      <c r="F870" s="6" t="s">
        <v>68</v>
      </c>
      <c r="G870" s="6" t="n">
        <v>40</v>
      </c>
      <c r="H870" s="6" t="n">
        <v>32</v>
      </c>
      <c r="I870" s="6"/>
      <c r="J870" s="6" t="n">
        <v>16</v>
      </c>
      <c r="K870" s="6" t="s">
        <v>46</v>
      </c>
      <c r="L870" s="6"/>
      <c r="M870" s="6"/>
      <c r="N870" s="12" t="n">
        <v>32.6</v>
      </c>
      <c r="O870" s="12" t="n">
        <v>26.2</v>
      </c>
      <c r="P870" s="13" t="n">
        <v>22</v>
      </c>
      <c r="Q870" s="12"/>
      <c r="R870" s="14" t="n">
        <v>0.022</v>
      </c>
      <c r="S870" s="6" t="n">
        <v>0</v>
      </c>
      <c r="T870" s="6"/>
      <c r="U870" s="15" t="n">
        <f aca="false">(S870*R870+0.5*(1-(P870/N870)^2)+(1-(P870/O870)^2)^2)*(O870/P870)^4</f>
        <v>0.722651483201418</v>
      </c>
      <c r="V870" s="14"/>
      <c r="W870" s="15" t="n">
        <f aca="false">(S870*R870+0.5*(1-(P870/O870)^2)+(1-(P870/N870)^2)^2)*(O870/P870)^4</f>
        <v>0.893146855422511</v>
      </c>
      <c r="X870" s="10" t="s">
        <v>47</v>
      </c>
      <c r="Y870" s="16" t="n">
        <v>2.29</v>
      </c>
      <c r="Z870" s="17" t="s">
        <v>48</v>
      </c>
      <c r="AA870" s="6" t="s">
        <v>1874</v>
      </c>
      <c r="AB870" s="18" t="n">
        <f aca="false">IF(O870="","",$D$3*PI()*(O870/1000)^2/4*3600)</f>
        <v>2.91129506252574</v>
      </c>
      <c r="AC870" s="19" t="n">
        <f aca="false">IF(OR(U870="",NOT(ISNUMBER(U870))),"",U870*$D$3^2/(2*$H$3))</f>
        <v>0.082872876513924</v>
      </c>
      <c r="AD870" s="20" t="n">
        <f aca="false">IF(OR(U870="",NOT(ISNUMBER(U870))),"",U870*$D$3^2/2*$F$3)</f>
        <v>812.982918601595</v>
      </c>
      <c r="AE870" s="19" t="str">
        <f aca="false">IF(OR(V870="",NOT(ISNUMBER(V870))),"",V870*$D$3^2/(2*$H$3))</f>
        <v/>
      </c>
      <c r="AF870" s="20" t="str">
        <f aca="false">IF(OR(V870="",NOT(ISNUMBER(V870))),"",V870*$D$3^2/2*$F$3)</f>
        <v/>
      </c>
      <c r="AG870" s="19" t="n">
        <f aca="false">IF(OR(W870="",NOT(ISNUMBER(W870))),"",W870*$D$3^2/(2*$H$3))</f>
        <v>0.102425098098912</v>
      </c>
      <c r="AH870" s="20" t="n">
        <f aca="false">IF(OR(W870="",NOT(ISNUMBER(W870))),"",W870*$D$3^2/2*$F$3)</f>
        <v>1004.79021235032</v>
      </c>
    </row>
    <row r="871" customFormat="false" ht="15" hidden="false" customHeight="false" outlineLevel="0" collapsed="false">
      <c r="A871" s="10" t="s">
        <v>1895</v>
      </c>
      <c r="B871" s="11" t="s">
        <v>41</v>
      </c>
      <c r="C871" s="6" t="s">
        <v>1872</v>
      </c>
      <c r="D871" s="6" t="s">
        <v>1896</v>
      </c>
      <c r="E871" s="6" t="s">
        <v>67</v>
      </c>
      <c r="F871" s="6" t="s">
        <v>68</v>
      </c>
      <c r="G871" s="6" t="n">
        <v>50</v>
      </c>
      <c r="H871" s="6" t="n">
        <v>40</v>
      </c>
      <c r="I871" s="6"/>
      <c r="J871" s="6" t="n">
        <v>16</v>
      </c>
      <c r="K871" s="6" t="s">
        <v>46</v>
      </c>
      <c r="L871" s="6"/>
      <c r="M871" s="6"/>
      <c r="N871" s="12" t="n">
        <v>40.8</v>
      </c>
      <c r="O871" s="12" t="n">
        <v>32.6</v>
      </c>
      <c r="P871" s="13" t="n">
        <v>28</v>
      </c>
      <c r="Q871" s="12"/>
      <c r="R871" s="14" t="n">
        <v>0.021</v>
      </c>
      <c r="S871" s="6" t="n">
        <v>0</v>
      </c>
      <c r="T871" s="6"/>
      <c r="U871" s="15" t="n">
        <f aca="false">(S871*R871+0.5*(1-(P871/N871)^2)+(1-(P871/O871)^2)^2)*(O871/P871)^4</f>
        <v>0.612479843006631</v>
      </c>
      <c r="V871" s="14"/>
      <c r="W871" s="15" t="n">
        <f aca="false">(S871*R871+0.5*(1-(P871/O871)^2)+(1-(P871/N871)^2)^2)*(O871/P871)^4</f>
        <v>0.755266350405112</v>
      </c>
      <c r="X871" s="10" t="s">
        <v>47</v>
      </c>
      <c r="Y871" s="16" t="n">
        <v>2.29</v>
      </c>
      <c r="Z871" s="17" t="s">
        <v>48</v>
      </c>
      <c r="AA871" s="6" t="s">
        <v>1874</v>
      </c>
      <c r="AB871" s="18" t="n">
        <f aca="false">IF(O871="","",$D$3*PI()*(O871/1000)^2/4*3600)</f>
        <v>4.50732466151427</v>
      </c>
      <c r="AC871" s="19" t="n">
        <f aca="false">IF(OR(U871="",NOT(ISNUMBER(U871))),"",U871*$D$3^2/(2*$H$3))</f>
        <v>0.070238514106265</v>
      </c>
      <c r="AD871" s="20" t="n">
        <f aca="false">IF(OR(U871="",NOT(ISNUMBER(U871))),"",U871*$D$3^2/2*$F$3)</f>
        <v>689.03982338246</v>
      </c>
      <c r="AE871" s="19" t="str">
        <f aca="false">IF(OR(V871="",NOT(ISNUMBER(V871))),"",V871*$D$3^2/(2*$H$3))</f>
        <v/>
      </c>
      <c r="AF871" s="20" t="str">
        <f aca="false">IF(OR(V871="",NOT(ISNUMBER(V871))),"",V871*$D$3^2/2*$F$3)</f>
        <v/>
      </c>
      <c r="AG871" s="19" t="n">
        <f aca="false">IF(OR(W871="",NOT(ISNUMBER(W871))),"",W871*$D$3^2/(2*$H$3))</f>
        <v>0.0866131135785679</v>
      </c>
      <c r="AH871" s="20" t="n">
        <f aca="false">IF(OR(W871="",NOT(ISNUMBER(W871))),"",W871*$D$3^2/2*$F$3)</f>
        <v>849.674644205751</v>
      </c>
    </row>
    <row r="872" customFormat="false" ht="15" hidden="false" customHeight="false" outlineLevel="0" collapsed="false">
      <c r="A872" s="10" t="s">
        <v>1897</v>
      </c>
      <c r="B872" s="11" t="s">
        <v>41</v>
      </c>
      <c r="C872" s="6" t="s">
        <v>1872</v>
      </c>
      <c r="D872" s="6" t="s">
        <v>1898</v>
      </c>
      <c r="E872" s="6" t="s">
        <v>67</v>
      </c>
      <c r="F872" s="6" t="s">
        <v>68</v>
      </c>
      <c r="G872" s="6" t="n">
        <v>63</v>
      </c>
      <c r="H872" s="6" t="n">
        <v>50</v>
      </c>
      <c r="I872" s="6"/>
      <c r="J872" s="6" t="n">
        <v>16</v>
      </c>
      <c r="K872" s="6" t="s">
        <v>46</v>
      </c>
      <c r="L872" s="6"/>
      <c r="M872" s="6"/>
      <c r="N872" s="12" t="n">
        <v>51.4</v>
      </c>
      <c r="O872" s="12" t="n">
        <v>40.8</v>
      </c>
      <c r="P872" s="13" t="n">
        <v>35</v>
      </c>
      <c r="Q872" s="12"/>
      <c r="R872" s="14" t="n">
        <v>0.019</v>
      </c>
      <c r="S872" s="6" t="n">
        <v>0</v>
      </c>
      <c r="T872" s="6"/>
      <c r="U872" s="15" t="n">
        <f aca="false">(S872*R872+0.5*(1-(P872/N872)^2)+(1-(P872/O872)^2)^2)*(O872/P872)^4</f>
        <v>0.623989566406061</v>
      </c>
      <c r="V872" s="14"/>
      <c r="W872" s="15" t="n">
        <f aca="false">(S872*R872+0.5*(1-(P872/O872)^2)+(1-(P872/N872)^2)^2)*(O872/P872)^4</f>
        <v>0.775012956222035</v>
      </c>
      <c r="X872" s="10" t="s">
        <v>47</v>
      </c>
      <c r="Y872" s="16" t="n">
        <v>2.29</v>
      </c>
      <c r="Z872" s="17" t="s">
        <v>48</v>
      </c>
      <c r="AA872" s="6" t="s">
        <v>1874</v>
      </c>
      <c r="AB872" s="18" t="n">
        <f aca="false">IF(O872="","",$D$3*PI()*(O872/1000)^2/4*3600)</f>
        <v>7.05998807307681</v>
      </c>
      <c r="AC872" s="19" t="n">
        <f aca="false">IF(OR(U872="",NOT(ISNUMBER(U872))),"",U872*$D$3^2/(2*$H$3))</f>
        <v>0.0715584365144565</v>
      </c>
      <c r="AD872" s="20" t="n">
        <f aca="false">IF(OR(U872="",NOT(ISNUMBER(U872))),"",U872*$D$3^2/2*$F$3)</f>
        <v>701.988262206818</v>
      </c>
      <c r="AE872" s="19" t="str">
        <f aca="false">IF(OR(V872="",NOT(ISNUMBER(V872))),"",V872*$D$3^2/(2*$H$3))</f>
        <v/>
      </c>
      <c r="AF872" s="20" t="str">
        <f aca="false">IF(OR(V872="",NOT(ISNUMBER(V872))),"",V872*$D$3^2/2*$F$3)</f>
        <v/>
      </c>
      <c r="AG872" s="19" t="n">
        <f aca="false">IF(OR(W872="",NOT(ISNUMBER(W872))),"",W872*$D$3^2/(2*$H$3))</f>
        <v>0.0888776325942701</v>
      </c>
      <c r="AH872" s="20" t="n">
        <f aca="false">IF(OR(W872="",NOT(ISNUMBER(W872))),"",W872*$D$3^2/2*$F$3)</f>
        <v>871.88957574979</v>
      </c>
    </row>
    <row r="873" customFormat="false" ht="15" hidden="false" customHeight="false" outlineLevel="0" collapsed="false">
      <c r="A873" s="10" t="s">
        <v>1899</v>
      </c>
      <c r="B873" s="11" t="s">
        <v>41</v>
      </c>
      <c r="C873" s="6" t="s">
        <v>1872</v>
      </c>
      <c r="D873" s="6" t="s">
        <v>1900</v>
      </c>
      <c r="E873" s="6" t="s">
        <v>67</v>
      </c>
      <c r="F873" s="6" t="s">
        <v>68</v>
      </c>
      <c r="G873" s="6" t="n">
        <v>75</v>
      </c>
      <c r="H873" s="6" t="n">
        <v>63</v>
      </c>
      <c r="I873" s="6"/>
      <c r="J873" s="6" t="n">
        <v>16</v>
      </c>
      <c r="K873" s="6" t="s">
        <v>46</v>
      </c>
      <c r="L873" s="6"/>
      <c r="M873" s="6"/>
      <c r="N873" s="12" t="n">
        <v>61.4</v>
      </c>
      <c r="O873" s="12" t="n">
        <v>51.4</v>
      </c>
      <c r="P873" s="13" t="n">
        <v>45</v>
      </c>
      <c r="Q873" s="12"/>
      <c r="R873" s="14" t="n">
        <v>0.018</v>
      </c>
      <c r="S873" s="6" t="n">
        <v>0</v>
      </c>
      <c r="T873" s="6"/>
      <c r="U873" s="15" t="n">
        <f aca="false">(S873*R873+0.5*(1-(P873/N873)^2)+(1-(P873/O873)^2)^2)*(O873/P873)^4</f>
        <v>0.486756694300016</v>
      </c>
      <c r="V873" s="14"/>
      <c r="W873" s="15" t="n">
        <f aca="false">(S873*R873+0.5*(1-(P873/O873)^2)+(1-(P873/N873)^2)^2)*(O873/P873)^4</f>
        <v>0.563418071022485</v>
      </c>
      <c r="X873" s="10" t="s">
        <v>47</v>
      </c>
      <c r="Y873" s="16" t="n">
        <v>2.29</v>
      </c>
      <c r="Z873" s="17" t="s">
        <v>48</v>
      </c>
      <c r="AA873" s="6" t="s">
        <v>1874</v>
      </c>
      <c r="AB873" s="18" t="n">
        <f aca="false">IF(O873="","",$D$3*PI()*(O873/1000)^2/4*3600)</f>
        <v>11.2049488715554</v>
      </c>
      <c r="AC873" s="19" t="n">
        <f aca="false">IF(OR(U873="",NOT(ISNUMBER(U873))),"",U873*$D$3^2/(2*$H$3))</f>
        <v>0.0558207218233963</v>
      </c>
      <c r="AD873" s="20" t="n">
        <f aca="false">IF(OR(U873="",NOT(ISNUMBER(U873))),"",U873*$D$3^2/2*$F$3)</f>
        <v>547.601281087518</v>
      </c>
      <c r="AE873" s="19" t="str">
        <f aca="false">IF(OR(V873="",NOT(ISNUMBER(V873))),"",V873*$D$3^2/(2*$H$3))</f>
        <v/>
      </c>
      <c r="AF873" s="20" t="str">
        <f aca="false">IF(OR(V873="",NOT(ISNUMBER(V873))),"",V873*$D$3^2/2*$F$3)</f>
        <v/>
      </c>
      <c r="AG873" s="19" t="n">
        <f aca="false">IF(OR(W873="",NOT(ISNUMBER(W873))),"",W873*$D$3^2/(2*$H$3))</f>
        <v>0.0646121641080832</v>
      </c>
      <c r="AH873" s="20" t="n">
        <f aca="false">IF(OR(W873="",NOT(ISNUMBER(W873))),"",W873*$D$3^2/2*$F$3)</f>
        <v>633.845329900296</v>
      </c>
    </row>
    <row r="874" customFormat="false" ht="15" hidden="false" customHeight="false" outlineLevel="0" collapsed="false">
      <c r="A874" s="10" t="s">
        <v>1901</v>
      </c>
      <c r="B874" s="11" t="s">
        <v>41</v>
      </c>
      <c r="C874" s="6" t="s">
        <v>1872</v>
      </c>
      <c r="D874" s="6" t="s">
        <v>1902</v>
      </c>
      <c r="E874" s="6" t="s">
        <v>67</v>
      </c>
      <c r="F874" s="6" t="s">
        <v>68</v>
      </c>
      <c r="G874" s="6" t="n">
        <v>90</v>
      </c>
      <c r="H874" s="6" t="n">
        <v>75</v>
      </c>
      <c r="I874" s="6"/>
      <c r="J874" s="6" t="n">
        <v>16</v>
      </c>
      <c r="K874" s="6" t="s">
        <v>46</v>
      </c>
      <c r="L874" s="6"/>
      <c r="M874" s="6"/>
      <c r="N874" s="12" t="n">
        <v>73.6</v>
      </c>
      <c r="O874" s="12" t="n">
        <v>61.4</v>
      </c>
      <c r="P874" s="13" t="n">
        <v>54</v>
      </c>
      <c r="Q874" s="12"/>
      <c r="R874" s="14" t="n">
        <v>0.018</v>
      </c>
      <c r="S874" s="6" t="n">
        <v>0</v>
      </c>
      <c r="T874" s="6"/>
      <c r="U874" s="15" t="n">
        <f aca="false">(S874*R874+0.5*(1-(P874/N874)^2)+(1-(P874/O874)^2)^2)*(O874/P874)^4</f>
        <v>0.471613954186526</v>
      </c>
      <c r="V874" s="14"/>
      <c r="W874" s="15" t="n">
        <f aca="false">(S874*R874+0.5*(1-(P874/O874)^2)+(1-(P874/N874)^2)^2)*(O874/P874)^4</f>
        <v>0.545595693858588</v>
      </c>
      <c r="X874" s="10" t="s">
        <v>47</v>
      </c>
      <c r="Y874" s="16" t="n">
        <v>2.29</v>
      </c>
      <c r="Z874" s="17" t="s">
        <v>48</v>
      </c>
      <c r="AA874" s="6" t="s">
        <v>1874</v>
      </c>
      <c r="AB874" s="18" t="n">
        <f aca="false">IF(O874="","",$D$3*PI()*(O874/1000)^2/4*3600)</f>
        <v>15.988966164442</v>
      </c>
      <c r="AC874" s="19" t="n">
        <f aca="false">IF(OR(U874="",NOT(ISNUMBER(U874))),"",U874*$D$3^2/(2*$H$3))</f>
        <v>0.0540841690580878</v>
      </c>
      <c r="AD874" s="20" t="n">
        <f aca="false">IF(OR(U874="",NOT(ISNUMBER(U874))),"",U874*$D$3^2/2*$F$3)</f>
        <v>530.565698459842</v>
      </c>
      <c r="AE874" s="19" t="str">
        <f aca="false">IF(OR(V874="",NOT(ISNUMBER(V874))),"",V874*$D$3^2/(2*$H$3))</f>
        <v/>
      </c>
      <c r="AF874" s="20" t="str">
        <f aca="false">IF(OR(V874="",NOT(ISNUMBER(V874))),"",V874*$D$3^2/2*$F$3)</f>
        <v/>
      </c>
      <c r="AG874" s="19" t="n">
        <f aca="false">IF(OR(W874="",NOT(ISNUMBER(W874))),"",W874*$D$3^2/(2*$H$3))</f>
        <v>0.0625683135158931</v>
      </c>
      <c r="AH874" s="20" t="n">
        <f aca="false">IF(OR(W874="",NOT(ISNUMBER(W874))),"",W874*$D$3^2/2*$F$3)</f>
        <v>613.795155590912</v>
      </c>
    </row>
    <row r="875" customFormat="false" ht="15" hidden="false" customHeight="false" outlineLevel="0" collapsed="false">
      <c r="A875" s="10" t="s">
        <v>1903</v>
      </c>
      <c r="B875" s="11" t="s">
        <v>41</v>
      </c>
      <c r="C875" s="6" t="s">
        <v>1872</v>
      </c>
      <c r="D875" s="6" t="s">
        <v>1904</v>
      </c>
      <c r="E875" s="6" t="s">
        <v>106</v>
      </c>
      <c r="F875" s="6" t="s">
        <v>107</v>
      </c>
      <c r="G875" s="6" t="n">
        <v>20</v>
      </c>
      <c r="H875" s="6"/>
      <c r="I875" s="6" t="s">
        <v>108</v>
      </c>
      <c r="J875" s="6" t="n">
        <v>16</v>
      </c>
      <c r="K875" s="6" t="s">
        <v>46</v>
      </c>
      <c r="L875" s="6"/>
      <c r="M875" s="6"/>
      <c r="N875" s="12" t="n">
        <v>16</v>
      </c>
      <c r="O875" s="12" t="n">
        <v>16</v>
      </c>
      <c r="P875" s="13" t="n">
        <v>13</v>
      </c>
      <c r="Q875" s="12"/>
      <c r="R875" s="14" t="n">
        <v>0.027</v>
      </c>
      <c r="S875" s="6" t="n">
        <v>0</v>
      </c>
      <c r="T875" s="6"/>
      <c r="U875" s="15" t="n">
        <f aca="false">(S875*R875+0.5*(1-(P875/N875)^2)+(1-(P875/O875)^2)^2)*(O875/P875)^4</f>
        <v>0.654914043625924</v>
      </c>
      <c r="V875" s="14"/>
      <c r="W875" s="14"/>
      <c r="X875" s="10" t="s">
        <v>47</v>
      </c>
      <c r="Y875" s="16" t="n">
        <v>1.55</v>
      </c>
      <c r="Z875" s="17" t="s">
        <v>48</v>
      </c>
      <c r="AA875" s="6" t="s">
        <v>1874</v>
      </c>
      <c r="AB875" s="18" t="n">
        <f aca="false">IF(O875="","",$D$3*PI()*(O875/1000)^2/4*3600)</f>
        <v>1.08573442108063</v>
      </c>
      <c r="AC875" s="19" t="n">
        <f aca="false">IF(OR(U875="",NOT(ISNUMBER(U875))),"",U875*$D$3^2/(2*$H$3))</f>
        <v>0.0751048215167344</v>
      </c>
      <c r="AD875" s="20" t="n">
        <f aca="false">IF(OR(U875="",NOT(ISNUMBER(U875))),"",U875*$D$3^2/2*$F$3)</f>
        <v>736.778299079164</v>
      </c>
      <c r="AE875" s="19" t="str">
        <f aca="false">IF(OR(V875="",NOT(ISNUMBER(V875))),"",V875*$D$3^2/(2*$H$3))</f>
        <v/>
      </c>
      <c r="AF875" s="20" t="str">
        <f aca="false">IF(OR(V875="",NOT(ISNUMBER(V875))),"",V875*$D$3^2/2*$F$3)</f>
        <v/>
      </c>
      <c r="AG875" s="19" t="str">
        <f aca="false">IF(OR(W875="",NOT(ISNUMBER(W875))),"",W875*$D$3^2/(2*$H$3))</f>
        <v/>
      </c>
      <c r="AH875" s="20" t="str">
        <f aca="false">IF(OR(W875="",NOT(ISNUMBER(W875))),"",W875*$D$3^2/2*$F$3)</f>
        <v/>
      </c>
    </row>
    <row r="876" customFormat="false" ht="15" hidden="false" customHeight="false" outlineLevel="0" collapsed="false">
      <c r="A876" s="10" t="s">
        <v>1905</v>
      </c>
      <c r="B876" s="11" t="s">
        <v>41</v>
      </c>
      <c r="C876" s="6" t="s">
        <v>1872</v>
      </c>
      <c r="D876" s="6" t="s">
        <v>1906</v>
      </c>
      <c r="E876" s="6" t="s">
        <v>106</v>
      </c>
      <c r="F876" s="6" t="s">
        <v>107</v>
      </c>
      <c r="G876" s="6" t="n">
        <v>25</v>
      </c>
      <c r="H876" s="6"/>
      <c r="I876" s="6" t="s">
        <v>111</v>
      </c>
      <c r="J876" s="6" t="n">
        <v>16</v>
      </c>
      <c r="K876" s="6" t="s">
        <v>46</v>
      </c>
      <c r="L876" s="6"/>
      <c r="M876" s="6"/>
      <c r="N876" s="12" t="n">
        <v>20.4</v>
      </c>
      <c r="O876" s="12" t="n">
        <v>20.4</v>
      </c>
      <c r="P876" s="13" t="n">
        <v>17</v>
      </c>
      <c r="Q876" s="12"/>
      <c r="R876" s="14" t="n">
        <v>0.025</v>
      </c>
      <c r="S876" s="6" t="n">
        <v>0</v>
      </c>
      <c r="T876" s="6"/>
      <c r="U876" s="15" t="n">
        <f aca="false">(S876*R876+0.5*(1-(P876/N876)^2)+(1-(P876/O876)^2)^2)*(O876/P876)^4</f>
        <v>0.5104</v>
      </c>
      <c r="V876" s="14"/>
      <c r="W876" s="14"/>
      <c r="X876" s="10" t="s">
        <v>47</v>
      </c>
      <c r="Y876" s="16" t="n">
        <v>1.55</v>
      </c>
      <c r="Z876" s="17" t="s">
        <v>48</v>
      </c>
      <c r="AA876" s="6" t="s">
        <v>1874</v>
      </c>
      <c r="AB876" s="18" t="n">
        <f aca="false">IF(O876="","",$D$3*PI()*(O876/1000)^2/4*3600)</f>
        <v>1.7649970182692</v>
      </c>
      <c r="AC876" s="19" t="n">
        <f aca="false">IF(OR(U876="",NOT(ISNUMBER(U876))),"",U876*$D$3^2/(2*$H$3))</f>
        <v>0.0585321100917431</v>
      </c>
      <c r="AD876" s="20" t="n">
        <f aca="false">IF(OR(U876="",NOT(ISNUMBER(U876))),"",U876*$D$3^2/2*$F$3)</f>
        <v>574.2</v>
      </c>
      <c r="AE876" s="19" t="str">
        <f aca="false">IF(OR(V876="",NOT(ISNUMBER(V876))),"",V876*$D$3^2/(2*$H$3))</f>
        <v/>
      </c>
      <c r="AF876" s="20" t="str">
        <f aca="false">IF(OR(V876="",NOT(ISNUMBER(V876))),"",V876*$D$3^2/2*$F$3)</f>
        <v/>
      </c>
      <c r="AG876" s="19" t="str">
        <f aca="false">IF(OR(W876="",NOT(ISNUMBER(W876))),"",W876*$D$3^2/(2*$H$3))</f>
        <v/>
      </c>
      <c r="AH876" s="20" t="str">
        <f aca="false">IF(OR(W876="",NOT(ISNUMBER(W876))),"",W876*$D$3^2/2*$F$3)</f>
        <v/>
      </c>
    </row>
    <row r="877" customFormat="false" ht="15" hidden="false" customHeight="false" outlineLevel="0" collapsed="false">
      <c r="A877" s="10" t="s">
        <v>1907</v>
      </c>
      <c r="B877" s="11" t="s">
        <v>41</v>
      </c>
      <c r="C877" s="6" t="s">
        <v>1872</v>
      </c>
      <c r="D877" s="6" t="s">
        <v>1908</v>
      </c>
      <c r="E877" s="6" t="s">
        <v>106</v>
      </c>
      <c r="F877" s="6" t="s">
        <v>107</v>
      </c>
      <c r="G877" s="6" t="n">
        <v>32</v>
      </c>
      <c r="H877" s="6"/>
      <c r="I877" s="6" t="s">
        <v>118</v>
      </c>
      <c r="J877" s="6" t="n">
        <v>16</v>
      </c>
      <c r="K877" s="6" t="s">
        <v>46</v>
      </c>
      <c r="L877" s="6"/>
      <c r="M877" s="6"/>
      <c r="N877" s="12" t="n">
        <v>26.2</v>
      </c>
      <c r="O877" s="12" t="n">
        <v>26.2</v>
      </c>
      <c r="P877" s="13" t="n">
        <v>22</v>
      </c>
      <c r="Q877" s="12"/>
      <c r="R877" s="14" t="n">
        <v>0.023</v>
      </c>
      <c r="S877" s="6" t="n">
        <v>0</v>
      </c>
      <c r="T877" s="6"/>
      <c r="U877" s="15" t="n">
        <f aca="false">(S877*R877+0.5*(1-(P877/N877)^2)+(1-(P877/O877)^2)^2)*(O877/P877)^4</f>
        <v>0.471549972679462</v>
      </c>
      <c r="V877" s="14"/>
      <c r="W877" s="14"/>
      <c r="X877" s="10" t="s">
        <v>47</v>
      </c>
      <c r="Y877" s="16" t="n">
        <v>1.55</v>
      </c>
      <c r="Z877" s="17" t="s">
        <v>48</v>
      </c>
      <c r="AA877" s="6" t="s">
        <v>1874</v>
      </c>
      <c r="AB877" s="18" t="n">
        <f aca="false">IF(O877="","",$D$3*PI()*(O877/1000)^2/4*3600)</f>
        <v>2.91129506252574</v>
      </c>
      <c r="AC877" s="19" t="n">
        <f aca="false">IF(OR(U877="",NOT(ISNUMBER(U877))),"",U877*$D$3^2/(2*$H$3))</f>
        <v>0.054076831729296</v>
      </c>
      <c r="AD877" s="20" t="n">
        <f aca="false">IF(OR(U877="",NOT(ISNUMBER(U877))),"",U877*$D$3^2/2*$F$3)</f>
        <v>530.493719264394</v>
      </c>
      <c r="AE877" s="19" t="str">
        <f aca="false">IF(OR(V877="",NOT(ISNUMBER(V877))),"",V877*$D$3^2/(2*$H$3))</f>
        <v/>
      </c>
      <c r="AF877" s="20" t="str">
        <f aca="false">IF(OR(V877="",NOT(ISNUMBER(V877))),"",V877*$D$3^2/2*$F$3)</f>
        <v/>
      </c>
      <c r="AG877" s="19" t="str">
        <f aca="false">IF(OR(W877="",NOT(ISNUMBER(W877))),"",W877*$D$3^2/(2*$H$3))</f>
        <v/>
      </c>
      <c r="AH877" s="20" t="str">
        <f aca="false">IF(OR(W877="",NOT(ISNUMBER(W877))),"",W877*$D$3^2/2*$F$3)</f>
        <v/>
      </c>
    </row>
    <row r="878" customFormat="false" ht="15" hidden="false" customHeight="false" outlineLevel="0" collapsed="false">
      <c r="A878" s="10" t="s">
        <v>1909</v>
      </c>
      <c r="B878" s="11" t="s">
        <v>41</v>
      </c>
      <c r="C878" s="6" t="s">
        <v>1872</v>
      </c>
      <c r="D878" s="6" t="s">
        <v>1910</v>
      </c>
      <c r="E878" s="6" t="s">
        <v>106</v>
      </c>
      <c r="F878" s="6" t="s">
        <v>107</v>
      </c>
      <c r="G878" s="6" t="n">
        <v>40</v>
      </c>
      <c r="H878" s="6"/>
      <c r="I878" s="6" t="s">
        <v>127</v>
      </c>
      <c r="J878" s="6" t="n">
        <v>16</v>
      </c>
      <c r="K878" s="6" t="s">
        <v>46</v>
      </c>
      <c r="L878" s="6"/>
      <c r="M878" s="6"/>
      <c r="N878" s="12" t="n">
        <v>32.6</v>
      </c>
      <c r="O878" s="12" t="n">
        <v>32.6</v>
      </c>
      <c r="P878" s="13" t="n">
        <v>28</v>
      </c>
      <c r="Q878" s="12"/>
      <c r="R878" s="14" t="n">
        <v>0.022</v>
      </c>
      <c r="S878" s="6" t="n">
        <v>0</v>
      </c>
      <c r="T878" s="6"/>
      <c r="U878" s="15" t="n">
        <f aca="false">(S878*R878+0.5*(1-(P878/N878)^2)+(1-(P878/O878)^2)^2)*(O878/P878)^4</f>
        <v>0.367416288785923</v>
      </c>
      <c r="V878" s="14"/>
      <c r="W878" s="14"/>
      <c r="X878" s="10" t="s">
        <v>47</v>
      </c>
      <c r="Y878" s="16" t="n">
        <v>1.55</v>
      </c>
      <c r="Z878" s="17" t="s">
        <v>48</v>
      </c>
      <c r="AA878" s="6" t="s">
        <v>1874</v>
      </c>
      <c r="AB878" s="18" t="n">
        <f aca="false">IF(O878="","",$D$3*PI()*(O878/1000)^2/4*3600)</f>
        <v>4.50732466151427</v>
      </c>
      <c r="AC878" s="19" t="n">
        <f aca="false">IF(OR(U878="",NOT(ISNUMBER(U878))),"",U878*$D$3^2/(2*$H$3))</f>
        <v>0.0421348955029728</v>
      </c>
      <c r="AD878" s="20" t="n">
        <f aca="false">IF(OR(U878="",NOT(ISNUMBER(U878))),"",U878*$D$3^2/2*$F$3)</f>
        <v>413.343324884163</v>
      </c>
      <c r="AE878" s="19" t="str">
        <f aca="false">IF(OR(V878="",NOT(ISNUMBER(V878))),"",V878*$D$3^2/(2*$H$3))</f>
        <v/>
      </c>
      <c r="AF878" s="20" t="str">
        <f aca="false">IF(OR(V878="",NOT(ISNUMBER(V878))),"",V878*$D$3^2/2*$F$3)</f>
        <v/>
      </c>
      <c r="AG878" s="19" t="str">
        <f aca="false">IF(OR(W878="",NOT(ISNUMBER(W878))),"",W878*$D$3^2/(2*$H$3))</f>
        <v/>
      </c>
      <c r="AH878" s="20" t="str">
        <f aca="false">IF(OR(W878="",NOT(ISNUMBER(W878))),"",W878*$D$3^2/2*$F$3)</f>
        <v/>
      </c>
    </row>
    <row r="879" customFormat="false" ht="15" hidden="false" customHeight="false" outlineLevel="0" collapsed="false">
      <c r="A879" s="10" t="s">
        <v>1911</v>
      </c>
      <c r="B879" s="11" t="s">
        <v>41</v>
      </c>
      <c r="C879" s="6" t="s">
        <v>1872</v>
      </c>
      <c r="D879" s="6" t="s">
        <v>1912</v>
      </c>
      <c r="E879" s="6" t="s">
        <v>106</v>
      </c>
      <c r="F879" s="6" t="s">
        <v>107</v>
      </c>
      <c r="G879" s="6" t="n">
        <v>50</v>
      </c>
      <c r="H879" s="6"/>
      <c r="I879" s="6" t="s">
        <v>130</v>
      </c>
      <c r="J879" s="6" t="n">
        <v>16</v>
      </c>
      <c r="K879" s="6" t="s">
        <v>46</v>
      </c>
      <c r="L879" s="6"/>
      <c r="M879" s="6"/>
      <c r="N879" s="12" t="n">
        <v>40.8</v>
      </c>
      <c r="O879" s="12" t="n">
        <v>40.8</v>
      </c>
      <c r="P879" s="13" t="n">
        <v>35</v>
      </c>
      <c r="Q879" s="12"/>
      <c r="R879" s="14" t="n">
        <v>0.021</v>
      </c>
      <c r="S879" s="6" t="n">
        <v>0</v>
      </c>
      <c r="T879" s="6"/>
      <c r="U879" s="15" t="n">
        <f aca="false">(S879*R879+0.5*(1-(P879/N879)^2)+(1-(P879/O879)^2)^2)*(O879/P879)^4</f>
        <v>0.372647726380675</v>
      </c>
      <c r="V879" s="14"/>
      <c r="W879" s="14"/>
      <c r="X879" s="10" t="s">
        <v>47</v>
      </c>
      <c r="Y879" s="16" t="n">
        <v>1.55</v>
      </c>
      <c r="Z879" s="17" t="s">
        <v>48</v>
      </c>
      <c r="AA879" s="6" t="s">
        <v>1874</v>
      </c>
      <c r="AB879" s="18" t="n">
        <f aca="false">IF(O879="","",$D$3*PI()*(O879/1000)^2/4*3600)</f>
        <v>7.05998807307681</v>
      </c>
      <c r="AC879" s="19" t="n">
        <f aca="false">IF(OR(U879="",NOT(ISNUMBER(U879))),"",U879*$D$3^2/(2*$H$3))</f>
        <v>0.0427348310069581</v>
      </c>
      <c r="AD879" s="20" t="n">
        <f aca="false">IF(OR(U879="",NOT(ISNUMBER(U879))),"",U879*$D$3^2/2*$F$3)</f>
        <v>419.228692178259</v>
      </c>
      <c r="AE879" s="19" t="str">
        <f aca="false">IF(OR(V879="",NOT(ISNUMBER(V879))),"",V879*$D$3^2/(2*$H$3))</f>
        <v/>
      </c>
      <c r="AF879" s="20" t="str">
        <f aca="false">IF(OR(V879="",NOT(ISNUMBER(V879))),"",V879*$D$3^2/2*$F$3)</f>
        <v/>
      </c>
      <c r="AG879" s="19" t="str">
        <f aca="false">IF(OR(W879="",NOT(ISNUMBER(W879))),"",W879*$D$3^2/(2*$H$3))</f>
        <v/>
      </c>
      <c r="AH879" s="20" t="str">
        <f aca="false">IF(OR(W879="",NOT(ISNUMBER(W879))),"",W879*$D$3^2/2*$F$3)</f>
        <v/>
      </c>
    </row>
    <row r="880" customFormat="false" ht="15" hidden="false" customHeight="false" outlineLevel="0" collapsed="false">
      <c r="A880" s="10" t="s">
        <v>1913</v>
      </c>
      <c r="B880" s="11" t="s">
        <v>41</v>
      </c>
      <c r="C880" s="6" t="s">
        <v>1872</v>
      </c>
      <c r="D880" s="6" t="s">
        <v>1914</v>
      </c>
      <c r="E880" s="6" t="s">
        <v>106</v>
      </c>
      <c r="F880" s="6" t="s">
        <v>107</v>
      </c>
      <c r="G880" s="6" t="n">
        <v>63</v>
      </c>
      <c r="H880" s="6"/>
      <c r="I880" s="6" t="s">
        <v>133</v>
      </c>
      <c r="J880" s="6" t="n">
        <v>16</v>
      </c>
      <c r="K880" s="6" t="s">
        <v>46</v>
      </c>
      <c r="L880" s="6"/>
      <c r="M880" s="6"/>
      <c r="N880" s="12" t="n">
        <v>51.4</v>
      </c>
      <c r="O880" s="12" t="n">
        <v>51.4</v>
      </c>
      <c r="P880" s="13" t="n">
        <v>45</v>
      </c>
      <c r="Q880" s="12"/>
      <c r="R880" s="14" t="n">
        <v>0.019</v>
      </c>
      <c r="S880" s="6" t="n">
        <v>0</v>
      </c>
      <c r="T880" s="6"/>
      <c r="U880" s="15" t="n">
        <f aca="false">(S880*R880+0.5*(1-(P880/N880)^2)+(1-(P880/O880)^2)^2)*(O880/P880)^4</f>
        <v>0.291572982752629</v>
      </c>
      <c r="V880" s="14"/>
      <c r="W880" s="14"/>
      <c r="X880" s="10" t="s">
        <v>47</v>
      </c>
      <c r="Y880" s="16" t="n">
        <v>1.55</v>
      </c>
      <c r="Z880" s="17" t="s">
        <v>48</v>
      </c>
      <c r="AA880" s="6" t="s">
        <v>1874</v>
      </c>
      <c r="AB880" s="18" t="n">
        <f aca="false">IF(O880="","",$D$3*PI()*(O880/1000)^2/4*3600)</f>
        <v>11.2049488715554</v>
      </c>
      <c r="AC880" s="19" t="n">
        <f aca="false">IF(OR(U880="",NOT(ISNUMBER(U880))),"",U880*$D$3^2/(2*$H$3))</f>
        <v>0.0334372686642924</v>
      </c>
      <c r="AD880" s="20" t="n">
        <f aca="false">IF(OR(U880="",NOT(ISNUMBER(U880))),"",U880*$D$3^2/2*$F$3)</f>
        <v>328.019605596708</v>
      </c>
      <c r="AE880" s="19" t="str">
        <f aca="false">IF(OR(V880="",NOT(ISNUMBER(V880))),"",V880*$D$3^2/(2*$H$3))</f>
        <v/>
      </c>
      <c r="AF880" s="20" t="str">
        <f aca="false">IF(OR(V880="",NOT(ISNUMBER(V880))),"",V880*$D$3^2/2*$F$3)</f>
        <v/>
      </c>
      <c r="AG880" s="19" t="str">
        <f aca="false">IF(OR(W880="",NOT(ISNUMBER(W880))),"",W880*$D$3^2/(2*$H$3))</f>
        <v/>
      </c>
      <c r="AH880" s="20" t="str">
        <f aca="false">IF(OR(W880="",NOT(ISNUMBER(W880))),"",W880*$D$3^2/2*$F$3)</f>
        <v/>
      </c>
    </row>
    <row r="881" customFormat="false" ht="15" hidden="false" customHeight="false" outlineLevel="0" collapsed="false">
      <c r="A881" s="10" t="s">
        <v>1915</v>
      </c>
      <c r="B881" s="11" t="s">
        <v>41</v>
      </c>
      <c r="C881" s="6" t="s">
        <v>1872</v>
      </c>
      <c r="D881" s="6" t="s">
        <v>1916</v>
      </c>
      <c r="E881" s="6" t="s">
        <v>106</v>
      </c>
      <c r="F881" s="6" t="s">
        <v>107</v>
      </c>
      <c r="G881" s="6" t="n">
        <v>75</v>
      </c>
      <c r="H881" s="6"/>
      <c r="I881" s="6" t="s">
        <v>136</v>
      </c>
      <c r="J881" s="6" t="n">
        <v>16</v>
      </c>
      <c r="K881" s="6" t="s">
        <v>46</v>
      </c>
      <c r="L881" s="6"/>
      <c r="M881" s="6"/>
      <c r="N881" s="12" t="n">
        <v>61.4</v>
      </c>
      <c r="O881" s="12" t="n">
        <v>61.4</v>
      </c>
      <c r="P881" s="13" t="n">
        <v>54</v>
      </c>
      <c r="Q881" s="12"/>
      <c r="R881" s="14" t="n">
        <v>0.018</v>
      </c>
      <c r="S881" s="6" t="n">
        <v>0</v>
      </c>
      <c r="T881" s="6"/>
      <c r="U881" s="15" t="n">
        <f aca="false">(S881*R881+0.5*(1-(P881/N881)^2)+(1-(P881/O881)^2)^2)*(O881/P881)^4</f>
        <v>0.275071127651047</v>
      </c>
      <c r="V881" s="14"/>
      <c r="W881" s="14"/>
      <c r="X881" s="10" t="s">
        <v>47</v>
      </c>
      <c r="Y881" s="16" t="n">
        <v>1.55</v>
      </c>
      <c r="Z881" s="17" t="s">
        <v>48</v>
      </c>
      <c r="AA881" s="6" t="s">
        <v>1874</v>
      </c>
      <c r="AB881" s="18" t="n">
        <f aca="false">IF(O881="","",$D$3*PI()*(O881/1000)^2/4*3600)</f>
        <v>15.988966164442</v>
      </c>
      <c r="AC881" s="19" t="n">
        <f aca="false">IF(OR(U881="",NOT(ISNUMBER(U881))),"",U881*$D$3^2/(2*$H$3))</f>
        <v>0.0315448540884228</v>
      </c>
      <c r="AD881" s="20" t="n">
        <f aca="false">IF(OR(U881="",NOT(ISNUMBER(U881))),"",U881*$D$3^2/2*$F$3)</f>
        <v>309.455018607428</v>
      </c>
      <c r="AE881" s="19" t="str">
        <f aca="false">IF(OR(V881="",NOT(ISNUMBER(V881))),"",V881*$D$3^2/(2*$H$3))</f>
        <v/>
      </c>
      <c r="AF881" s="20" t="str">
        <f aca="false">IF(OR(V881="",NOT(ISNUMBER(V881))),"",V881*$D$3^2/2*$F$3)</f>
        <v/>
      </c>
      <c r="AG881" s="19" t="str">
        <f aca="false">IF(OR(W881="",NOT(ISNUMBER(W881))),"",W881*$D$3^2/(2*$H$3))</f>
        <v/>
      </c>
      <c r="AH881" s="20" t="str">
        <f aca="false">IF(OR(W881="",NOT(ISNUMBER(W881))),"",W881*$D$3^2/2*$F$3)</f>
        <v/>
      </c>
    </row>
    <row r="882" customFormat="false" ht="15" hidden="false" customHeight="false" outlineLevel="0" collapsed="false">
      <c r="A882" s="10" t="s">
        <v>1917</v>
      </c>
      <c r="B882" s="11" t="s">
        <v>41</v>
      </c>
      <c r="C882" s="6" t="s">
        <v>1872</v>
      </c>
      <c r="D882" s="6" t="s">
        <v>1918</v>
      </c>
      <c r="E882" s="6" t="s">
        <v>106</v>
      </c>
      <c r="F882" s="6" t="s">
        <v>107</v>
      </c>
      <c r="G882" s="6" t="n">
        <v>90</v>
      </c>
      <c r="H882" s="6"/>
      <c r="I882" s="6" t="s">
        <v>139</v>
      </c>
      <c r="J882" s="6" t="n">
        <v>16</v>
      </c>
      <c r="K882" s="6" t="s">
        <v>46</v>
      </c>
      <c r="L882" s="6"/>
      <c r="M882" s="6"/>
      <c r="N882" s="12" t="n">
        <v>73.6</v>
      </c>
      <c r="O882" s="12" t="n">
        <v>73.6</v>
      </c>
      <c r="P882" s="13" t="n">
        <v>66</v>
      </c>
      <c r="Q882" s="12"/>
      <c r="R882" s="14" t="n">
        <v>0.018</v>
      </c>
      <c r="S882" s="6" t="n">
        <v>0</v>
      </c>
      <c r="T882" s="6"/>
      <c r="U882" s="15" t="n">
        <f aca="false">(S882*R882+0.5*(1-(P882/N882)^2)+(1-(P882/O882)^2)^2)*(O882/P882)^4</f>
        <v>0.210765781531822</v>
      </c>
      <c r="V882" s="14"/>
      <c r="W882" s="14"/>
      <c r="X882" s="10" t="s">
        <v>47</v>
      </c>
      <c r="Y882" s="16" t="n">
        <v>1.55</v>
      </c>
      <c r="Z882" s="17" t="s">
        <v>48</v>
      </c>
      <c r="AA882" s="6" t="s">
        <v>1874</v>
      </c>
      <c r="AB882" s="18" t="n">
        <f aca="false">IF(O882="","",$D$3*PI()*(O882/1000)^2/4*3600)</f>
        <v>22.9741403500662</v>
      </c>
      <c r="AC882" s="19" t="n">
        <f aca="false">IF(OR(U882="",NOT(ISNUMBER(U882))),"",U882*$D$3^2/(2*$H$3))</f>
        <v>0.0241703877903465</v>
      </c>
      <c r="AD882" s="20" t="n">
        <f aca="false">IF(OR(U882="",NOT(ISNUMBER(U882))),"",U882*$D$3^2/2*$F$3)</f>
        <v>237.1115042233</v>
      </c>
      <c r="AE882" s="19" t="str">
        <f aca="false">IF(OR(V882="",NOT(ISNUMBER(V882))),"",V882*$D$3^2/(2*$H$3))</f>
        <v/>
      </c>
      <c r="AF882" s="20" t="str">
        <f aca="false">IF(OR(V882="",NOT(ISNUMBER(V882))),"",V882*$D$3^2/2*$F$3)</f>
        <v/>
      </c>
      <c r="AG882" s="19" t="str">
        <f aca="false">IF(OR(W882="",NOT(ISNUMBER(W882))),"",W882*$D$3^2/(2*$H$3))</f>
        <v/>
      </c>
      <c r="AH882" s="20" t="str">
        <f aca="false">IF(OR(W882="",NOT(ISNUMBER(W882))),"",W882*$D$3^2/2*$F$3)</f>
        <v/>
      </c>
    </row>
    <row r="883" customFormat="false" ht="15" hidden="false" customHeight="false" outlineLevel="0" collapsed="false">
      <c r="A883" s="10" t="s">
        <v>1919</v>
      </c>
      <c r="B883" s="11" t="s">
        <v>41</v>
      </c>
      <c r="C883" s="6" t="s">
        <v>1872</v>
      </c>
      <c r="D883" s="6" t="s">
        <v>1920</v>
      </c>
      <c r="E883" s="6" t="s">
        <v>145</v>
      </c>
      <c r="F883" s="6" t="s">
        <v>107</v>
      </c>
      <c r="G883" s="6" t="n">
        <v>20</v>
      </c>
      <c r="H883" s="6"/>
      <c r="I883" s="6" t="s">
        <v>108</v>
      </c>
      <c r="J883" s="6" t="n">
        <v>16</v>
      </c>
      <c r="K883" s="6" t="s">
        <v>46</v>
      </c>
      <c r="L883" s="6"/>
      <c r="M883" s="6"/>
      <c r="N883" s="12" t="n">
        <v>16</v>
      </c>
      <c r="O883" s="12" t="n">
        <v>16</v>
      </c>
      <c r="P883" s="13" t="n">
        <v>13</v>
      </c>
      <c r="Q883" s="12"/>
      <c r="R883" s="14" t="n">
        <v>0.027</v>
      </c>
      <c r="S883" s="6" t="n">
        <v>0</v>
      </c>
      <c r="T883" s="6"/>
      <c r="U883" s="15" t="n">
        <f aca="false">(S883*R883+0.5*(1-(P883/N883)^2)+(1-(P883/O883)^2)^2)*(O883/P883)^4</f>
        <v>0.654914043625924</v>
      </c>
      <c r="V883" s="14"/>
      <c r="W883" s="14"/>
      <c r="X883" s="10" t="s">
        <v>47</v>
      </c>
      <c r="Y883" s="16" t="n">
        <v>1.28</v>
      </c>
      <c r="Z883" s="17" t="s">
        <v>48</v>
      </c>
      <c r="AA883" s="6" t="s">
        <v>1874</v>
      </c>
      <c r="AB883" s="18" t="n">
        <f aca="false">IF(O883="","",$D$3*PI()*(O883/1000)^2/4*3600)</f>
        <v>1.08573442108063</v>
      </c>
      <c r="AC883" s="19" t="n">
        <f aca="false">IF(OR(U883="",NOT(ISNUMBER(U883))),"",U883*$D$3^2/(2*$H$3))</f>
        <v>0.0751048215167344</v>
      </c>
      <c r="AD883" s="20" t="n">
        <f aca="false">IF(OR(U883="",NOT(ISNUMBER(U883))),"",U883*$D$3^2/2*$F$3)</f>
        <v>736.778299079164</v>
      </c>
      <c r="AE883" s="19" t="str">
        <f aca="false">IF(OR(V883="",NOT(ISNUMBER(V883))),"",V883*$D$3^2/(2*$H$3))</f>
        <v/>
      </c>
      <c r="AF883" s="20" t="str">
        <f aca="false">IF(OR(V883="",NOT(ISNUMBER(V883))),"",V883*$D$3^2/2*$F$3)</f>
        <v/>
      </c>
      <c r="AG883" s="19" t="str">
        <f aca="false">IF(OR(W883="",NOT(ISNUMBER(W883))),"",W883*$D$3^2/(2*$H$3))</f>
        <v/>
      </c>
      <c r="AH883" s="20" t="str">
        <f aca="false">IF(OR(W883="",NOT(ISNUMBER(W883))),"",W883*$D$3^2/2*$F$3)</f>
        <v/>
      </c>
    </row>
    <row r="884" customFormat="false" ht="15" hidden="false" customHeight="false" outlineLevel="0" collapsed="false">
      <c r="A884" s="10" t="s">
        <v>1921</v>
      </c>
      <c r="B884" s="11" t="s">
        <v>41</v>
      </c>
      <c r="C884" s="6" t="s">
        <v>1872</v>
      </c>
      <c r="D884" s="6" t="s">
        <v>1922</v>
      </c>
      <c r="E884" s="6" t="s">
        <v>145</v>
      </c>
      <c r="F884" s="6" t="s">
        <v>107</v>
      </c>
      <c r="G884" s="6" t="n">
        <v>25</v>
      </c>
      <c r="H884" s="6"/>
      <c r="I884" s="6" t="s">
        <v>111</v>
      </c>
      <c r="J884" s="6" t="n">
        <v>16</v>
      </c>
      <c r="K884" s="6" t="s">
        <v>46</v>
      </c>
      <c r="L884" s="6"/>
      <c r="M884" s="6"/>
      <c r="N884" s="12" t="n">
        <v>20.4</v>
      </c>
      <c r="O884" s="12" t="n">
        <v>20.4</v>
      </c>
      <c r="P884" s="13" t="n">
        <v>17</v>
      </c>
      <c r="Q884" s="12"/>
      <c r="R884" s="14" t="n">
        <v>0.025</v>
      </c>
      <c r="S884" s="6" t="n">
        <v>0</v>
      </c>
      <c r="T884" s="6"/>
      <c r="U884" s="15" t="n">
        <f aca="false">(S884*R884+0.5*(1-(P884/N884)^2)+(1-(P884/O884)^2)^2)*(O884/P884)^4</f>
        <v>0.5104</v>
      </c>
      <c r="V884" s="14"/>
      <c r="W884" s="14"/>
      <c r="X884" s="10" t="s">
        <v>47</v>
      </c>
      <c r="Y884" s="16" t="n">
        <v>1.28</v>
      </c>
      <c r="Z884" s="17" t="s">
        <v>48</v>
      </c>
      <c r="AA884" s="6" t="s">
        <v>1874</v>
      </c>
      <c r="AB884" s="18" t="n">
        <f aca="false">IF(O884="","",$D$3*PI()*(O884/1000)^2/4*3600)</f>
        <v>1.7649970182692</v>
      </c>
      <c r="AC884" s="19" t="n">
        <f aca="false">IF(OR(U884="",NOT(ISNUMBER(U884))),"",U884*$D$3^2/(2*$H$3))</f>
        <v>0.0585321100917431</v>
      </c>
      <c r="AD884" s="20" t="n">
        <f aca="false">IF(OR(U884="",NOT(ISNUMBER(U884))),"",U884*$D$3^2/2*$F$3)</f>
        <v>574.2</v>
      </c>
      <c r="AE884" s="19" t="str">
        <f aca="false">IF(OR(V884="",NOT(ISNUMBER(V884))),"",V884*$D$3^2/(2*$H$3))</f>
        <v/>
      </c>
      <c r="AF884" s="20" t="str">
        <f aca="false">IF(OR(V884="",NOT(ISNUMBER(V884))),"",V884*$D$3^2/2*$F$3)</f>
        <v/>
      </c>
      <c r="AG884" s="19" t="str">
        <f aca="false">IF(OR(W884="",NOT(ISNUMBER(W884))),"",W884*$D$3^2/(2*$H$3))</f>
        <v/>
      </c>
      <c r="AH884" s="20" t="str">
        <f aca="false">IF(OR(W884="",NOT(ISNUMBER(W884))),"",W884*$D$3^2/2*$F$3)</f>
        <v/>
      </c>
    </row>
    <row r="885" customFormat="false" ht="15" hidden="false" customHeight="false" outlineLevel="0" collapsed="false">
      <c r="A885" s="10" t="s">
        <v>1923</v>
      </c>
      <c r="B885" s="11" t="s">
        <v>41</v>
      </c>
      <c r="C885" s="6" t="s">
        <v>1872</v>
      </c>
      <c r="D885" s="6" t="s">
        <v>1924</v>
      </c>
      <c r="E885" s="6" t="s">
        <v>145</v>
      </c>
      <c r="F885" s="6" t="s">
        <v>107</v>
      </c>
      <c r="G885" s="6" t="n">
        <v>32</v>
      </c>
      <c r="H885" s="6"/>
      <c r="I885" s="6" t="s">
        <v>118</v>
      </c>
      <c r="J885" s="6" t="n">
        <v>16</v>
      </c>
      <c r="K885" s="6" t="s">
        <v>46</v>
      </c>
      <c r="L885" s="6"/>
      <c r="M885" s="6"/>
      <c r="N885" s="12" t="n">
        <v>26.2</v>
      </c>
      <c r="O885" s="12" t="n">
        <v>26.2</v>
      </c>
      <c r="P885" s="13" t="n">
        <v>22</v>
      </c>
      <c r="Q885" s="12"/>
      <c r="R885" s="14" t="n">
        <v>0.023</v>
      </c>
      <c r="S885" s="6" t="n">
        <v>0</v>
      </c>
      <c r="T885" s="6"/>
      <c r="U885" s="15" t="n">
        <f aca="false">(S885*R885+0.5*(1-(P885/N885)^2)+(1-(P885/O885)^2)^2)*(O885/P885)^4</f>
        <v>0.471549972679462</v>
      </c>
      <c r="V885" s="14"/>
      <c r="W885" s="14"/>
      <c r="X885" s="10" t="s">
        <v>47</v>
      </c>
      <c r="Y885" s="16" t="n">
        <v>1.28</v>
      </c>
      <c r="Z885" s="17" t="s">
        <v>48</v>
      </c>
      <c r="AA885" s="6" t="s">
        <v>1874</v>
      </c>
      <c r="AB885" s="18" t="n">
        <f aca="false">IF(O885="","",$D$3*PI()*(O885/1000)^2/4*3600)</f>
        <v>2.91129506252574</v>
      </c>
      <c r="AC885" s="19" t="n">
        <f aca="false">IF(OR(U885="",NOT(ISNUMBER(U885))),"",U885*$D$3^2/(2*$H$3))</f>
        <v>0.054076831729296</v>
      </c>
      <c r="AD885" s="20" t="n">
        <f aca="false">IF(OR(U885="",NOT(ISNUMBER(U885))),"",U885*$D$3^2/2*$F$3)</f>
        <v>530.493719264394</v>
      </c>
      <c r="AE885" s="19" t="str">
        <f aca="false">IF(OR(V885="",NOT(ISNUMBER(V885))),"",V885*$D$3^2/(2*$H$3))</f>
        <v/>
      </c>
      <c r="AF885" s="20" t="str">
        <f aca="false">IF(OR(V885="",NOT(ISNUMBER(V885))),"",V885*$D$3^2/2*$F$3)</f>
        <v/>
      </c>
      <c r="AG885" s="19" t="str">
        <f aca="false">IF(OR(W885="",NOT(ISNUMBER(W885))),"",W885*$D$3^2/(2*$H$3))</f>
        <v/>
      </c>
      <c r="AH885" s="20" t="str">
        <f aca="false">IF(OR(W885="",NOT(ISNUMBER(W885))),"",W885*$D$3^2/2*$F$3)</f>
        <v/>
      </c>
    </row>
    <row r="886" customFormat="false" ht="15" hidden="false" customHeight="false" outlineLevel="0" collapsed="false">
      <c r="A886" s="10" t="s">
        <v>1925</v>
      </c>
      <c r="B886" s="11" t="s">
        <v>41</v>
      </c>
      <c r="C886" s="6" t="s">
        <v>1872</v>
      </c>
      <c r="D886" s="6" t="s">
        <v>1926</v>
      </c>
      <c r="E886" s="6" t="s">
        <v>145</v>
      </c>
      <c r="F886" s="6" t="s">
        <v>107</v>
      </c>
      <c r="G886" s="6" t="n">
        <v>40</v>
      </c>
      <c r="H886" s="6"/>
      <c r="I886" s="6" t="s">
        <v>127</v>
      </c>
      <c r="J886" s="6" t="n">
        <v>16</v>
      </c>
      <c r="K886" s="6" t="s">
        <v>46</v>
      </c>
      <c r="L886" s="6"/>
      <c r="M886" s="6"/>
      <c r="N886" s="12" t="n">
        <v>32.6</v>
      </c>
      <c r="O886" s="12" t="n">
        <v>32.6</v>
      </c>
      <c r="P886" s="13" t="n">
        <v>28</v>
      </c>
      <c r="Q886" s="12"/>
      <c r="R886" s="14" t="n">
        <v>0.022</v>
      </c>
      <c r="S886" s="6" t="n">
        <v>0</v>
      </c>
      <c r="T886" s="6"/>
      <c r="U886" s="15" t="n">
        <f aca="false">(S886*R886+0.5*(1-(P886/N886)^2)+(1-(P886/O886)^2)^2)*(O886/P886)^4</f>
        <v>0.367416288785923</v>
      </c>
      <c r="V886" s="14"/>
      <c r="W886" s="14"/>
      <c r="X886" s="10" t="s">
        <v>47</v>
      </c>
      <c r="Y886" s="16" t="n">
        <v>1.28</v>
      </c>
      <c r="Z886" s="17" t="s">
        <v>48</v>
      </c>
      <c r="AA886" s="6" t="s">
        <v>1874</v>
      </c>
      <c r="AB886" s="18" t="n">
        <f aca="false">IF(O886="","",$D$3*PI()*(O886/1000)^2/4*3600)</f>
        <v>4.50732466151427</v>
      </c>
      <c r="AC886" s="19" t="n">
        <f aca="false">IF(OR(U886="",NOT(ISNUMBER(U886))),"",U886*$D$3^2/(2*$H$3))</f>
        <v>0.0421348955029728</v>
      </c>
      <c r="AD886" s="20" t="n">
        <f aca="false">IF(OR(U886="",NOT(ISNUMBER(U886))),"",U886*$D$3^2/2*$F$3)</f>
        <v>413.343324884163</v>
      </c>
      <c r="AE886" s="19" t="str">
        <f aca="false">IF(OR(V886="",NOT(ISNUMBER(V886))),"",V886*$D$3^2/(2*$H$3))</f>
        <v/>
      </c>
      <c r="AF886" s="20" t="str">
        <f aca="false">IF(OR(V886="",NOT(ISNUMBER(V886))),"",V886*$D$3^2/2*$F$3)</f>
        <v/>
      </c>
      <c r="AG886" s="19" t="str">
        <f aca="false">IF(OR(W886="",NOT(ISNUMBER(W886))),"",W886*$D$3^2/(2*$H$3))</f>
        <v/>
      </c>
      <c r="AH886" s="20" t="str">
        <f aca="false">IF(OR(W886="",NOT(ISNUMBER(W886))),"",W886*$D$3^2/2*$F$3)</f>
        <v/>
      </c>
    </row>
    <row r="887" customFormat="false" ht="15" hidden="false" customHeight="false" outlineLevel="0" collapsed="false">
      <c r="A887" s="10" t="s">
        <v>1927</v>
      </c>
      <c r="B887" s="11" t="s">
        <v>41</v>
      </c>
      <c r="C887" s="6" t="s">
        <v>1872</v>
      </c>
      <c r="D887" s="6" t="s">
        <v>1928</v>
      </c>
      <c r="E887" s="6" t="s">
        <v>145</v>
      </c>
      <c r="F887" s="6" t="s">
        <v>107</v>
      </c>
      <c r="G887" s="6" t="n">
        <v>50</v>
      </c>
      <c r="H887" s="6"/>
      <c r="I887" s="6" t="s">
        <v>130</v>
      </c>
      <c r="J887" s="6" t="n">
        <v>16</v>
      </c>
      <c r="K887" s="6" t="s">
        <v>46</v>
      </c>
      <c r="L887" s="6"/>
      <c r="M887" s="6"/>
      <c r="N887" s="12" t="n">
        <v>40.8</v>
      </c>
      <c r="O887" s="12" t="n">
        <v>40.8</v>
      </c>
      <c r="P887" s="13" t="n">
        <v>35</v>
      </c>
      <c r="Q887" s="12"/>
      <c r="R887" s="14" t="n">
        <v>0.021</v>
      </c>
      <c r="S887" s="6" t="n">
        <v>0</v>
      </c>
      <c r="T887" s="6"/>
      <c r="U887" s="15" t="n">
        <f aca="false">(S887*R887+0.5*(1-(P887/N887)^2)+(1-(P887/O887)^2)^2)*(O887/P887)^4</f>
        <v>0.372647726380675</v>
      </c>
      <c r="V887" s="14"/>
      <c r="W887" s="14"/>
      <c r="X887" s="10" t="s">
        <v>47</v>
      </c>
      <c r="Y887" s="16" t="n">
        <v>1.28</v>
      </c>
      <c r="Z887" s="17" t="s">
        <v>48</v>
      </c>
      <c r="AA887" s="6" t="s">
        <v>1874</v>
      </c>
      <c r="AB887" s="18" t="n">
        <f aca="false">IF(O887="","",$D$3*PI()*(O887/1000)^2/4*3600)</f>
        <v>7.05998807307681</v>
      </c>
      <c r="AC887" s="19" t="n">
        <f aca="false">IF(OR(U887="",NOT(ISNUMBER(U887))),"",U887*$D$3^2/(2*$H$3))</f>
        <v>0.0427348310069581</v>
      </c>
      <c r="AD887" s="20" t="n">
        <f aca="false">IF(OR(U887="",NOT(ISNUMBER(U887))),"",U887*$D$3^2/2*$F$3)</f>
        <v>419.228692178259</v>
      </c>
      <c r="AE887" s="19" t="str">
        <f aca="false">IF(OR(V887="",NOT(ISNUMBER(V887))),"",V887*$D$3^2/(2*$H$3))</f>
        <v/>
      </c>
      <c r="AF887" s="20" t="str">
        <f aca="false">IF(OR(V887="",NOT(ISNUMBER(V887))),"",V887*$D$3^2/2*$F$3)</f>
        <v/>
      </c>
      <c r="AG887" s="19" t="str">
        <f aca="false">IF(OR(W887="",NOT(ISNUMBER(W887))),"",W887*$D$3^2/(2*$H$3))</f>
        <v/>
      </c>
      <c r="AH887" s="20" t="str">
        <f aca="false">IF(OR(W887="",NOT(ISNUMBER(W887))),"",W887*$D$3^2/2*$F$3)</f>
        <v/>
      </c>
    </row>
    <row r="888" customFormat="false" ht="15" hidden="false" customHeight="false" outlineLevel="0" collapsed="false">
      <c r="A888" s="10" t="s">
        <v>1929</v>
      </c>
      <c r="B888" s="11" t="s">
        <v>41</v>
      </c>
      <c r="C888" s="6" t="s">
        <v>1872</v>
      </c>
      <c r="D888" s="6" t="s">
        <v>1930</v>
      </c>
      <c r="E888" s="6" t="s">
        <v>145</v>
      </c>
      <c r="F888" s="6" t="s">
        <v>107</v>
      </c>
      <c r="G888" s="6" t="n">
        <v>63</v>
      </c>
      <c r="H888" s="6"/>
      <c r="I888" s="6" t="s">
        <v>133</v>
      </c>
      <c r="J888" s="6" t="n">
        <v>16</v>
      </c>
      <c r="K888" s="6" t="s">
        <v>46</v>
      </c>
      <c r="L888" s="6"/>
      <c r="M888" s="6"/>
      <c r="N888" s="12" t="n">
        <v>51.4</v>
      </c>
      <c r="O888" s="12" t="n">
        <v>51.4</v>
      </c>
      <c r="P888" s="13" t="n">
        <v>45</v>
      </c>
      <c r="Q888" s="12"/>
      <c r="R888" s="14" t="n">
        <v>0.019</v>
      </c>
      <c r="S888" s="6" t="n">
        <v>0</v>
      </c>
      <c r="T888" s="6"/>
      <c r="U888" s="15" t="n">
        <f aca="false">(S888*R888+0.5*(1-(P888/N888)^2)+(1-(P888/O888)^2)^2)*(O888/P888)^4</f>
        <v>0.291572982752629</v>
      </c>
      <c r="V888" s="14"/>
      <c r="W888" s="14"/>
      <c r="X888" s="10" t="s">
        <v>47</v>
      </c>
      <c r="Y888" s="16" t="n">
        <v>1.28</v>
      </c>
      <c r="Z888" s="17" t="s">
        <v>48</v>
      </c>
      <c r="AA888" s="6" t="s">
        <v>1874</v>
      </c>
      <c r="AB888" s="18" t="n">
        <f aca="false">IF(O888="","",$D$3*PI()*(O888/1000)^2/4*3600)</f>
        <v>11.2049488715554</v>
      </c>
      <c r="AC888" s="19" t="n">
        <f aca="false">IF(OR(U888="",NOT(ISNUMBER(U888))),"",U888*$D$3^2/(2*$H$3))</f>
        <v>0.0334372686642924</v>
      </c>
      <c r="AD888" s="20" t="n">
        <f aca="false">IF(OR(U888="",NOT(ISNUMBER(U888))),"",U888*$D$3^2/2*$F$3)</f>
        <v>328.019605596708</v>
      </c>
      <c r="AE888" s="19" t="str">
        <f aca="false">IF(OR(V888="",NOT(ISNUMBER(V888))),"",V888*$D$3^2/(2*$H$3))</f>
        <v/>
      </c>
      <c r="AF888" s="20" t="str">
        <f aca="false">IF(OR(V888="",NOT(ISNUMBER(V888))),"",V888*$D$3^2/2*$F$3)</f>
        <v/>
      </c>
      <c r="AG888" s="19" t="str">
        <f aca="false">IF(OR(W888="",NOT(ISNUMBER(W888))),"",W888*$D$3^2/(2*$H$3))</f>
        <v/>
      </c>
      <c r="AH888" s="20" t="str">
        <f aca="false">IF(OR(W888="",NOT(ISNUMBER(W888))),"",W888*$D$3^2/2*$F$3)</f>
        <v/>
      </c>
    </row>
    <row r="889" customFormat="false" ht="15" hidden="false" customHeight="false" outlineLevel="0" collapsed="false">
      <c r="A889" s="10" t="s">
        <v>1931</v>
      </c>
      <c r="B889" s="11" t="s">
        <v>41</v>
      </c>
      <c r="C889" s="6" t="s">
        <v>1872</v>
      </c>
      <c r="D889" s="6" t="s">
        <v>1932</v>
      </c>
      <c r="E889" s="6" t="s">
        <v>145</v>
      </c>
      <c r="F889" s="6" t="s">
        <v>107</v>
      </c>
      <c r="G889" s="6" t="n">
        <v>75</v>
      </c>
      <c r="H889" s="6"/>
      <c r="I889" s="6" t="s">
        <v>136</v>
      </c>
      <c r="J889" s="6" t="n">
        <v>16</v>
      </c>
      <c r="K889" s="6" t="s">
        <v>46</v>
      </c>
      <c r="L889" s="6"/>
      <c r="M889" s="6"/>
      <c r="N889" s="12" t="n">
        <v>61.4</v>
      </c>
      <c r="O889" s="12" t="n">
        <v>61.4</v>
      </c>
      <c r="P889" s="13" t="n">
        <v>54</v>
      </c>
      <c r="Q889" s="12"/>
      <c r="R889" s="14" t="n">
        <v>0.018</v>
      </c>
      <c r="S889" s="6" t="n">
        <v>0</v>
      </c>
      <c r="T889" s="6"/>
      <c r="U889" s="15" t="n">
        <f aca="false">(S889*R889+0.5*(1-(P889/N889)^2)+(1-(P889/O889)^2)^2)*(O889/P889)^4</f>
        <v>0.275071127651047</v>
      </c>
      <c r="V889" s="14"/>
      <c r="W889" s="14"/>
      <c r="X889" s="10" t="s">
        <v>47</v>
      </c>
      <c r="Y889" s="16" t="n">
        <v>1.28</v>
      </c>
      <c r="Z889" s="17" t="s">
        <v>48</v>
      </c>
      <c r="AA889" s="6" t="s">
        <v>1874</v>
      </c>
      <c r="AB889" s="18" t="n">
        <f aca="false">IF(O889="","",$D$3*PI()*(O889/1000)^2/4*3600)</f>
        <v>15.988966164442</v>
      </c>
      <c r="AC889" s="19" t="n">
        <f aca="false">IF(OR(U889="",NOT(ISNUMBER(U889))),"",U889*$D$3^2/(2*$H$3))</f>
        <v>0.0315448540884228</v>
      </c>
      <c r="AD889" s="20" t="n">
        <f aca="false">IF(OR(U889="",NOT(ISNUMBER(U889))),"",U889*$D$3^2/2*$F$3)</f>
        <v>309.455018607428</v>
      </c>
      <c r="AE889" s="19" t="str">
        <f aca="false">IF(OR(V889="",NOT(ISNUMBER(V889))),"",V889*$D$3^2/(2*$H$3))</f>
        <v/>
      </c>
      <c r="AF889" s="20" t="str">
        <f aca="false">IF(OR(V889="",NOT(ISNUMBER(V889))),"",V889*$D$3^2/2*$F$3)</f>
        <v/>
      </c>
      <c r="AG889" s="19" t="str">
        <f aca="false">IF(OR(W889="",NOT(ISNUMBER(W889))),"",W889*$D$3^2/(2*$H$3))</f>
        <v/>
      </c>
      <c r="AH889" s="20" t="str">
        <f aca="false">IF(OR(W889="",NOT(ISNUMBER(W889))),"",W889*$D$3^2/2*$F$3)</f>
        <v/>
      </c>
    </row>
    <row r="890" customFormat="false" ht="15" hidden="false" customHeight="false" outlineLevel="0" collapsed="false">
      <c r="A890" s="10" t="s">
        <v>1933</v>
      </c>
      <c r="B890" s="11" t="s">
        <v>41</v>
      </c>
      <c r="C890" s="6" t="s">
        <v>1872</v>
      </c>
      <c r="D890" s="6" t="s">
        <v>1934</v>
      </c>
      <c r="E890" s="6" t="s">
        <v>145</v>
      </c>
      <c r="F890" s="6" t="s">
        <v>107</v>
      </c>
      <c r="G890" s="6" t="n">
        <v>90</v>
      </c>
      <c r="H890" s="6"/>
      <c r="I890" s="6" t="s">
        <v>139</v>
      </c>
      <c r="J890" s="6" t="n">
        <v>16</v>
      </c>
      <c r="K890" s="6" t="s">
        <v>46</v>
      </c>
      <c r="L890" s="6"/>
      <c r="M890" s="6"/>
      <c r="N890" s="12" t="n">
        <v>73.6</v>
      </c>
      <c r="O890" s="12" t="n">
        <v>73.6</v>
      </c>
      <c r="P890" s="13" t="n">
        <v>66</v>
      </c>
      <c r="Q890" s="12"/>
      <c r="R890" s="14" t="n">
        <v>0.018</v>
      </c>
      <c r="S890" s="6" t="n">
        <v>0</v>
      </c>
      <c r="T890" s="6"/>
      <c r="U890" s="15" t="n">
        <f aca="false">(S890*R890+0.5*(1-(P890/N890)^2)+(1-(P890/O890)^2)^2)*(O890/P890)^4</f>
        <v>0.210765781531822</v>
      </c>
      <c r="V890" s="14"/>
      <c r="W890" s="14"/>
      <c r="X890" s="10" t="s">
        <v>47</v>
      </c>
      <c r="Y890" s="16" t="n">
        <v>1.28</v>
      </c>
      <c r="Z890" s="17" t="s">
        <v>48</v>
      </c>
      <c r="AA890" s="6" t="s">
        <v>1874</v>
      </c>
      <c r="AB890" s="18" t="n">
        <f aca="false">IF(O890="","",$D$3*PI()*(O890/1000)^2/4*3600)</f>
        <v>22.9741403500662</v>
      </c>
      <c r="AC890" s="19" t="n">
        <f aca="false">IF(OR(U890="",NOT(ISNUMBER(U890))),"",U890*$D$3^2/(2*$H$3))</f>
        <v>0.0241703877903465</v>
      </c>
      <c r="AD890" s="20" t="n">
        <f aca="false">IF(OR(U890="",NOT(ISNUMBER(U890))),"",U890*$D$3^2/2*$F$3)</f>
        <v>237.1115042233</v>
      </c>
      <c r="AE890" s="19" t="str">
        <f aca="false">IF(OR(V890="",NOT(ISNUMBER(V890))),"",V890*$D$3^2/(2*$H$3))</f>
        <v/>
      </c>
      <c r="AF890" s="20" t="str">
        <f aca="false">IF(OR(V890="",NOT(ISNUMBER(V890))),"",V890*$D$3^2/2*$F$3)</f>
        <v/>
      </c>
      <c r="AG890" s="19" t="str">
        <f aca="false">IF(OR(W890="",NOT(ISNUMBER(W890))),"",W890*$D$3^2/(2*$H$3))</f>
        <v/>
      </c>
      <c r="AH890" s="20" t="str">
        <f aca="false">IF(OR(W890="",NOT(ISNUMBER(W890))),"",W890*$D$3^2/2*$F$3)</f>
        <v/>
      </c>
    </row>
    <row r="891" customFormat="false" ht="15" hidden="false" customHeight="false" outlineLevel="0" collapsed="false">
      <c r="A891" s="10" t="s">
        <v>1935</v>
      </c>
      <c r="B891" s="11" t="s">
        <v>41</v>
      </c>
      <c r="C891" s="6" t="s">
        <v>1872</v>
      </c>
      <c r="D891" s="6" t="s">
        <v>1936</v>
      </c>
      <c r="E891" s="6" t="s">
        <v>180</v>
      </c>
      <c r="F891" s="6" t="s">
        <v>181</v>
      </c>
      <c r="G891" s="6" t="n">
        <v>20</v>
      </c>
      <c r="H891" s="6"/>
      <c r="I891" s="6"/>
      <c r="J891" s="6" t="n">
        <v>16</v>
      </c>
      <c r="K891" s="6" t="s">
        <v>46</v>
      </c>
      <c r="L891" s="6"/>
      <c r="M891" s="6"/>
      <c r="N891" s="12" t="n">
        <v>16</v>
      </c>
      <c r="O891" s="12" t="n">
        <v>16</v>
      </c>
      <c r="P891" s="13" t="n">
        <v>13</v>
      </c>
      <c r="Q891" s="12"/>
      <c r="R891" s="14" t="n">
        <v>0.027</v>
      </c>
      <c r="S891" s="6" t="n">
        <v>30</v>
      </c>
      <c r="T891" s="6"/>
      <c r="U891" s="15" t="n">
        <f aca="false">(S891*R891+0.5*(1-(P891/N891)^2)+(1-(P891/O891)^2)^2)*(O891/P891)^4</f>
        <v>2.51353804138511</v>
      </c>
      <c r="V891" s="14"/>
      <c r="W891" s="14"/>
      <c r="X891" s="10" t="s">
        <v>47</v>
      </c>
      <c r="Y891" s="16" t="n">
        <v>2.02</v>
      </c>
      <c r="Z891" s="17" t="s">
        <v>48</v>
      </c>
      <c r="AA891" s="6" t="s">
        <v>1874</v>
      </c>
      <c r="AB891" s="18" t="n">
        <f aca="false">IF(O891="","",$D$3*PI()*(O891/1000)^2/4*3600)</f>
        <v>1.08573442108063</v>
      </c>
      <c r="AC891" s="19" t="n">
        <f aca="false">IF(OR(U891="",NOT(ISNUMBER(U891))),"",U891*$D$3^2/(2*$H$3))</f>
        <v>0.2882497753882</v>
      </c>
      <c r="AD891" s="20" t="n">
        <f aca="false">IF(OR(U891="",NOT(ISNUMBER(U891))),"",U891*$D$3^2/2*$F$3)</f>
        <v>2827.73029655824</v>
      </c>
      <c r="AE891" s="19" t="str">
        <f aca="false">IF(OR(V891="",NOT(ISNUMBER(V891))),"",V891*$D$3^2/(2*$H$3))</f>
        <v/>
      </c>
      <c r="AF891" s="20" t="str">
        <f aca="false">IF(OR(V891="",NOT(ISNUMBER(V891))),"",V891*$D$3^2/2*$F$3)</f>
        <v/>
      </c>
      <c r="AG891" s="19" t="str">
        <f aca="false">IF(OR(W891="",NOT(ISNUMBER(W891))),"",W891*$D$3^2/(2*$H$3))</f>
        <v/>
      </c>
      <c r="AH891" s="20" t="str">
        <f aca="false">IF(OR(W891="",NOT(ISNUMBER(W891))),"",W891*$D$3^2/2*$F$3)</f>
        <v/>
      </c>
    </row>
    <row r="892" customFormat="false" ht="15" hidden="false" customHeight="false" outlineLevel="0" collapsed="false">
      <c r="A892" s="10" t="s">
        <v>1937</v>
      </c>
      <c r="B892" s="11" t="s">
        <v>41</v>
      </c>
      <c r="C892" s="6" t="s">
        <v>1872</v>
      </c>
      <c r="D892" s="6" t="s">
        <v>1938</v>
      </c>
      <c r="E892" s="6" t="s">
        <v>180</v>
      </c>
      <c r="F892" s="6" t="s">
        <v>181</v>
      </c>
      <c r="G892" s="6" t="n">
        <v>25</v>
      </c>
      <c r="H892" s="6"/>
      <c r="I892" s="6"/>
      <c r="J892" s="6" t="n">
        <v>16</v>
      </c>
      <c r="K892" s="6" t="s">
        <v>46</v>
      </c>
      <c r="L892" s="6"/>
      <c r="M892" s="6"/>
      <c r="N892" s="12" t="n">
        <v>20.4</v>
      </c>
      <c r="O892" s="12" t="n">
        <v>20.4</v>
      </c>
      <c r="P892" s="13" t="n">
        <v>17</v>
      </c>
      <c r="Q892" s="12"/>
      <c r="R892" s="14" t="n">
        <v>0.025</v>
      </c>
      <c r="S892" s="6" t="n">
        <v>30</v>
      </c>
      <c r="T892" s="6"/>
      <c r="U892" s="15" t="n">
        <f aca="false">(S892*R892+0.5*(1-(P892/N892)^2)+(1-(P892/O892)^2)^2)*(O892/P892)^4</f>
        <v>2.0656</v>
      </c>
      <c r="V892" s="14"/>
      <c r="W892" s="14"/>
      <c r="X892" s="10" t="s">
        <v>47</v>
      </c>
      <c r="Y892" s="16" t="n">
        <v>2.02</v>
      </c>
      <c r="Z892" s="17" t="s">
        <v>48</v>
      </c>
      <c r="AA892" s="6" t="s">
        <v>1874</v>
      </c>
      <c r="AB892" s="18" t="n">
        <f aca="false">IF(O892="","",$D$3*PI()*(O892/1000)^2/4*3600)</f>
        <v>1.7649970182692</v>
      </c>
      <c r="AC892" s="19" t="n">
        <f aca="false">IF(OR(U892="",NOT(ISNUMBER(U892))),"",U892*$D$3^2/(2*$H$3))</f>
        <v>0.236880733944954</v>
      </c>
      <c r="AD892" s="20" t="n">
        <f aca="false">IF(OR(U892="",NOT(ISNUMBER(U892))),"",U892*$D$3^2/2*$F$3)</f>
        <v>2323.8</v>
      </c>
      <c r="AE892" s="19" t="str">
        <f aca="false">IF(OR(V892="",NOT(ISNUMBER(V892))),"",V892*$D$3^2/(2*$H$3))</f>
        <v/>
      </c>
      <c r="AF892" s="20" t="str">
        <f aca="false">IF(OR(V892="",NOT(ISNUMBER(V892))),"",V892*$D$3^2/2*$F$3)</f>
        <v/>
      </c>
      <c r="AG892" s="19" t="str">
        <f aca="false">IF(OR(W892="",NOT(ISNUMBER(W892))),"",W892*$D$3^2/(2*$H$3))</f>
        <v/>
      </c>
      <c r="AH892" s="20" t="str">
        <f aca="false">IF(OR(W892="",NOT(ISNUMBER(W892))),"",W892*$D$3^2/2*$F$3)</f>
        <v/>
      </c>
    </row>
    <row r="893" customFormat="false" ht="15" hidden="false" customHeight="false" outlineLevel="0" collapsed="false">
      <c r="A893" s="10" t="s">
        <v>1939</v>
      </c>
      <c r="B893" s="11" t="s">
        <v>41</v>
      </c>
      <c r="C893" s="6" t="s">
        <v>1872</v>
      </c>
      <c r="D893" s="6" t="s">
        <v>1940</v>
      </c>
      <c r="E893" s="6" t="s">
        <v>180</v>
      </c>
      <c r="F893" s="6" t="s">
        <v>181</v>
      </c>
      <c r="G893" s="6" t="n">
        <v>32</v>
      </c>
      <c r="H893" s="6"/>
      <c r="I893" s="6"/>
      <c r="J893" s="6" t="n">
        <v>16</v>
      </c>
      <c r="K893" s="6" t="s">
        <v>46</v>
      </c>
      <c r="L893" s="6"/>
      <c r="M893" s="6"/>
      <c r="N893" s="12" t="n">
        <v>26.2</v>
      </c>
      <c r="O893" s="12" t="n">
        <v>26.2</v>
      </c>
      <c r="P893" s="13" t="n">
        <v>22</v>
      </c>
      <c r="Q893" s="12"/>
      <c r="R893" s="14" t="n">
        <v>0.023</v>
      </c>
      <c r="S893" s="6" t="n">
        <v>30</v>
      </c>
      <c r="T893" s="6"/>
      <c r="U893" s="15" t="n">
        <f aca="false">(S893*R893+0.5*(1-(P893/N893)^2)+(1-(P893/O893)^2)^2)*(O893/P893)^4</f>
        <v>1.85946709234342</v>
      </c>
      <c r="V893" s="14"/>
      <c r="W893" s="14"/>
      <c r="X893" s="10" t="s">
        <v>47</v>
      </c>
      <c r="Y893" s="16" t="n">
        <v>2.02</v>
      </c>
      <c r="Z893" s="17" t="s">
        <v>48</v>
      </c>
      <c r="AA893" s="6" t="s">
        <v>1874</v>
      </c>
      <c r="AB893" s="18" t="n">
        <f aca="false">IF(O893="","",$D$3*PI()*(O893/1000)^2/4*3600)</f>
        <v>2.91129506252574</v>
      </c>
      <c r="AC893" s="19" t="n">
        <f aca="false">IF(OR(U893="",NOT(ISNUMBER(U893))),"",U893*$D$3^2/(2*$H$3))</f>
        <v>0.213241639030209</v>
      </c>
      <c r="AD893" s="20" t="n">
        <f aca="false">IF(OR(U893="",NOT(ISNUMBER(U893))),"",U893*$D$3^2/2*$F$3)</f>
        <v>2091.90047888635</v>
      </c>
      <c r="AE893" s="19" t="str">
        <f aca="false">IF(OR(V893="",NOT(ISNUMBER(V893))),"",V893*$D$3^2/(2*$H$3))</f>
        <v/>
      </c>
      <c r="AF893" s="20" t="str">
        <f aca="false">IF(OR(V893="",NOT(ISNUMBER(V893))),"",V893*$D$3^2/2*$F$3)</f>
        <v/>
      </c>
      <c r="AG893" s="19" t="str">
        <f aca="false">IF(OR(W893="",NOT(ISNUMBER(W893))),"",W893*$D$3^2/(2*$H$3))</f>
        <v/>
      </c>
      <c r="AH893" s="20" t="str">
        <f aca="false">IF(OR(W893="",NOT(ISNUMBER(W893))),"",W893*$D$3^2/2*$F$3)</f>
        <v/>
      </c>
    </row>
    <row r="894" customFormat="false" ht="15" hidden="false" customHeight="false" outlineLevel="0" collapsed="false">
      <c r="A894" s="10" t="s">
        <v>1941</v>
      </c>
      <c r="B894" s="11" t="s">
        <v>41</v>
      </c>
      <c r="C894" s="6" t="s">
        <v>1872</v>
      </c>
      <c r="D894" s="6" t="s">
        <v>1942</v>
      </c>
      <c r="E894" s="6" t="s">
        <v>180</v>
      </c>
      <c r="F894" s="6" t="s">
        <v>181</v>
      </c>
      <c r="G894" s="6" t="n">
        <v>40</v>
      </c>
      <c r="H894" s="6"/>
      <c r="I894" s="6"/>
      <c r="J894" s="6" t="n">
        <v>16</v>
      </c>
      <c r="K894" s="6" t="s">
        <v>46</v>
      </c>
      <c r="L894" s="6"/>
      <c r="M894" s="6"/>
      <c r="N894" s="12" t="n">
        <v>32.6</v>
      </c>
      <c r="O894" s="12" t="n">
        <v>32.6</v>
      </c>
      <c r="P894" s="13" t="n">
        <v>28</v>
      </c>
      <c r="Q894" s="12"/>
      <c r="R894" s="14" t="n">
        <v>0.022</v>
      </c>
      <c r="S894" s="6" t="n">
        <v>30</v>
      </c>
      <c r="T894" s="6"/>
      <c r="U894" s="15" t="n">
        <f aca="false">(S894*R894+0.5*(1-(P894/N894)^2)+(1-(P894/O894)^2)^2)*(O894/P894)^4</f>
        <v>1.5801968027905</v>
      </c>
      <c r="V894" s="14"/>
      <c r="W894" s="14"/>
      <c r="X894" s="10" t="s">
        <v>47</v>
      </c>
      <c r="Y894" s="16" t="n">
        <v>2.02</v>
      </c>
      <c r="Z894" s="17" t="s">
        <v>48</v>
      </c>
      <c r="AA894" s="6" t="s">
        <v>1874</v>
      </c>
      <c r="AB894" s="18" t="n">
        <f aca="false">IF(O894="","",$D$3*PI()*(O894/1000)^2/4*3600)</f>
        <v>4.50732466151427</v>
      </c>
      <c r="AC894" s="19" t="n">
        <f aca="false">IF(OR(U894="",NOT(ISNUMBER(U894))),"",U894*$D$3^2/(2*$H$3))</f>
        <v>0.18121522967781</v>
      </c>
      <c r="AD894" s="20" t="n">
        <f aca="false">IF(OR(U894="",NOT(ISNUMBER(U894))),"",U894*$D$3^2/2*$F$3)</f>
        <v>1777.72140313932</v>
      </c>
      <c r="AE894" s="19" t="str">
        <f aca="false">IF(OR(V894="",NOT(ISNUMBER(V894))),"",V894*$D$3^2/(2*$H$3))</f>
        <v/>
      </c>
      <c r="AF894" s="20" t="str">
        <f aca="false">IF(OR(V894="",NOT(ISNUMBER(V894))),"",V894*$D$3^2/2*$F$3)</f>
        <v/>
      </c>
      <c r="AG894" s="19" t="str">
        <f aca="false">IF(OR(W894="",NOT(ISNUMBER(W894))),"",W894*$D$3^2/(2*$H$3))</f>
        <v/>
      </c>
      <c r="AH894" s="20" t="str">
        <f aca="false">IF(OR(W894="",NOT(ISNUMBER(W894))),"",W894*$D$3^2/2*$F$3)</f>
        <v/>
      </c>
    </row>
    <row r="895" customFormat="false" ht="15" hidden="false" customHeight="false" outlineLevel="0" collapsed="false">
      <c r="A895" s="10" t="s">
        <v>1943</v>
      </c>
      <c r="B895" s="11" t="s">
        <v>41</v>
      </c>
      <c r="C895" s="6" t="s">
        <v>1872</v>
      </c>
      <c r="D895" s="6" t="s">
        <v>1944</v>
      </c>
      <c r="E895" s="6" t="s">
        <v>180</v>
      </c>
      <c r="F895" s="6" t="s">
        <v>181</v>
      </c>
      <c r="G895" s="6" t="n">
        <v>50</v>
      </c>
      <c r="H895" s="6"/>
      <c r="I895" s="6"/>
      <c r="J895" s="6" t="n">
        <v>16</v>
      </c>
      <c r="K895" s="6" t="s">
        <v>46</v>
      </c>
      <c r="L895" s="6"/>
      <c r="M895" s="6"/>
      <c r="N895" s="12" t="n">
        <v>40.8</v>
      </c>
      <c r="O895" s="12" t="n">
        <v>40.8</v>
      </c>
      <c r="P895" s="13" t="n">
        <v>35</v>
      </c>
      <c r="Q895" s="12"/>
      <c r="R895" s="14" t="n">
        <v>0.021</v>
      </c>
      <c r="S895" s="6" t="n">
        <v>30</v>
      </c>
      <c r="T895" s="6"/>
      <c r="U895" s="15" t="n">
        <f aca="false">(S895*R895+0.5*(1-(P895/N895)^2)+(1-(P895/O895)^2)^2)*(O895/P895)^4</f>
        <v>1.53599405717484</v>
      </c>
      <c r="V895" s="14"/>
      <c r="W895" s="14"/>
      <c r="X895" s="10" t="s">
        <v>47</v>
      </c>
      <c r="Y895" s="16" t="n">
        <v>2.02</v>
      </c>
      <c r="Z895" s="17" t="s">
        <v>48</v>
      </c>
      <c r="AA895" s="6" t="s">
        <v>1874</v>
      </c>
      <c r="AB895" s="18" t="n">
        <f aca="false">IF(O895="","",$D$3*PI()*(O895/1000)^2/4*3600)</f>
        <v>7.05998807307681</v>
      </c>
      <c r="AC895" s="19" t="n">
        <f aca="false">IF(OR(U895="",NOT(ISNUMBER(U895))),"",U895*$D$3^2/(2*$H$3))</f>
        <v>0.176146107474179</v>
      </c>
      <c r="AD895" s="20" t="n">
        <f aca="false">IF(OR(U895="",NOT(ISNUMBER(U895))),"",U895*$D$3^2/2*$F$3)</f>
        <v>1727.9933143217</v>
      </c>
      <c r="AE895" s="19" t="str">
        <f aca="false">IF(OR(V895="",NOT(ISNUMBER(V895))),"",V895*$D$3^2/(2*$H$3))</f>
        <v/>
      </c>
      <c r="AF895" s="20" t="str">
        <f aca="false">IF(OR(V895="",NOT(ISNUMBER(V895))),"",V895*$D$3^2/2*$F$3)</f>
        <v/>
      </c>
      <c r="AG895" s="19" t="str">
        <f aca="false">IF(OR(W895="",NOT(ISNUMBER(W895))),"",W895*$D$3^2/(2*$H$3))</f>
        <v/>
      </c>
      <c r="AH895" s="20" t="str">
        <f aca="false">IF(OR(W895="",NOT(ISNUMBER(W895))),"",W895*$D$3^2/2*$F$3)</f>
        <v/>
      </c>
    </row>
    <row r="896" customFormat="false" ht="15" hidden="false" customHeight="false" outlineLevel="0" collapsed="false">
      <c r="A896" s="10" t="s">
        <v>1945</v>
      </c>
      <c r="B896" s="11" t="s">
        <v>41</v>
      </c>
      <c r="C896" s="6" t="s">
        <v>1872</v>
      </c>
      <c r="D896" s="6" t="s">
        <v>1946</v>
      </c>
      <c r="E896" s="6" t="s">
        <v>180</v>
      </c>
      <c r="F896" s="6" t="s">
        <v>181</v>
      </c>
      <c r="G896" s="6" t="n">
        <v>63</v>
      </c>
      <c r="H896" s="6"/>
      <c r="I896" s="6"/>
      <c r="J896" s="6" t="n">
        <v>16</v>
      </c>
      <c r="K896" s="6" t="s">
        <v>46</v>
      </c>
      <c r="L896" s="6"/>
      <c r="M896" s="6"/>
      <c r="N896" s="12" t="n">
        <v>51.4</v>
      </c>
      <c r="O896" s="12" t="n">
        <v>51.4</v>
      </c>
      <c r="P896" s="13" t="n">
        <v>45</v>
      </c>
      <c r="Q896" s="12"/>
      <c r="R896" s="14" t="n">
        <v>0.019</v>
      </c>
      <c r="S896" s="6" t="n">
        <v>30</v>
      </c>
      <c r="T896" s="6"/>
      <c r="U896" s="15" t="n">
        <f aca="false">(S896*R896+0.5*(1-(P896/N896)^2)+(1-(P896/O896)^2)^2)*(O896/P896)^4</f>
        <v>1.26180874088999</v>
      </c>
      <c r="V896" s="14"/>
      <c r="W896" s="14"/>
      <c r="X896" s="10" t="s">
        <v>47</v>
      </c>
      <c r="Y896" s="16" t="n">
        <v>2.02</v>
      </c>
      <c r="Z896" s="17" t="s">
        <v>48</v>
      </c>
      <c r="AA896" s="6" t="s">
        <v>1874</v>
      </c>
      <c r="AB896" s="18" t="n">
        <f aca="false">IF(O896="","",$D$3*PI()*(O896/1000)^2/4*3600)</f>
        <v>11.2049488715554</v>
      </c>
      <c r="AC896" s="19" t="n">
        <f aca="false">IF(OR(U896="",NOT(ISNUMBER(U896))),"",U896*$D$3^2/(2*$H$3))</f>
        <v>0.144702837258026</v>
      </c>
      <c r="AD896" s="20" t="n">
        <f aca="false">IF(OR(U896="",NOT(ISNUMBER(U896))),"",U896*$D$3^2/2*$F$3)</f>
        <v>1419.53483350123</v>
      </c>
      <c r="AE896" s="19" t="str">
        <f aca="false">IF(OR(V896="",NOT(ISNUMBER(V896))),"",V896*$D$3^2/(2*$H$3))</f>
        <v/>
      </c>
      <c r="AF896" s="20" t="str">
        <f aca="false">IF(OR(V896="",NOT(ISNUMBER(V896))),"",V896*$D$3^2/2*$F$3)</f>
        <v/>
      </c>
      <c r="AG896" s="19" t="str">
        <f aca="false">IF(OR(W896="",NOT(ISNUMBER(W896))),"",W896*$D$3^2/(2*$H$3))</f>
        <v/>
      </c>
      <c r="AH896" s="20" t="str">
        <f aca="false">IF(OR(W896="",NOT(ISNUMBER(W896))),"",W896*$D$3^2/2*$F$3)</f>
        <v/>
      </c>
    </row>
    <row r="897" customFormat="false" ht="15" hidden="false" customHeight="false" outlineLevel="0" collapsed="false">
      <c r="A897" s="10" t="s">
        <v>1947</v>
      </c>
      <c r="B897" s="11" t="s">
        <v>41</v>
      </c>
      <c r="C897" s="6" t="s">
        <v>1872</v>
      </c>
      <c r="D897" s="6" t="s">
        <v>1948</v>
      </c>
      <c r="E897" s="6" t="s">
        <v>180</v>
      </c>
      <c r="F897" s="6" t="s">
        <v>181</v>
      </c>
      <c r="G897" s="6" t="n">
        <v>75</v>
      </c>
      <c r="H897" s="6"/>
      <c r="I897" s="6"/>
      <c r="J897" s="6" t="n">
        <v>16</v>
      </c>
      <c r="K897" s="6" t="s">
        <v>46</v>
      </c>
      <c r="L897" s="6"/>
      <c r="M897" s="6"/>
      <c r="N897" s="12" t="n">
        <v>61.4</v>
      </c>
      <c r="O897" s="12" t="n">
        <v>61.4</v>
      </c>
      <c r="P897" s="13" t="n">
        <v>54</v>
      </c>
      <c r="Q897" s="12"/>
      <c r="R897" s="14" t="n">
        <v>0.018</v>
      </c>
      <c r="S897" s="6" t="n">
        <v>30</v>
      </c>
      <c r="T897" s="6"/>
      <c r="U897" s="15" t="n">
        <f aca="false">(S897*R897+0.5*(1-(P897/N897)^2)+(1-(P897/O897)^2)^2)*(O897/P897)^4</f>
        <v>1.17766463483999</v>
      </c>
      <c r="V897" s="14"/>
      <c r="W897" s="14"/>
      <c r="X897" s="10" t="s">
        <v>47</v>
      </c>
      <c r="Y897" s="16" t="n">
        <v>2.02</v>
      </c>
      <c r="Z897" s="17" t="s">
        <v>48</v>
      </c>
      <c r="AA897" s="6" t="s">
        <v>1874</v>
      </c>
      <c r="AB897" s="18" t="n">
        <f aca="false">IF(O897="","",$D$3*PI()*(O897/1000)^2/4*3600)</f>
        <v>15.988966164442</v>
      </c>
      <c r="AC897" s="19" t="n">
        <f aca="false">IF(OR(U897="",NOT(ISNUMBER(U897))),"",U897*$D$3^2/(2*$H$3))</f>
        <v>0.135053283811926</v>
      </c>
      <c r="AD897" s="20" t="n">
        <f aca="false">IF(OR(U897="",NOT(ISNUMBER(U897))),"",U897*$D$3^2/2*$F$3)</f>
        <v>1324.87271419499</v>
      </c>
      <c r="AE897" s="19" t="str">
        <f aca="false">IF(OR(V897="",NOT(ISNUMBER(V897))),"",V897*$D$3^2/(2*$H$3))</f>
        <v/>
      </c>
      <c r="AF897" s="20" t="str">
        <f aca="false">IF(OR(V897="",NOT(ISNUMBER(V897))),"",V897*$D$3^2/2*$F$3)</f>
        <v/>
      </c>
      <c r="AG897" s="19" t="str">
        <f aca="false">IF(OR(W897="",NOT(ISNUMBER(W897))),"",W897*$D$3^2/(2*$H$3))</f>
        <v/>
      </c>
      <c r="AH897" s="20" t="str">
        <f aca="false">IF(OR(W897="",NOT(ISNUMBER(W897))),"",W897*$D$3^2/2*$F$3)</f>
        <v/>
      </c>
    </row>
    <row r="898" customFormat="false" ht="15" hidden="false" customHeight="false" outlineLevel="0" collapsed="false">
      <c r="A898" s="10" t="s">
        <v>1949</v>
      </c>
      <c r="B898" s="11" t="s">
        <v>41</v>
      </c>
      <c r="C898" s="6" t="s">
        <v>1872</v>
      </c>
      <c r="D898" s="6" t="s">
        <v>1950</v>
      </c>
      <c r="E898" s="6" t="s">
        <v>180</v>
      </c>
      <c r="F898" s="6" t="s">
        <v>181</v>
      </c>
      <c r="G898" s="6" t="n">
        <v>90</v>
      </c>
      <c r="H898" s="6"/>
      <c r="I898" s="6"/>
      <c r="J898" s="6" t="n">
        <v>16</v>
      </c>
      <c r="K898" s="6" t="s">
        <v>46</v>
      </c>
      <c r="L898" s="6"/>
      <c r="M898" s="6"/>
      <c r="N898" s="12" t="n">
        <v>73.6</v>
      </c>
      <c r="O898" s="12" t="n">
        <v>73.6</v>
      </c>
      <c r="P898" s="13" t="n">
        <v>66</v>
      </c>
      <c r="Q898" s="12"/>
      <c r="R898" s="14" t="n">
        <v>0.018</v>
      </c>
      <c r="S898" s="6" t="n">
        <v>30</v>
      </c>
      <c r="T898" s="6"/>
      <c r="U898" s="15" t="n">
        <f aca="false">(S898*R898+0.5*(1-(P898/N898)^2)+(1-(P898/O898)^2)^2)*(O898/P898)^4</f>
        <v>1.04584807445353</v>
      </c>
      <c r="V898" s="14"/>
      <c r="W898" s="14"/>
      <c r="X898" s="10" t="s">
        <v>47</v>
      </c>
      <c r="Y898" s="16" t="n">
        <v>2.02</v>
      </c>
      <c r="Z898" s="17" t="s">
        <v>48</v>
      </c>
      <c r="AA898" s="6" t="s">
        <v>1874</v>
      </c>
      <c r="AB898" s="18" t="n">
        <f aca="false">IF(O898="","",$D$3*PI()*(O898/1000)^2/4*3600)</f>
        <v>22.9741403500662</v>
      </c>
      <c r="AC898" s="19" t="n">
        <f aca="false">IF(OR(U898="",NOT(ISNUMBER(U898))),"",U898*$D$3^2/(2*$H$3))</f>
        <v>0.119936705785955</v>
      </c>
      <c r="AD898" s="20" t="n">
        <f aca="false">IF(OR(U898="",NOT(ISNUMBER(U898))),"",U898*$D$3^2/2*$F$3)</f>
        <v>1176.57908376022</v>
      </c>
      <c r="AE898" s="19" t="str">
        <f aca="false">IF(OR(V898="",NOT(ISNUMBER(V898))),"",V898*$D$3^2/(2*$H$3))</f>
        <v/>
      </c>
      <c r="AF898" s="20" t="str">
        <f aca="false">IF(OR(V898="",NOT(ISNUMBER(V898))),"",V898*$D$3^2/2*$F$3)</f>
        <v/>
      </c>
      <c r="AG898" s="19" t="str">
        <f aca="false">IF(OR(W898="",NOT(ISNUMBER(W898))),"",W898*$D$3^2/(2*$H$3))</f>
        <v/>
      </c>
      <c r="AH898" s="20" t="str">
        <f aca="false">IF(OR(W898="",NOT(ISNUMBER(W898))),"",W898*$D$3^2/2*$F$3)</f>
        <v/>
      </c>
    </row>
    <row r="899" customFormat="false" ht="15" hidden="false" customHeight="false" outlineLevel="0" collapsed="false">
      <c r="A899" s="10" t="s">
        <v>1951</v>
      </c>
      <c r="B899" s="11" t="s">
        <v>41</v>
      </c>
      <c r="C899" s="6" t="s">
        <v>1872</v>
      </c>
      <c r="D899" s="6" t="s">
        <v>1952</v>
      </c>
      <c r="E899" s="6" t="s">
        <v>221</v>
      </c>
      <c r="F899" s="6" t="s">
        <v>181</v>
      </c>
      <c r="G899" s="6" t="n">
        <v>20</v>
      </c>
      <c r="H899" s="6"/>
      <c r="I899" s="6" t="s">
        <v>108</v>
      </c>
      <c r="J899" s="6" t="n">
        <v>16</v>
      </c>
      <c r="K899" s="6" t="s">
        <v>46</v>
      </c>
      <c r="L899" s="6"/>
      <c r="M899" s="6"/>
      <c r="N899" s="12" t="n">
        <v>16</v>
      </c>
      <c r="O899" s="12" t="n">
        <v>16</v>
      </c>
      <c r="P899" s="13" t="n">
        <v>13</v>
      </c>
      <c r="Q899" s="12"/>
      <c r="R899" s="14" t="n">
        <v>0.027</v>
      </c>
      <c r="S899" s="6" t="n">
        <v>30</v>
      </c>
      <c r="T899" s="6"/>
      <c r="U899" s="15" t="n">
        <f aca="false">(S899*R899+0.5*(1-(P899/N899)^2)+(1-(P899/O899)^2)^2)*(O899/P899)^4</f>
        <v>2.51353804138511</v>
      </c>
      <c r="V899" s="14"/>
      <c r="W899" s="14"/>
      <c r="X899" s="10" t="s">
        <v>47</v>
      </c>
      <c r="Y899" s="16" t="n">
        <v>2</v>
      </c>
      <c r="Z899" s="17" t="s">
        <v>48</v>
      </c>
      <c r="AA899" s="6" t="s">
        <v>1874</v>
      </c>
      <c r="AB899" s="18" t="n">
        <f aca="false">IF(O899="","",$D$3*PI()*(O899/1000)^2/4*3600)</f>
        <v>1.08573442108063</v>
      </c>
      <c r="AC899" s="19" t="n">
        <f aca="false">IF(OR(U899="",NOT(ISNUMBER(U899))),"",U899*$D$3^2/(2*$H$3))</f>
        <v>0.2882497753882</v>
      </c>
      <c r="AD899" s="20" t="n">
        <f aca="false">IF(OR(U899="",NOT(ISNUMBER(U899))),"",U899*$D$3^2/2*$F$3)</f>
        <v>2827.73029655824</v>
      </c>
      <c r="AE899" s="19" t="str">
        <f aca="false">IF(OR(V899="",NOT(ISNUMBER(V899))),"",V899*$D$3^2/(2*$H$3))</f>
        <v/>
      </c>
      <c r="AF899" s="20" t="str">
        <f aca="false">IF(OR(V899="",NOT(ISNUMBER(V899))),"",V899*$D$3^2/2*$F$3)</f>
        <v/>
      </c>
      <c r="AG899" s="19" t="str">
        <f aca="false">IF(OR(W899="",NOT(ISNUMBER(W899))),"",W899*$D$3^2/(2*$H$3))</f>
        <v/>
      </c>
      <c r="AH899" s="20" t="str">
        <f aca="false">IF(OR(W899="",NOT(ISNUMBER(W899))),"",W899*$D$3^2/2*$F$3)</f>
        <v/>
      </c>
    </row>
    <row r="900" customFormat="false" ht="15" hidden="false" customHeight="false" outlineLevel="0" collapsed="false">
      <c r="A900" s="10" t="s">
        <v>1953</v>
      </c>
      <c r="B900" s="11" t="s">
        <v>41</v>
      </c>
      <c r="C900" s="6" t="s">
        <v>1872</v>
      </c>
      <c r="D900" s="6" t="s">
        <v>1954</v>
      </c>
      <c r="E900" s="6" t="s">
        <v>221</v>
      </c>
      <c r="F900" s="6" t="s">
        <v>181</v>
      </c>
      <c r="G900" s="6" t="n">
        <v>25</v>
      </c>
      <c r="H900" s="6"/>
      <c r="I900" s="6" t="s">
        <v>111</v>
      </c>
      <c r="J900" s="6" t="n">
        <v>16</v>
      </c>
      <c r="K900" s="6" t="s">
        <v>46</v>
      </c>
      <c r="L900" s="6"/>
      <c r="M900" s="6"/>
      <c r="N900" s="12" t="n">
        <v>20.4</v>
      </c>
      <c r="O900" s="12" t="n">
        <v>20.4</v>
      </c>
      <c r="P900" s="13" t="n">
        <v>17</v>
      </c>
      <c r="Q900" s="12"/>
      <c r="R900" s="14" t="n">
        <v>0.025</v>
      </c>
      <c r="S900" s="6" t="n">
        <v>30</v>
      </c>
      <c r="T900" s="6"/>
      <c r="U900" s="15" t="n">
        <f aca="false">(S900*R900+0.5*(1-(P900/N900)^2)+(1-(P900/O900)^2)^2)*(O900/P900)^4</f>
        <v>2.0656</v>
      </c>
      <c r="V900" s="14"/>
      <c r="W900" s="14"/>
      <c r="X900" s="10" t="s">
        <v>47</v>
      </c>
      <c r="Y900" s="16" t="n">
        <v>2</v>
      </c>
      <c r="Z900" s="17" t="s">
        <v>48</v>
      </c>
      <c r="AA900" s="6" t="s">
        <v>1874</v>
      </c>
      <c r="AB900" s="18" t="n">
        <f aca="false">IF(O900="","",$D$3*PI()*(O900/1000)^2/4*3600)</f>
        <v>1.7649970182692</v>
      </c>
      <c r="AC900" s="19" t="n">
        <f aca="false">IF(OR(U900="",NOT(ISNUMBER(U900))),"",U900*$D$3^2/(2*$H$3))</f>
        <v>0.236880733944954</v>
      </c>
      <c r="AD900" s="20" t="n">
        <f aca="false">IF(OR(U900="",NOT(ISNUMBER(U900))),"",U900*$D$3^2/2*$F$3)</f>
        <v>2323.8</v>
      </c>
      <c r="AE900" s="19" t="str">
        <f aca="false">IF(OR(V900="",NOT(ISNUMBER(V900))),"",V900*$D$3^2/(2*$H$3))</f>
        <v/>
      </c>
      <c r="AF900" s="20" t="str">
        <f aca="false">IF(OR(V900="",NOT(ISNUMBER(V900))),"",V900*$D$3^2/2*$F$3)</f>
        <v/>
      </c>
      <c r="AG900" s="19" t="str">
        <f aca="false">IF(OR(W900="",NOT(ISNUMBER(W900))),"",W900*$D$3^2/(2*$H$3))</f>
        <v/>
      </c>
      <c r="AH900" s="20" t="str">
        <f aca="false">IF(OR(W900="",NOT(ISNUMBER(W900))),"",W900*$D$3^2/2*$F$3)</f>
        <v/>
      </c>
    </row>
    <row r="901" customFormat="false" ht="15" hidden="false" customHeight="false" outlineLevel="0" collapsed="false">
      <c r="A901" s="10" t="s">
        <v>1955</v>
      </c>
      <c r="B901" s="11" t="s">
        <v>41</v>
      </c>
      <c r="C901" s="6" t="s">
        <v>1872</v>
      </c>
      <c r="D901" s="6" t="s">
        <v>1956</v>
      </c>
      <c r="E901" s="6" t="s">
        <v>221</v>
      </c>
      <c r="F901" s="6" t="s">
        <v>181</v>
      </c>
      <c r="G901" s="6" t="n">
        <v>32</v>
      </c>
      <c r="H901" s="6"/>
      <c r="I901" s="6" t="s">
        <v>118</v>
      </c>
      <c r="J901" s="6" t="n">
        <v>16</v>
      </c>
      <c r="K901" s="6" t="s">
        <v>46</v>
      </c>
      <c r="L901" s="6"/>
      <c r="M901" s="6"/>
      <c r="N901" s="12" t="n">
        <v>26.2</v>
      </c>
      <c r="O901" s="12" t="n">
        <v>26.2</v>
      </c>
      <c r="P901" s="13" t="n">
        <v>22</v>
      </c>
      <c r="Q901" s="12"/>
      <c r="R901" s="14" t="n">
        <v>0.023</v>
      </c>
      <c r="S901" s="6" t="n">
        <v>30</v>
      </c>
      <c r="T901" s="6"/>
      <c r="U901" s="15" t="n">
        <f aca="false">(S901*R901+0.5*(1-(P901/N901)^2)+(1-(P901/O901)^2)^2)*(O901/P901)^4</f>
        <v>1.85946709234342</v>
      </c>
      <c r="V901" s="14"/>
      <c r="W901" s="14"/>
      <c r="X901" s="10" t="s">
        <v>47</v>
      </c>
      <c r="Y901" s="16" t="n">
        <v>2</v>
      </c>
      <c r="Z901" s="17" t="s">
        <v>48</v>
      </c>
      <c r="AA901" s="6" t="s">
        <v>1874</v>
      </c>
      <c r="AB901" s="18" t="n">
        <f aca="false">IF(O901="","",$D$3*PI()*(O901/1000)^2/4*3600)</f>
        <v>2.91129506252574</v>
      </c>
      <c r="AC901" s="19" t="n">
        <f aca="false">IF(OR(U901="",NOT(ISNUMBER(U901))),"",U901*$D$3^2/(2*$H$3))</f>
        <v>0.213241639030209</v>
      </c>
      <c r="AD901" s="20" t="n">
        <f aca="false">IF(OR(U901="",NOT(ISNUMBER(U901))),"",U901*$D$3^2/2*$F$3)</f>
        <v>2091.90047888635</v>
      </c>
      <c r="AE901" s="19" t="str">
        <f aca="false">IF(OR(V901="",NOT(ISNUMBER(V901))),"",V901*$D$3^2/(2*$H$3))</f>
        <v/>
      </c>
      <c r="AF901" s="20" t="str">
        <f aca="false">IF(OR(V901="",NOT(ISNUMBER(V901))),"",V901*$D$3^2/2*$F$3)</f>
        <v/>
      </c>
      <c r="AG901" s="19" t="str">
        <f aca="false">IF(OR(W901="",NOT(ISNUMBER(W901))),"",W901*$D$3^2/(2*$H$3))</f>
        <v/>
      </c>
      <c r="AH901" s="20" t="str">
        <f aca="false">IF(OR(W901="",NOT(ISNUMBER(W901))),"",W901*$D$3^2/2*$F$3)</f>
        <v/>
      </c>
    </row>
    <row r="902" customFormat="false" ht="15" hidden="false" customHeight="false" outlineLevel="0" collapsed="false">
      <c r="A902" s="10" t="s">
        <v>1957</v>
      </c>
      <c r="B902" s="11" t="s">
        <v>41</v>
      </c>
      <c r="C902" s="6" t="s">
        <v>1872</v>
      </c>
      <c r="D902" s="6" t="s">
        <v>1958</v>
      </c>
      <c r="E902" s="6" t="s">
        <v>221</v>
      </c>
      <c r="F902" s="6" t="s">
        <v>181</v>
      </c>
      <c r="G902" s="6" t="n">
        <v>40</v>
      </c>
      <c r="H902" s="6"/>
      <c r="I902" s="6" t="s">
        <v>127</v>
      </c>
      <c r="J902" s="6" t="n">
        <v>16</v>
      </c>
      <c r="K902" s="6" t="s">
        <v>46</v>
      </c>
      <c r="L902" s="6"/>
      <c r="M902" s="6"/>
      <c r="N902" s="12" t="n">
        <v>32.6</v>
      </c>
      <c r="O902" s="12" t="n">
        <v>32.6</v>
      </c>
      <c r="P902" s="13" t="n">
        <v>28</v>
      </c>
      <c r="Q902" s="12"/>
      <c r="R902" s="14" t="n">
        <v>0.022</v>
      </c>
      <c r="S902" s="6" t="n">
        <v>30</v>
      </c>
      <c r="T902" s="6"/>
      <c r="U902" s="15" t="n">
        <f aca="false">(S902*R902+0.5*(1-(P902/N902)^2)+(1-(P902/O902)^2)^2)*(O902/P902)^4</f>
        <v>1.5801968027905</v>
      </c>
      <c r="V902" s="14"/>
      <c r="W902" s="14"/>
      <c r="X902" s="10" t="s">
        <v>47</v>
      </c>
      <c r="Y902" s="16" t="n">
        <v>2</v>
      </c>
      <c r="Z902" s="17" t="s">
        <v>48</v>
      </c>
      <c r="AA902" s="6" t="s">
        <v>1874</v>
      </c>
      <c r="AB902" s="18" t="n">
        <f aca="false">IF(O902="","",$D$3*PI()*(O902/1000)^2/4*3600)</f>
        <v>4.50732466151427</v>
      </c>
      <c r="AC902" s="19" t="n">
        <f aca="false">IF(OR(U902="",NOT(ISNUMBER(U902))),"",U902*$D$3^2/(2*$H$3))</f>
        <v>0.18121522967781</v>
      </c>
      <c r="AD902" s="20" t="n">
        <f aca="false">IF(OR(U902="",NOT(ISNUMBER(U902))),"",U902*$D$3^2/2*$F$3)</f>
        <v>1777.72140313932</v>
      </c>
      <c r="AE902" s="19" t="str">
        <f aca="false">IF(OR(V902="",NOT(ISNUMBER(V902))),"",V902*$D$3^2/(2*$H$3))</f>
        <v/>
      </c>
      <c r="AF902" s="20" t="str">
        <f aca="false">IF(OR(V902="",NOT(ISNUMBER(V902))),"",V902*$D$3^2/2*$F$3)</f>
        <v/>
      </c>
      <c r="AG902" s="19" t="str">
        <f aca="false">IF(OR(W902="",NOT(ISNUMBER(W902))),"",W902*$D$3^2/(2*$H$3))</f>
        <v/>
      </c>
      <c r="AH902" s="20" t="str">
        <f aca="false">IF(OR(W902="",NOT(ISNUMBER(W902))),"",W902*$D$3^2/2*$F$3)</f>
        <v/>
      </c>
    </row>
    <row r="903" customFormat="false" ht="15" hidden="false" customHeight="false" outlineLevel="0" collapsed="false">
      <c r="A903" s="10" t="s">
        <v>1959</v>
      </c>
      <c r="B903" s="11" t="s">
        <v>41</v>
      </c>
      <c r="C903" s="6" t="s">
        <v>1872</v>
      </c>
      <c r="D903" s="6" t="s">
        <v>1960</v>
      </c>
      <c r="E903" s="6" t="s">
        <v>221</v>
      </c>
      <c r="F903" s="6" t="s">
        <v>181</v>
      </c>
      <c r="G903" s="6" t="n">
        <v>50</v>
      </c>
      <c r="H903" s="6"/>
      <c r="I903" s="6" t="s">
        <v>130</v>
      </c>
      <c r="J903" s="6" t="n">
        <v>16</v>
      </c>
      <c r="K903" s="6" t="s">
        <v>46</v>
      </c>
      <c r="L903" s="6"/>
      <c r="M903" s="6"/>
      <c r="N903" s="12" t="n">
        <v>40.8</v>
      </c>
      <c r="O903" s="12" t="n">
        <v>40.8</v>
      </c>
      <c r="P903" s="13" t="n">
        <v>35</v>
      </c>
      <c r="Q903" s="12"/>
      <c r="R903" s="14" t="n">
        <v>0.021</v>
      </c>
      <c r="S903" s="6" t="n">
        <v>30</v>
      </c>
      <c r="T903" s="6"/>
      <c r="U903" s="15" t="n">
        <f aca="false">(S903*R903+0.5*(1-(P903/N903)^2)+(1-(P903/O903)^2)^2)*(O903/P903)^4</f>
        <v>1.53599405717484</v>
      </c>
      <c r="V903" s="14"/>
      <c r="W903" s="14"/>
      <c r="X903" s="10" t="s">
        <v>47</v>
      </c>
      <c r="Y903" s="16" t="n">
        <v>2</v>
      </c>
      <c r="Z903" s="17" t="s">
        <v>48</v>
      </c>
      <c r="AA903" s="6" t="s">
        <v>1874</v>
      </c>
      <c r="AB903" s="18" t="n">
        <f aca="false">IF(O903="","",$D$3*PI()*(O903/1000)^2/4*3600)</f>
        <v>7.05998807307681</v>
      </c>
      <c r="AC903" s="19" t="n">
        <f aca="false">IF(OR(U903="",NOT(ISNUMBER(U903))),"",U903*$D$3^2/(2*$H$3))</f>
        <v>0.176146107474179</v>
      </c>
      <c r="AD903" s="20" t="n">
        <f aca="false">IF(OR(U903="",NOT(ISNUMBER(U903))),"",U903*$D$3^2/2*$F$3)</f>
        <v>1727.9933143217</v>
      </c>
      <c r="AE903" s="19" t="str">
        <f aca="false">IF(OR(V903="",NOT(ISNUMBER(V903))),"",V903*$D$3^2/(2*$H$3))</f>
        <v/>
      </c>
      <c r="AF903" s="20" t="str">
        <f aca="false">IF(OR(V903="",NOT(ISNUMBER(V903))),"",V903*$D$3^2/2*$F$3)</f>
        <v/>
      </c>
      <c r="AG903" s="19" t="str">
        <f aca="false">IF(OR(W903="",NOT(ISNUMBER(W903))),"",W903*$D$3^2/(2*$H$3))</f>
        <v/>
      </c>
      <c r="AH903" s="20" t="str">
        <f aca="false">IF(OR(W903="",NOT(ISNUMBER(W903))),"",W903*$D$3^2/2*$F$3)</f>
        <v/>
      </c>
    </row>
    <row r="904" customFormat="false" ht="15" hidden="false" customHeight="false" outlineLevel="0" collapsed="false">
      <c r="A904" s="10" t="s">
        <v>1961</v>
      </c>
      <c r="B904" s="11" t="s">
        <v>41</v>
      </c>
      <c r="C904" s="6" t="s">
        <v>1872</v>
      </c>
      <c r="D904" s="6" t="s">
        <v>1962</v>
      </c>
      <c r="E904" s="6" t="s">
        <v>221</v>
      </c>
      <c r="F904" s="6" t="s">
        <v>181</v>
      </c>
      <c r="G904" s="6" t="n">
        <v>63</v>
      </c>
      <c r="H904" s="6"/>
      <c r="I904" s="6" t="s">
        <v>133</v>
      </c>
      <c r="J904" s="6" t="n">
        <v>16</v>
      </c>
      <c r="K904" s="6" t="s">
        <v>46</v>
      </c>
      <c r="L904" s="6"/>
      <c r="M904" s="6"/>
      <c r="N904" s="12" t="n">
        <v>51.4</v>
      </c>
      <c r="O904" s="12" t="n">
        <v>51.4</v>
      </c>
      <c r="P904" s="13" t="n">
        <v>45</v>
      </c>
      <c r="Q904" s="12"/>
      <c r="R904" s="14" t="n">
        <v>0.019</v>
      </c>
      <c r="S904" s="6" t="n">
        <v>30</v>
      </c>
      <c r="T904" s="6"/>
      <c r="U904" s="15" t="n">
        <f aca="false">(S904*R904+0.5*(1-(P904/N904)^2)+(1-(P904/O904)^2)^2)*(O904/P904)^4</f>
        <v>1.26180874088999</v>
      </c>
      <c r="V904" s="14"/>
      <c r="W904" s="14"/>
      <c r="X904" s="10" t="s">
        <v>47</v>
      </c>
      <c r="Y904" s="16" t="n">
        <v>2</v>
      </c>
      <c r="Z904" s="17" t="s">
        <v>48</v>
      </c>
      <c r="AA904" s="6" t="s">
        <v>1874</v>
      </c>
      <c r="AB904" s="18" t="n">
        <f aca="false">IF(O904="","",$D$3*PI()*(O904/1000)^2/4*3600)</f>
        <v>11.2049488715554</v>
      </c>
      <c r="AC904" s="19" t="n">
        <f aca="false">IF(OR(U904="",NOT(ISNUMBER(U904))),"",U904*$D$3^2/(2*$H$3))</f>
        <v>0.144702837258026</v>
      </c>
      <c r="AD904" s="20" t="n">
        <f aca="false">IF(OR(U904="",NOT(ISNUMBER(U904))),"",U904*$D$3^2/2*$F$3)</f>
        <v>1419.53483350123</v>
      </c>
      <c r="AE904" s="19" t="str">
        <f aca="false">IF(OR(V904="",NOT(ISNUMBER(V904))),"",V904*$D$3^2/(2*$H$3))</f>
        <v/>
      </c>
      <c r="AF904" s="20" t="str">
        <f aca="false">IF(OR(V904="",NOT(ISNUMBER(V904))),"",V904*$D$3^2/2*$F$3)</f>
        <v/>
      </c>
      <c r="AG904" s="19" t="str">
        <f aca="false">IF(OR(W904="",NOT(ISNUMBER(W904))),"",W904*$D$3^2/(2*$H$3))</f>
        <v/>
      </c>
      <c r="AH904" s="20" t="str">
        <f aca="false">IF(OR(W904="",NOT(ISNUMBER(W904))),"",W904*$D$3^2/2*$F$3)</f>
        <v/>
      </c>
    </row>
    <row r="905" customFormat="false" ht="15" hidden="false" customHeight="false" outlineLevel="0" collapsed="false">
      <c r="A905" s="10" t="s">
        <v>1963</v>
      </c>
      <c r="B905" s="11" t="s">
        <v>41</v>
      </c>
      <c r="C905" s="6" t="s">
        <v>1872</v>
      </c>
      <c r="D905" s="6" t="s">
        <v>1964</v>
      </c>
      <c r="E905" s="6" t="s">
        <v>221</v>
      </c>
      <c r="F905" s="6" t="s">
        <v>181</v>
      </c>
      <c r="G905" s="6" t="n">
        <v>75</v>
      </c>
      <c r="H905" s="6"/>
      <c r="I905" s="6" t="s">
        <v>136</v>
      </c>
      <c r="J905" s="6" t="n">
        <v>16</v>
      </c>
      <c r="K905" s="6" t="s">
        <v>46</v>
      </c>
      <c r="L905" s="6"/>
      <c r="M905" s="6"/>
      <c r="N905" s="12" t="n">
        <v>61.4</v>
      </c>
      <c r="O905" s="12" t="n">
        <v>61.4</v>
      </c>
      <c r="P905" s="13" t="n">
        <v>54</v>
      </c>
      <c r="Q905" s="12"/>
      <c r="R905" s="14" t="n">
        <v>0.018</v>
      </c>
      <c r="S905" s="6" t="n">
        <v>30</v>
      </c>
      <c r="T905" s="6"/>
      <c r="U905" s="15" t="n">
        <f aca="false">(S905*R905+0.5*(1-(P905/N905)^2)+(1-(P905/O905)^2)^2)*(O905/P905)^4</f>
        <v>1.17766463483999</v>
      </c>
      <c r="V905" s="14"/>
      <c r="W905" s="14"/>
      <c r="X905" s="10" t="s">
        <v>47</v>
      </c>
      <c r="Y905" s="16" t="n">
        <v>2</v>
      </c>
      <c r="Z905" s="17" t="s">
        <v>48</v>
      </c>
      <c r="AA905" s="6" t="s">
        <v>1874</v>
      </c>
      <c r="AB905" s="18" t="n">
        <f aca="false">IF(O905="","",$D$3*PI()*(O905/1000)^2/4*3600)</f>
        <v>15.988966164442</v>
      </c>
      <c r="AC905" s="19" t="n">
        <f aca="false">IF(OR(U905="",NOT(ISNUMBER(U905))),"",U905*$D$3^2/(2*$H$3))</f>
        <v>0.135053283811926</v>
      </c>
      <c r="AD905" s="20" t="n">
        <f aca="false">IF(OR(U905="",NOT(ISNUMBER(U905))),"",U905*$D$3^2/2*$F$3)</f>
        <v>1324.87271419499</v>
      </c>
      <c r="AE905" s="19" t="str">
        <f aca="false">IF(OR(V905="",NOT(ISNUMBER(V905))),"",V905*$D$3^2/(2*$H$3))</f>
        <v/>
      </c>
      <c r="AF905" s="20" t="str">
        <f aca="false">IF(OR(V905="",NOT(ISNUMBER(V905))),"",V905*$D$3^2/2*$F$3)</f>
        <v/>
      </c>
      <c r="AG905" s="19" t="str">
        <f aca="false">IF(OR(W905="",NOT(ISNUMBER(W905))),"",W905*$D$3^2/(2*$H$3))</f>
        <v/>
      </c>
      <c r="AH905" s="20" t="str">
        <f aca="false">IF(OR(W905="",NOT(ISNUMBER(W905))),"",W905*$D$3^2/2*$F$3)</f>
        <v/>
      </c>
    </row>
    <row r="906" customFormat="false" ht="15" hidden="false" customHeight="false" outlineLevel="0" collapsed="false">
      <c r="A906" s="10" t="s">
        <v>1965</v>
      </c>
      <c r="B906" s="11" t="s">
        <v>41</v>
      </c>
      <c r="C906" s="6" t="s">
        <v>1872</v>
      </c>
      <c r="D906" s="6" t="s">
        <v>1966</v>
      </c>
      <c r="E906" s="6" t="s">
        <v>221</v>
      </c>
      <c r="F906" s="6" t="s">
        <v>181</v>
      </c>
      <c r="G906" s="6" t="n">
        <v>90</v>
      </c>
      <c r="H906" s="6"/>
      <c r="I906" s="6" t="s">
        <v>139</v>
      </c>
      <c r="J906" s="6" t="n">
        <v>16</v>
      </c>
      <c r="K906" s="6" t="s">
        <v>46</v>
      </c>
      <c r="L906" s="6"/>
      <c r="M906" s="6"/>
      <c r="N906" s="12" t="n">
        <v>73.6</v>
      </c>
      <c r="O906" s="12" t="n">
        <v>73.6</v>
      </c>
      <c r="P906" s="13" t="n">
        <v>66</v>
      </c>
      <c r="Q906" s="12"/>
      <c r="R906" s="14" t="n">
        <v>0.018</v>
      </c>
      <c r="S906" s="6" t="n">
        <v>30</v>
      </c>
      <c r="T906" s="6"/>
      <c r="U906" s="15" t="n">
        <f aca="false">(S906*R906+0.5*(1-(P906/N906)^2)+(1-(P906/O906)^2)^2)*(O906/P906)^4</f>
        <v>1.04584807445353</v>
      </c>
      <c r="V906" s="14"/>
      <c r="W906" s="14"/>
      <c r="X906" s="10" t="s">
        <v>47</v>
      </c>
      <c r="Y906" s="16" t="n">
        <v>2</v>
      </c>
      <c r="Z906" s="17" t="s">
        <v>48</v>
      </c>
      <c r="AA906" s="6" t="s">
        <v>1874</v>
      </c>
      <c r="AB906" s="18" t="n">
        <f aca="false">IF(O906="","",$D$3*PI()*(O906/1000)^2/4*3600)</f>
        <v>22.9741403500662</v>
      </c>
      <c r="AC906" s="19" t="n">
        <f aca="false">IF(OR(U906="",NOT(ISNUMBER(U906))),"",U906*$D$3^2/(2*$H$3))</f>
        <v>0.119936705785955</v>
      </c>
      <c r="AD906" s="20" t="n">
        <f aca="false">IF(OR(U906="",NOT(ISNUMBER(U906))),"",U906*$D$3^2/2*$F$3)</f>
        <v>1176.57908376022</v>
      </c>
      <c r="AE906" s="19" t="str">
        <f aca="false">IF(OR(V906="",NOT(ISNUMBER(V906))),"",V906*$D$3^2/(2*$H$3))</f>
        <v/>
      </c>
      <c r="AF906" s="20" t="str">
        <f aca="false">IF(OR(V906="",NOT(ISNUMBER(V906))),"",V906*$D$3^2/2*$F$3)</f>
        <v/>
      </c>
      <c r="AG906" s="19" t="str">
        <f aca="false">IF(OR(W906="",NOT(ISNUMBER(W906))),"",W906*$D$3^2/(2*$H$3))</f>
        <v/>
      </c>
      <c r="AH906" s="20" t="str">
        <f aca="false">IF(OR(W906="",NOT(ISNUMBER(W906))),"",W906*$D$3^2/2*$F$3)</f>
        <v/>
      </c>
    </row>
    <row r="907" customFormat="false" ht="15" hidden="false" customHeight="false" outlineLevel="0" collapsed="false">
      <c r="A907" s="10" t="s">
        <v>1967</v>
      </c>
      <c r="B907" s="11" t="s">
        <v>41</v>
      </c>
      <c r="C907" s="6" t="s">
        <v>1872</v>
      </c>
      <c r="D907" s="6" t="s">
        <v>1968</v>
      </c>
      <c r="E907" s="6" t="s">
        <v>200</v>
      </c>
      <c r="F907" s="6" t="s">
        <v>181</v>
      </c>
      <c r="G907" s="6" t="n">
        <v>20</v>
      </c>
      <c r="H907" s="6"/>
      <c r="I907" s="6" t="s">
        <v>108</v>
      </c>
      <c r="J907" s="6" t="n">
        <v>16</v>
      </c>
      <c r="K907" s="6" t="s">
        <v>46</v>
      </c>
      <c r="L907" s="6"/>
      <c r="M907" s="6"/>
      <c r="N907" s="12" t="n">
        <v>16</v>
      </c>
      <c r="O907" s="12" t="n">
        <v>16</v>
      </c>
      <c r="P907" s="13" t="n">
        <v>13</v>
      </c>
      <c r="Q907" s="12"/>
      <c r="R907" s="14" t="n">
        <v>0.027</v>
      </c>
      <c r="S907" s="6" t="n">
        <v>30</v>
      </c>
      <c r="T907" s="6"/>
      <c r="U907" s="15" t="n">
        <f aca="false">(S907*R907+0.5*(1-(P907/N907)^2)+(1-(P907/O907)^2)^2)*(O907/P907)^4</f>
        <v>2.51353804138511</v>
      </c>
      <c r="V907" s="14"/>
      <c r="W907" s="14"/>
      <c r="X907" s="10" t="s">
        <v>47</v>
      </c>
      <c r="Y907" s="16" t="n">
        <v>2.29</v>
      </c>
      <c r="Z907" s="17" t="s">
        <v>48</v>
      </c>
      <c r="AA907" s="6" t="s">
        <v>1874</v>
      </c>
      <c r="AB907" s="18" t="n">
        <f aca="false">IF(O907="","",$D$3*PI()*(O907/1000)^2/4*3600)</f>
        <v>1.08573442108063</v>
      </c>
      <c r="AC907" s="19" t="n">
        <f aca="false">IF(OR(U907="",NOT(ISNUMBER(U907))),"",U907*$D$3^2/(2*$H$3))</f>
        <v>0.2882497753882</v>
      </c>
      <c r="AD907" s="20" t="n">
        <f aca="false">IF(OR(U907="",NOT(ISNUMBER(U907))),"",U907*$D$3^2/2*$F$3)</f>
        <v>2827.73029655824</v>
      </c>
      <c r="AE907" s="19" t="str">
        <f aca="false">IF(OR(V907="",NOT(ISNUMBER(V907))),"",V907*$D$3^2/(2*$H$3))</f>
        <v/>
      </c>
      <c r="AF907" s="20" t="str">
        <f aca="false">IF(OR(V907="",NOT(ISNUMBER(V907))),"",V907*$D$3^2/2*$F$3)</f>
        <v/>
      </c>
      <c r="AG907" s="19" t="str">
        <f aca="false">IF(OR(W907="",NOT(ISNUMBER(W907))),"",W907*$D$3^2/(2*$H$3))</f>
        <v/>
      </c>
      <c r="AH907" s="20" t="str">
        <f aca="false">IF(OR(W907="",NOT(ISNUMBER(W907))),"",W907*$D$3^2/2*$F$3)</f>
        <v/>
      </c>
    </row>
    <row r="908" customFormat="false" ht="15" hidden="false" customHeight="false" outlineLevel="0" collapsed="false">
      <c r="A908" s="10" t="s">
        <v>1969</v>
      </c>
      <c r="B908" s="11" t="s">
        <v>41</v>
      </c>
      <c r="C908" s="6" t="s">
        <v>1872</v>
      </c>
      <c r="D908" s="6" t="s">
        <v>1970</v>
      </c>
      <c r="E908" s="6" t="s">
        <v>200</v>
      </c>
      <c r="F908" s="6" t="s">
        <v>181</v>
      </c>
      <c r="G908" s="6" t="n">
        <v>25</v>
      </c>
      <c r="H908" s="6"/>
      <c r="I908" s="6" t="s">
        <v>111</v>
      </c>
      <c r="J908" s="6" t="n">
        <v>16</v>
      </c>
      <c r="K908" s="6" t="s">
        <v>46</v>
      </c>
      <c r="L908" s="6"/>
      <c r="M908" s="6"/>
      <c r="N908" s="12" t="n">
        <v>20.4</v>
      </c>
      <c r="O908" s="12" t="n">
        <v>20.4</v>
      </c>
      <c r="P908" s="13" t="n">
        <v>17</v>
      </c>
      <c r="Q908" s="12"/>
      <c r="R908" s="14" t="n">
        <v>0.025</v>
      </c>
      <c r="S908" s="6" t="n">
        <v>30</v>
      </c>
      <c r="T908" s="6"/>
      <c r="U908" s="15" t="n">
        <f aca="false">(S908*R908+0.5*(1-(P908/N908)^2)+(1-(P908/O908)^2)^2)*(O908/P908)^4</f>
        <v>2.0656</v>
      </c>
      <c r="V908" s="14"/>
      <c r="W908" s="14"/>
      <c r="X908" s="10" t="s">
        <v>47</v>
      </c>
      <c r="Y908" s="16" t="n">
        <v>2.29</v>
      </c>
      <c r="Z908" s="17" t="s">
        <v>48</v>
      </c>
      <c r="AA908" s="6" t="s">
        <v>1874</v>
      </c>
      <c r="AB908" s="18" t="n">
        <f aca="false">IF(O908="","",$D$3*PI()*(O908/1000)^2/4*3600)</f>
        <v>1.7649970182692</v>
      </c>
      <c r="AC908" s="19" t="n">
        <f aca="false">IF(OR(U908="",NOT(ISNUMBER(U908))),"",U908*$D$3^2/(2*$H$3))</f>
        <v>0.236880733944954</v>
      </c>
      <c r="AD908" s="20" t="n">
        <f aca="false">IF(OR(U908="",NOT(ISNUMBER(U908))),"",U908*$D$3^2/2*$F$3)</f>
        <v>2323.8</v>
      </c>
      <c r="AE908" s="19" t="str">
        <f aca="false">IF(OR(V908="",NOT(ISNUMBER(V908))),"",V908*$D$3^2/(2*$H$3))</f>
        <v/>
      </c>
      <c r="AF908" s="20" t="str">
        <f aca="false">IF(OR(V908="",NOT(ISNUMBER(V908))),"",V908*$D$3^2/2*$F$3)</f>
        <v/>
      </c>
      <c r="AG908" s="19" t="str">
        <f aca="false">IF(OR(W908="",NOT(ISNUMBER(W908))),"",W908*$D$3^2/(2*$H$3))</f>
        <v/>
      </c>
      <c r="AH908" s="20" t="str">
        <f aca="false">IF(OR(W908="",NOT(ISNUMBER(W908))),"",W908*$D$3^2/2*$F$3)</f>
        <v/>
      </c>
    </row>
    <row r="909" customFormat="false" ht="15" hidden="false" customHeight="false" outlineLevel="0" collapsed="false">
      <c r="A909" s="10" t="s">
        <v>1971</v>
      </c>
      <c r="B909" s="11" t="s">
        <v>41</v>
      </c>
      <c r="C909" s="6" t="s">
        <v>1872</v>
      </c>
      <c r="D909" s="6" t="s">
        <v>1972</v>
      </c>
      <c r="E909" s="6" t="s">
        <v>200</v>
      </c>
      <c r="F909" s="6" t="s">
        <v>181</v>
      </c>
      <c r="G909" s="6" t="n">
        <v>32</v>
      </c>
      <c r="H909" s="6"/>
      <c r="I909" s="6" t="s">
        <v>118</v>
      </c>
      <c r="J909" s="6" t="n">
        <v>16</v>
      </c>
      <c r="K909" s="6" t="s">
        <v>46</v>
      </c>
      <c r="L909" s="6"/>
      <c r="M909" s="6"/>
      <c r="N909" s="12" t="n">
        <v>26.2</v>
      </c>
      <c r="O909" s="12" t="n">
        <v>26.2</v>
      </c>
      <c r="P909" s="13" t="n">
        <v>22</v>
      </c>
      <c r="Q909" s="12"/>
      <c r="R909" s="14" t="n">
        <v>0.023</v>
      </c>
      <c r="S909" s="6" t="n">
        <v>30</v>
      </c>
      <c r="T909" s="6"/>
      <c r="U909" s="15" t="n">
        <f aca="false">(S909*R909+0.5*(1-(P909/N909)^2)+(1-(P909/O909)^2)^2)*(O909/P909)^4</f>
        <v>1.85946709234342</v>
      </c>
      <c r="V909" s="14"/>
      <c r="W909" s="14"/>
      <c r="X909" s="10" t="s">
        <v>47</v>
      </c>
      <c r="Y909" s="16" t="n">
        <v>2.29</v>
      </c>
      <c r="Z909" s="17" t="s">
        <v>48</v>
      </c>
      <c r="AA909" s="6" t="s">
        <v>1874</v>
      </c>
      <c r="AB909" s="18" t="n">
        <f aca="false">IF(O909="","",$D$3*PI()*(O909/1000)^2/4*3600)</f>
        <v>2.91129506252574</v>
      </c>
      <c r="AC909" s="19" t="n">
        <f aca="false">IF(OR(U909="",NOT(ISNUMBER(U909))),"",U909*$D$3^2/(2*$H$3))</f>
        <v>0.213241639030209</v>
      </c>
      <c r="AD909" s="20" t="n">
        <f aca="false">IF(OR(U909="",NOT(ISNUMBER(U909))),"",U909*$D$3^2/2*$F$3)</f>
        <v>2091.90047888635</v>
      </c>
      <c r="AE909" s="19" t="str">
        <f aca="false">IF(OR(V909="",NOT(ISNUMBER(V909))),"",V909*$D$3^2/(2*$H$3))</f>
        <v/>
      </c>
      <c r="AF909" s="20" t="str">
        <f aca="false">IF(OR(V909="",NOT(ISNUMBER(V909))),"",V909*$D$3^2/2*$F$3)</f>
        <v/>
      </c>
      <c r="AG909" s="19" t="str">
        <f aca="false">IF(OR(W909="",NOT(ISNUMBER(W909))),"",W909*$D$3^2/(2*$H$3))</f>
        <v/>
      </c>
      <c r="AH909" s="20" t="str">
        <f aca="false">IF(OR(W909="",NOT(ISNUMBER(W909))),"",W909*$D$3^2/2*$F$3)</f>
        <v/>
      </c>
    </row>
    <row r="910" customFormat="false" ht="15" hidden="false" customHeight="false" outlineLevel="0" collapsed="false">
      <c r="A910" s="10" t="s">
        <v>1973</v>
      </c>
      <c r="B910" s="11" t="s">
        <v>41</v>
      </c>
      <c r="C910" s="6" t="s">
        <v>1872</v>
      </c>
      <c r="D910" s="6" t="s">
        <v>1974</v>
      </c>
      <c r="E910" s="6" t="s">
        <v>200</v>
      </c>
      <c r="F910" s="6" t="s">
        <v>181</v>
      </c>
      <c r="G910" s="6" t="n">
        <v>40</v>
      </c>
      <c r="H910" s="6"/>
      <c r="I910" s="6" t="s">
        <v>127</v>
      </c>
      <c r="J910" s="6" t="n">
        <v>16</v>
      </c>
      <c r="K910" s="6" t="s">
        <v>46</v>
      </c>
      <c r="L910" s="6"/>
      <c r="M910" s="6"/>
      <c r="N910" s="12" t="n">
        <v>32.6</v>
      </c>
      <c r="O910" s="12" t="n">
        <v>32.6</v>
      </c>
      <c r="P910" s="13" t="n">
        <v>28</v>
      </c>
      <c r="Q910" s="12"/>
      <c r="R910" s="14" t="n">
        <v>0.022</v>
      </c>
      <c r="S910" s="6" t="n">
        <v>30</v>
      </c>
      <c r="T910" s="6"/>
      <c r="U910" s="15" t="n">
        <f aca="false">(S910*R910+0.5*(1-(P910/N910)^2)+(1-(P910/O910)^2)^2)*(O910/P910)^4</f>
        <v>1.5801968027905</v>
      </c>
      <c r="V910" s="14"/>
      <c r="W910" s="14"/>
      <c r="X910" s="10" t="s">
        <v>47</v>
      </c>
      <c r="Y910" s="16" t="n">
        <v>2.29</v>
      </c>
      <c r="Z910" s="17" t="s">
        <v>48</v>
      </c>
      <c r="AA910" s="6" t="s">
        <v>1874</v>
      </c>
      <c r="AB910" s="18" t="n">
        <f aca="false">IF(O910="","",$D$3*PI()*(O910/1000)^2/4*3600)</f>
        <v>4.50732466151427</v>
      </c>
      <c r="AC910" s="19" t="n">
        <f aca="false">IF(OR(U910="",NOT(ISNUMBER(U910))),"",U910*$D$3^2/(2*$H$3))</f>
        <v>0.18121522967781</v>
      </c>
      <c r="AD910" s="20" t="n">
        <f aca="false">IF(OR(U910="",NOT(ISNUMBER(U910))),"",U910*$D$3^2/2*$F$3)</f>
        <v>1777.72140313932</v>
      </c>
      <c r="AE910" s="19" t="str">
        <f aca="false">IF(OR(V910="",NOT(ISNUMBER(V910))),"",V910*$D$3^2/(2*$H$3))</f>
        <v/>
      </c>
      <c r="AF910" s="20" t="str">
        <f aca="false">IF(OR(V910="",NOT(ISNUMBER(V910))),"",V910*$D$3^2/2*$F$3)</f>
        <v/>
      </c>
      <c r="AG910" s="19" t="str">
        <f aca="false">IF(OR(W910="",NOT(ISNUMBER(W910))),"",W910*$D$3^2/(2*$H$3))</f>
        <v/>
      </c>
      <c r="AH910" s="20" t="str">
        <f aca="false">IF(OR(W910="",NOT(ISNUMBER(W910))),"",W910*$D$3^2/2*$F$3)</f>
        <v/>
      </c>
    </row>
    <row r="911" customFormat="false" ht="15" hidden="false" customHeight="false" outlineLevel="0" collapsed="false">
      <c r="A911" s="10" t="s">
        <v>1975</v>
      </c>
      <c r="B911" s="11" t="s">
        <v>41</v>
      </c>
      <c r="C911" s="6" t="s">
        <v>1872</v>
      </c>
      <c r="D911" s="6" t="s">
        <v>1976</v>
      </c>
      <c r="E911" s="6" t="s">
        <v>200</v>
      </c>
      <c r="F911" s="6" t="s">
        <v>181</v>
      </c>
      <c r="G911" s="6" t="n">
        <v>50</v>
      </c>
      <c r="H911" s="6"/>
      <c r="I911" s="6" t="s">
        <v>130</v>
      </c>
      <c r="J911" s="6" t="n">
        <v>16</v>
      </c>
      <c r="K911" s="6" t="s">
        <v>46</v>
      </c>
      <c r="L911" s="6"/>
      <c r="M911" s="6"/>
      <c r="N911" s="12" t="n">
        <v>40.8</v>
      </c>
      <c r="O911" s="12" t="n">
        <v>40.8</v>
      </c>
      <c r="P911" s="13" t="n">
        <v>35</v>
      </c>
      <c r="Q911" s="12"/>
      <c r="R911" s="14" t="n">
        <v>0.021</v>
      </c>
      <c r="S911" s="6" t="n">
        <v>30</v>
      </c>
      <c r="T911" s="6"/>
      <c r="U911" s="15" t="n">
        <f aca="false">(S911*R911+0.5*(1-(P911/N911)^2)+(1-(P911/O911)^2)^2)*(O911/P911)^4</f>
        <v>1.53599405717484</v>
      </c>
      <c r="V911" s="14"/>
      <c r="W911" s="14"/>
      <c r="X911" s="10" t="s">
        <v>47</v>
      </c>
      <c r="Y911" s="16" t="n">
        <v>2.29</v>
      </c>
      <c r="Z911" s="17" t="s">
        <v>48</v>
      </c>
      <c r="AA911" s="6" t="s">
        <v>1874</v>
      </c>
      <c r="AB911" s="18" t="n">
        <f aca="false">IF(O911="","",$D$3*PI()*(O911/1000)^2/4*3600)</f>
        <v>7.05998807307681</v>
      </c>
      <c r="AC911" s="19" t="n">
        <f aca="false">IF(OR(U911="",NOT(ISNUMBER(U911))),"",U911*$D$3^2/(2*$H$3))</f>
        <v>0.176146107474179</v>
      </c>
      <c r="AD911" s="20" t="n">
        <f aca="false">IF(OR(U911="",NOT(ISNUMBER(U911))),"",U911*$D$3^2/2*$F$3)</f>
        <v>1727.9933143217</v>
      </c>
      <c r="AE911" s="19" t="str">
        <f aca="false">IF(OR(V911="",NOT(ISNUMBER(V911))),"",V911*$D$3^2/(2*$H$3))</f>
        <v/>
      </c>
      <c r="AF911" s="20" t="str">
        <f aca="false">IF(OR(V911="",NOT(ISNUMBER(V911))),"",V911*$D$3^2/2*$F$3)</f>
        <v/>
      </c>
      <c r="AG911" s="19" t="str">
        <f aca="false">IF(OR(W911="",NOT(ISNUMBER(W911))),"",W911*$D$3^2/(2*$H$3))</f>
        <v/>
      </c>
      <c r="AH911" s="20" t="str">
        <f aca="false">IF(OR(W911="",NOT(ISNUMBER(W911))),"",W911*$D$3^2/2*$F$3)</f>
        <v/>
      </c>
    </row>
    <row r="912" customFormat="false" ht="15" hidden="false" customHeight="false" outlineLevel="0" collapsed="false">
      <c r="A912" s="10" t="s">
        <v>1977</v>
      </c>
      <c r="B912" s="11" t="s">
        <v>41</v>
      </c>
      <c r="C912" s="6" t="s">
        <v>1872</v>
      </c>
      <c r="D912" s="6" t="s">
        <v>1978</v>
      </c>
      <c r="E912" s="6" t="s">
        <v>200</v>
      </c>
      <c r="F912" s="6" t="s">
        <v>181</v>
      </c>
      <c r="G912" s="6" t="n">
        <v>63</v>
      </c>
      <c r="H912" s="6"/>
      <c r="I912" s="6" t="s">
        <v>133</v>
      </c>
      <c r="J912" s="6" t="n">
        <v>16</v>
      </c>
      <c r="K912" s="6" t="s">
        <v>46</v>
      </c>
      <c r="L912" s="6"/>
      <c r="M912" s="6"/>
      <c r="N912" s="12" t="n">
        <v>51.4</v>
      </c>
      <c r="O912" s="12" t="n">
        <v>51.4</v>
      </c>
      <c r="P912" s="13" t="n">
        <v>45</v>
      </c>
      <c r="Q912" s="12"/>
      <c r="R912" s="14" t="n">
        <v>0.019</v>
      </c>
      <c r="S912" s="6" t="n">
        <v>30</v>
      </c>
      <c r="T912" s="6"/>
      <c r="U912" s="15" t="n">
        <f aca="false">(S912*R912+0.5*(1-(P912/N912)^2)+(1-(P912/O912)^2)^2)*(O912/P912)^4</f>
        <v>1.26180874088999</v>
      </c>
      <c r="V912" s="14"/>
      <c r="W912" s="14"/>
      <c r="X912" s="10" t="s">
        <v>47</v>
      </c>
      <c r="Y912" s="16" t="n">
        <v>2.29</v>
      </c>
      <c r="Z912" s="17" t="s">
        <v>48</v>
      </c>
      <c r="AA912" s="6" t="s">
        <v>1874</v>
      </c>
      <c r="AB912" s="18" t="n">
        <f aca="false">IF(O912="","",$D$3*PI()*(O912/1000)^2/4*3600)</f>
        <v>11.2049488715554</v>
      </c>
      <c r="AC912" s="19" t="n">
        <f aca="false">IF(OR(U912="",NOT(ISNUMBER(U912))),"",U912*$D$3^2/(2*$H$3))</f>
        <v>0.144702837258026</v>
      </c>
      <c r="AD912" s="20" t="n">
        <f aca="false">IF(OR(U912="",NOT(ISNUMBER(U912))),"",U912*$D$3^2/2*$F$3)</f>
        <v>1419.53483350123</v>
      </c>
      <c r="AE912" s="19" t="str">
        <f aca="false">IF(OR(V912="",NOT(ISNUMBER(V912))),"",V912*$D$3^2/(2*$H$3))</f>
        <v/>
      </c>
      <c r="AF912" s="20" t="str">
        <f aca="false">IF(OR(V912="",NOT(ISNUMBER(V912))),"",V912*$D$3^2/2*$F$3)</f>
        <v/>
      </c>
      <c r="AG912" s="19" t="str">
        <f aca="false">IF(OR(W912="",NOT(ISNUMBER(W912))),"",W912*$D$3^2/(2*$H$3))</f>
        <v/>
      </c>
      <c r="AH912" s="20" t="str">
        <f aca="false">IF(OR(W912="",NOT(ISNUMBER(W912))),"",W912*$D$3^2/2*$F$3)</f>
        <v/>
      </c>
    </row>
    <row r="913" customFormat="false" ht="15" hidden="false" customHeight="false" outlineLevel="0" collapsed="false">
      <c r="A913" s="10" t="s">
        <v>1979</v>
      </c>
      <c r="B913" s="11" t="s">
        <v>41</v>
      </c>
      <c r="C913" s="6" t="s">
        <v>1872</v>
      </c>
      <c r="D913" s="6" t="s">
        <v>1980</v>
      </c>
      <c r="E913" s="6" t="s">
        <v>246</v>
      </c>
      <c r="F913" s="6" t="s">
        <v>247</v>
      </c>
      <c r="G913" s="6" t="n">
        <v>20</v>
      </c>
      <c r="H913" s="6" t="n">
        <v>20</v>
      </c>
      <c r="I913" s="6"/>
      <c r="J913" s="6" t="n">
        <v>16</v>
      </c>
      <c r="K913" s="6" t="s">
        <v>46</v>
      </c>
      <c r="L913" s="6"/>
      <c r="M913" s="6"/>
      <c r="N913" s="12" t="n">
        <v>16</v>
      </c>
      <c r="O913" s="12" t="n">
        <v>16</v>
      </c>
      <c r="P913" s="13" t="n">
        <v>13</v>
      </c>
      <c r="Q913" s="13" t="n">
        <v>13</v>
      </c>
      <c r="R913" s="14" t="n">
        <v>0.027</v>
      </c>
      <c r="S913" s="6" t="n">
        <v>20</v>
      </c>
      <c r="T913" s="6"/>
      <c r="U913" s="15" t="n">
        <f aca="false">(20*R913+0.5*(1-(P913/N913)^2)+(1-(P913/N913)^2)^2)*(N913/P913)^4</f>
        <v>1.89399670879871</v>
      </c>
      <c r="V913" s="15" t="n">
        <f aca="false">(60*R913+0.5*(1-(Q913/N913)^2)+(1-(Q913/O913)^2)^2)*(O913/Q913)^4</f>
        <v>4.37216203914429</v>
      </c>
      <c r="W913" s="14"/>
      <c r="X913" s="10" t="s">
        <v>248</v>
      </c>
      <c r="Y913" s="16" t="n">
        <v>2.96</v>
      </c>
      <c r="Z913" s="17" t="s">
        <v>48</v>
      </c>
      <c r="AA913" s="6" t="s">
        <v>1874</v>
      </c>
      <c r="AB913" s="18" t="n">
        <f aca="false">IF(O913="","",$D$3*PI()*(O913/1000)^2/4*3600)</f>
        <v>1.08573442108063</v>
      </c>
      <c r="AC913" s="19" t="n">
        <f aca="false">IF(OR(U913="",NOT(ISNUMBER(U913))),"",U913*$D$3^2/(2*$H$3))</f>
        <v>0.217201457431045</v>
      </c>
      <c r="AD913" s="20" t="n">
        <f aca="false">IF(OR(U913="",NOT(ISNUMBER(U913))),"",U913*$D$3^2/2*$F$3)</f>
        <v>2130.74629739855</v>
      </c>
      <c r="AE913" s="19" t="n">
        <f aca="false">IF(OR(V913="",NOT(ISNUMBER(V913))),"",V913*$D$3^2/(2*$H$3))</f>
        <v>0.501394729259666</v>
      </c>
      <c r="AF913" s="20" t="n">
        <f aca="false">IF(OR(V913="",NOT(ISNUMBER(V913))),"",V913*$D$3^2/2*$F$3)</f>
        <v>4918.68229403732</v>
      </c>
      <c r="AG913" s="19" t="str">
        <f aca="false">IF(OR(W913="",NOT(ISNUMBER(W913))),"",W913*$D$3^2/(2*$H$3))</f>
        <v/>
      </c>
      <c r="AH913" s="20" t="str">
        <f aca="false">IF(OR(W913="",NOT(ISNUMBER(W913))),"",W913*$D$3^2/2*$F$3)</f>
        <v/>
      </c>
    </row>
    <row r="914" customFormat="false" ht="15" hidden="false" customHeight="false" outlineLevel="0" collapsed="false">
      <c r="A914" s="10" t="s">
        <v>1981</v>
      </c>
      <c r="B914" s="11" t="s">
        <v>41</v>
      </c>
      <c r="C914" s="6" t="s">
        <v>1872</v>
      </c>
      <c r="D914" s="6" t="s">
        <v>1982</v>
      </c>
      <c r="E914" s="6" t="s">
        <v>246</v>
      </c>
      <c r="F914" s="6" t="s">
        <v>247</v>
      </c>
      <c r="G914" s="6" t="n">
        <v>25</v>
      </c>
      <c r="H914" s="6" t="n">
        <v>25</v>
      </c>
      <c r="I914" s="6"/>
      <c r="J914" s="6" t="n">
        <v>16</v>
      </c>
      <c r="K914" s="6" t="s">
        <v>46</v>
      </c>
      <c r="L914" s="6"/>
      <c r="M914" s="6"/>
      <c r="N914" s="12" t="n">
        <v>20.4</v>
      </c>
      <c r="O914" s="12" t="n">
        <v>20.4</v>
      </c>
      <c r="P914" s="13" t="n">
        <v>17</v>
      </c>
      <c r="Q914" s="13" t="n">
        <v>17</v>
      </c>
      <c r="R914" s="14" t="n">
        <v>0.025</v>
      </c>
      <c r="S914" s="6" t="n">
        <v>20</v>
      </c>
      <c r="T914" s="6"/>
      <c r="U914" s="15" t="n">
        <f aca="false">(20*R914+0.5*(1-(P914/N914)^2)+(1-(P914/N914)^2)^2)*(N914/P914)^4</f>
        <v>1.5472</v>
      </c>
      <c r="V914" s="15" t="n">
        <f aca="false">(60*R914+0.5*(1-(Q914/N914)^2)+(1-(Q914/O914)^2)^2)*(O914/Q914)^4</f>
        <v>3.6208</v>
      </c>
      <c r="W914" s="14"/>
      <c r="X914" s="10" t="s">
        <v>248</v>
      </c>
      <c r="Y914" s="16" t="n">
        <v>2.96</v>
      </c>
      <c r="Z914" s="17" t="s">
        <v>48</v>
      </c>
      <c r="AA914" s="6" t="s">
        <v>1874</v>
      </c>
      <c r="AB914" s="18" t="n">
        <f aca="false">IF(O914="","",$D$3*PI()*(O914/1000)^2/4*3600)</f>
        <v>1.7649970182692</v>
      </c>
      <c r="AC914" s="19" t="n">
        <f aca="false">IF(OR(U914="",NOT(ISNUMBER(U914))),"",U914*$D$3^2/(2*$H$3))</f>
        <v>0.17743119266055</v>
      </c>
      <c r="AD914" s="20" t="n">
        <f aca="false">IF(OR(U914="",NOT(ISNUMBER(U914))),"",U914*$D$3^2/2*$F$3)</f>
        <v>1740.6</v>
      </c>
      <c r="AE914" s="19" t="n">
        <f aca="false">IF(OR(V914="",NOT(ISNUMBER(V914))),"",V914*$D$3^2/(2*$H$3))</f>
        <v>0.415229357798165</v>
      </c>
      <c r="AF914" s="20" t="n">
        <f aca="false">IF(OR(V914="",NOT(ISNUMBER(V914))),"",V914*$D$3^2/2*$F$3)</f>
        <v>4073.4</v>
      </c>
      <c r="AG914" s="19" t="str">
        <f aca="false">IF(OR(W914="",NOT(ISNUMBER(W914))),"",W914*$D$3^2/(2*$H$3))</f>
        <v/>
      </c>
      <c r="AH914" s="20" t="str">
        <f aca="false">IF(OR(W914="",NOT(ISNUMBER(W914))),"",W914*$D$3^2/2*$F$3)</f>
        <v/>
      </c>
    </row>
    <row r="915" customFormat="false" ht="15" hidden="false" customHeight="false" outlineLevel="0" collapsed="false">
      <c r="A915" s="10" t="s">
        <v>1983</v>
      </c>
      <c r="B915" s="11" t="s">
        <v>41</v>
      </c>
      <c r="C915" s="6" t="s">
        <v>1872</v>
      </c>
      <c r="D915" s="6" t="s">
        <v>1984</v>
      </c>
      <c r="E915" s="6" t="s">
        <v>246</v>
      </c>
      <c r="F915" s="6" t="s">
        <v>247</v>
      </c>
      <c r="G915" s="6" t="n">
        <v>32</v>
      </c>
      <c r="H915" s="6" t="n">
        <v>32</v>
      </c>
      <c r="I915" s="6"/>
      <c r="J915" s="6" t="n">
        <v>16</v>
      </c>
      <c r="K915" s="6" t="s">
        <v>46</v>
      </c>
      <c r="L915" s="6"/>
      <c r="M915" s="6"/>
      <c r="N915" s="12" t="n">
        <v>26.2</v>
      </c>
      <c r="O915" s="12" t="n">
        <v>26.2</v>
      </c>
      <c r="P915" s="13" t="n">
        <v>22</v>
      </c>
      <c r="Q915" s="13" t="n">
        <v>22</v>
      </c>
      <c r="R915" s="14" t="n">
        <v>0.023</v>
      </c>
      <c r="S915" s="6" t="n">
        <v>20</v>
      </c>
      <c r="T915" s="6"/>
      <c r="U915" s="15" t="n">
        <f aca="false">(20*R915+0.5*(1-(P915/N915)^2)+(1-(P915/N915)^2)^2)*(N915/P915)^4</f>
        <v>1.39682805245543</v>
      </c>
      <c r="V915" s="15" t="n">
        <f aca="false">(60*R915+0.5*(1-(Q915/N915)^2)+(1-(Q915/O915)^2)^2)*(O915/Q915)^4</f>
        <v>3.24738421200738</v>
      </c>
      <c r="W915" s="14"/>
      <c r="X915" s="10" t="s">
        <v>248</v>
      </c>
      <c r="Y915" s="16" t="n">
        <v>2.96</v>
      </c>
      <c r="Z915" s="17" t="s">
        <v>48</v>
      </c>
      <c r="AA915" s="6" t="s">
        <v>1874</v>
      </c>
      <c r="AB915" s="18" t="n">
        <f aca="false">IF(O915="","",$D$3*PI()*(O915/1000)^2/4*3600)</f>
        <v>2.91129506252574</v>
      </c>
      <c r="AC915" s="19" t="n">
        <f aca="false">IF(OR(U915="",NOT(ISNUMBER(U915))),"",U915*$D$3^2/(2*$H$3))</f>
        <v>0.160186703263238</v>
      </c>
      <c r="AD915" s="20" t="n">
        <f aca="false">IF(OR(U915="",NOT(ISNUMBER(U915))),"",U915*$D$3^2/2*$F$3)</f>
        <v>1571.43155901236</v>
      </c>
      <c r="AE915" s="19" t="n">
        <f aca="false">IF(OR(V915="",NOT(ISNUMBER(V915))),"",V915*$D$3^2/(2*$H$3))</f>
        <v>0.372406446331121</v>
      </c>
      <c r="AF915" s="20" t="n">
        <f aca="false">IF(OR(V915="",NOT(ISNUMBER(V915))),"",V915*$D$3^2/2*$F$3)</f>
        <v>3653.3072385083</v>
      </c>
      <c r="AG915" s="19" t="str">
        <f aca="false">IF(OR(W915="",NOT(ISNUMBER(W915))),"",W915*$D$3^2/(2*$H$3))</f>
        <v/>
      </c>
      <c r="AH915" s="20" t="str">
        <f aca="false">IF(OR(W915="",NOT(ISNUMBER(W915))),"",W915*$D$3^2/2*$F$3)</f>
        <v/>
      </c>
    </row>
    <row r="916" customFormat="false" ht="15" hidden="false" customHeight="false" outlineLevel="0" collapsed="false">
      <c r="A916" s="10" t="s">
        <v>1985</v>
      </c>
      <c r="B916" s="11" t="s">
        <v>41</v>
      </c>
      <c r="C916" s="6" t="s">
        <v>1872</v>
      </c>
      <c r="D916" s="6" t="s">
        <v>1986</v>
      </c>
      <c r="E916" s="6" t="s">
        <v>246</v>
      </c>
      <c r="F916" s="6" t="s">
        <v>247</v>
      </c>
      <c r="G916" s="6" t="n">
        <v>40</v>
      </c>
      <c r="H916" s="6" t="n">
        <v>40</v>
      </c>
      <c r="I916" s="6"/>
      <c r="J916" s="6" t="n">
        <v>16</v>
      </c>
      <c r="K916" s="6" t="s">
        <v>46</v>
      </c>
      <c r="L916" s="6"/>
      <c r="M916" s="6"/>
      <c r="N916" s="12" t="n">
        <v>32.6</v>
      </c>
      <c r="O916" s="12" t="n">
        <v>32.6</v>
      </c>
      <c r="P916" s="13" t="n">
        <v>28</v>
      </c>
      <c r="Q916" s="13" t="n">
        <v>28</v>
      </c>
      <c r="R916" s="14" t="n">
        <v>0.022</v>
      </c>
      <c r="S916" s="6" t="n">
        <v>20</v>
      </c>
      <c r="T916" s="6"/>
      <c r="U916" s="15" t="n">
        <f aca="false">(20*R916+0.5*(1-(P916/N916)^2)+(1-(P916/N916)^2)^2)*(N916/P916)^4</f>
        <v>1.17593663145564</v>
      </c>
      <c r="V916" s="15" t="n">
        <f aca="false">(60*R916+0.5*(1-(Q916/N916)^2)+(1-(Q916/O916)^2)^2)*(O916/Q916)^4</f>
        <v>2.79297731679509</v>
      </c>
      <c r="W916" s="14"/>
      <c r="X916" s="10" t="s">
        <v>248</v>
      </c>
      <c r="Y916" s="16" t="n">
        <v>2.96</v>
      </c>
      <c r="Z916" s="17" t="s">
        <v>48</v>
      </c>
      <c r="AA916" s="6" t="s">
        <v>1874</v>
      </c>
      <c r="AB916" s="18" t="n">
        <f aca="false">IF(O916="","",$D$3*PI()*(O916/1000)^2/4*3600)</f>
        <v>4.50732466151427</v>
      </c>
      <c r="AC916" s="19" t="n">
        <f aca="false">IF(OR(U916="",NOT(ISNUMBER(U916))),"",U916*$D$3^2/(2*$H$3))</f>
        <v>0.134855118286198</v>
      </c>
      <c r="AD916" s="20" t="n">
        <f aca="false">IF(OR(U916="",NOT(ISNUMBER(U916))),"",U916*$D$3^2/2*$F$3)</f>
        <v>1322.9287103876</v>
      </c>
      <c r="AE916" s="19" t="n">
        <f aca="false">IF(OR(V916="",NOT(ISNUMBER(V916))),"",V916*$D$3^2/(2*$H$3))</f>
        <v>0.320295563852647</v>
      </c>
      <c r="AF916" s="20" t="n">
        <f aca="false">IF(OR(V916="",NOT(ISNUMBER(V916))),"",V916*$D$3^2/2*$F$3)</f>
        <v>3142.09948139447</v>
      </c>
      <c r="AG916" s="19" t="str">
        <f aca="false">IF(OR(W916="",NOT(ISNUMBER(W916))),"",W916*$D$3^2/(2*$H$3))</f>
        <v/>
      </c>
      <c r="AH916" s="20" t="str">
        <f aca="false">IF(OR(W916="",NOT(ISNUMBER(W916))),"",W916*$D$3^2/2*$F$3)</f>
        <v/>
      </c>
    </row>
    <row r="917" customFormat="false" ht="15" hidden="false" customHeight="false" outlineLevel="0" collapsed="false">
      <c r="A917" s="10" t="s">
        <v>1987</v>
      </c>
      <c r="B917" s="11" t="s">
        <v>41</v>
      </c>
      <c r="C917" s="6" t="s">
        <v>1872</v>
      </c>
      <c r="D917" s="6" t="s">
        <v>1988</v>
      </c>
      <c r="E917" s="6" t="s">
        <v>246</v>
      </c>
      <c r="F917" s="6" t="s">
        <v>247</v>
      </c>
      <c r="G917" s="6" t="n">
        <v>50</v>
      </c>
      <c r="H917" s="6" t="n">
        <v>50</v>
      </c>
      <c r="I917" s="6"/>
      <c r="J917" s="6" t="n">
        <v>16</v>
      </c>
      <c r="K917" s="6" t="s">
        <v>46</v>
      </c>
      <c r="L917" s="6"/>
      <c r="M917" s="6"/>
      <c r="N917" s="12" t="n">
        <v>40.8</v>
      </c>
      <c r="O917" s="12" t="n">
        <v>40.8</v>
      </c>
      <c r="P917" s="13" t="n">
        <v>35</v>
      </c>
      <c r="Q917" s="13" t="n">
        <v>35</v>
      </c>
      <c r="R917" s="14" t="n">
        <v>0.021</v>
      </c>
      <c r="S917" s="6" t="n">
        <v>20</v>
      </c>
      <c r="T917" s="6"/>
      <c r="U917" s="15" t="n">
        <f aca="false">(20*R917+0.5*(1-(P917/N917)^2)+(1-(P917/N917)^2)^2)*(N917/P917)^4</f>
        <v>1.14821194691012</v>
      </c>
      <c r="V917" s="15" t="n">
        <f aca="false">(60*R917+0.5*(1-(Q917/N917)^2)+(1-(Q917/O917)^2)^2)*(O917/Q917)^4</f>
        <v>2.69934038796901</v>
      </c>
      <c r="W917" s="14"/>
      <c r="X917" s="10" t="s">
        <v>248</v>
      </c>
      <c r="Y917" s="16" t="n">
        <v>2.96</v>
      </c>
      <c r="Z917" s="17" t="s">
        <v>48</v>
      </c>
      <c r="AA917" s="6" t="s">
        <v>1874</v>
      </c>
      <c r="AB917" s="18" t="n">
        <f aca="false">IF(O917="","",$D$3*PI()*(O917/1000)^2/4*3600)</f>
        <v>7.05998807307681</v>
      </c>
      <c r="AC917" s="19" t="n">
        <f aca="false">IF(OR(U917="",NOT(ISNUMBER(U917))),"",U917*$D$3^2/(2*$H$3))</f>
        <v>0.131675681985106</v>
      </c>
      <c r="AD917" s="20" t="n">
        <f aca="false">IF(OR(U917="",NOT(ISNUMBER(U917))),"",U917*$D$3^2/2*$F$3)</f>
        <v>1291.73844027389</v>
      </c>
      <c r="AE917" s="19" t="n">
        <f aca="false">IF(OR(V917="",NOT(ISNUMBER(V917))),"",V917*$D$3^2/(2*$H$3))</f>
        <v>0.309557383941401</v>
      </c>
      <c r="AF917" s="20" t="n">
        <f aca="false">IF(OR(V917="",NOT(ISNUMBER(V917))),"",V917*$D$3^2/2*$F$3)</f>
        <v>3036.75793646514</v>
      </c>
      <c r="AG917" s="19" t="str">
        <f aca="false">IF(OR(W917="",NOT(ISNUMBER(W917))),"",W917*$D$3^2/(2*$H$3))</f>
        <v/>
      </c>
      <c r="AH917" s="20" t="str">
        <f aca="false">IF(OR(W917="",NOT(ISNUMBER(W917))),"",W917*$D$3^2/2*$F$3)</f>
        <v/>
      </c>
    </row>
    <row r="918" customFormat="false" ht="15" hidden="false" customHeight="false" outlineLevel="0" collapsed="false">
      <c r="A918" s="10" t="s">
        <v>1989</v>
      </c>
      <c r="B918" s="11" t="s">
        <v>41</v>
      </c>
      <c r="C918" s="6" t="s">
        <v>1872</v>
      </c>
      <c r="D918" s="6" t="s">
        <v>1990</v>
      </c>
      <c r="E918" s="6" t="s">
        <v>246</v>
      </c>
      <c r="F918" s="6" t="s">
        <v>247</v>
      </c>
      <c r="G918" s="6" t="n">
        <v>63</v>
      </c>
      <c r="H918" s="6" t="n">
        <v>63</v>
      </c>
      <c r="I918" s="6"/>
      <c r="J918" s="6" t="n">
        <v>16</v>
      </c>
      <c r="K918" s="6" t="s">
        <v>46</v>
      </c>
      <c r="L918" s="6"/>
      <c r="M918" s="6"/>
      <c r="N918" s="12" t="n">
        <v>51.4</v>
      </c>
      <c r="O918" s="12" t="n">
        <v>51.4</v>
      </c>
      <c r="P918" s="13" t="n">
        <v>45</v>
      </c>
      <c r="Q918" s="13" t="n">
        <v>45</v>
      </c>
      <c r="R918" s="14" t="n">
        <v>0.019</v>
      </c>
      <c r="S918" s="6" t="n">
        <v>20</v>
      </c>
      <c r="T918" s="6"/>
      <c r="U918" s="15" t="n">
        <f aca="false">(20*R918+0.5*(1-(P918/N918)^2)+(1-(P918/N918)^2)^2)*(N918/P918)^4</f>
        <v>0.938396821510867</v>
      </c>
      <c r="V918" s="15" t="n">
        <f aca="false">(60*R918+0.5*(1-(Q918/N918)^2)+(1-(Q918/O918)^2)^2)*(O918/Q918)^4</f>
        <v>2.23204449902734</v>
      </c>
      <c r="W918" s="14"/>
      <c r="X918" s="10" t="s">
        <v>248</v>
      </c>
      <c r="Y918" s="16" t="n">
        <v>2.96</v>
      </c>
      <c r="Z918" s="17" t="s">
        <v>48</v>
      </c>
      <c r="AA918" s="6" t="s">
        <v>1874</v>
      </c>
      <c r="AB918" s="18" t="n">
        <f aca="false">IF(O918="","",$D$3*PI()*(O918/1000)^2/4*3600)</f>
        <v>11.2049488715554</v>
      </c>
      <c r="AC918" s="19" t="n">
        <f aca="false">IF(OR(U918="",NOT(ISNUMBER(U918))),"",U918*$D$3^2/(2*$H$3))</f>
        <v>0.107614314393448</v>
      </c>
      <c r="AD918" s="20" t="n">
        <f aca="false">IF(OR(U918="",NOT(ISNUMBER(U918))),"",U918*$D$3^2/2*$F$3)</f>
        <v>1055.69642419973</v>
      </c>
      <c r="AE918" s="19" t="n">
        <f aca="false">IF(OR(V918="",NOT(ISNUMBER(V918))),"",V918*$D$3^2/(2*$H$3))</f>
        <v>0.25596840585176</v>
      </c>
      <c r="AF918" s="20" t="n">
        <f aca="false">IF(OR(V918="",NOT(ISNUMBER(V918))),"",V918*$D$3^2/2*$F$3)</f>
        <v>2511.05006140576</v>
      </c>
      <c r="AG918" s="19" t="str">
        <f aca="false">IF(OR(W918="",NOT(ISNUMBER(W918))),"",W918*$D$3^2/(2*$H$3))</f>
        <v/>
      </c>
      <c r="AH918" s="20" t="str">
        <f aca="false">IF(OR(W918="",NOT(ISNUMBER(W918))),"",W918*$D$3^2/2*$F$3)</f>
        <v/>
      </c>
    </row>
    <row r="919" customFormat="false" ht="15" hidden="false" customHeight="false" outlineLevel="0" collapsed="false">
      <c r="A919" s="10" t="s">
        <v>1991</v>
      </c>
      <c r="B919" s="11" t="s">
        <v>41</v>
      </c>
      <c r="C919" s="6" t="s">
        <v>1872</v>
      </c>
      <c r="D919" s="6" t="s">
        <v>1992</v>
      </c>
      <c r="E919" s="6" t="s">
        <v>246</v>
      </c>
      <c r="F919" s="6" t="s">
        <v>247</v>
      </c>
      <c r="G919" s="6" t="n">
        <v>75</v>
      </c>
      <c r="H919" s="6" t="n">
        <v>75</v>
      </c>
      <c r="I919" s="6"/>
      <c r="J919" s="6" t="n">
        <v>16</v>
      </c>
      <c r="K919" s="6" t="s">
        <v>46</v>
      </c>
      <c r="L919" s="6"/>
      <c r="M919" s="6"/>
      <c r="N919" s="12" t="n">
        <v>61.4</v>
      </c>
      <c r="O919" s="12" t="n">
        <v>61.4</v>
      </c>
      <c r="P919" s="13" t="n">
        <v>54</v>
      </c>
      <c r="Q919" s="13" t="n">
        <v>54</v>
      </c>
      <c r="R919" s="14" t="n">
        <v>0.018</v>
      </c>
      <c r="S919" s="6" t="n">
        <v>20</v>
      </c>
      <c r="T919" s="6"/>
      <c r="U919" s="15" t="n">
        <f aca="false">(20*R919+0.5*(1-(P919/N919)^2)+(1-(P919/N919)^2)^2)*(N919/P919)^4</f>
        <v>0.876800132443677</v>
      </c>
      <c r="V919" s="15" t="n">
        <f aca="false">(60*R919+0.5*(1-(Q919/N919)^2)+(1-(Q919/O919)^2)^2)*(O919/Q919)^4</f>
        <v>2.08025814202894</v>
      </c>
      <c r="W919" s="14"/>
      <c r="X919" s="10" t="s">
        <v>248</v>
      </c>
      <c r="Y919" s="16" t="n">
        <v>2.96</v>
      </c>
      <c r="Z919" s="17" t="s">
        <v>48</v>
      </c>
      <c r="AA919" s="6" t="s">
        <v>1874</v>
      </c>
      <c r="AB919" s="18" t="n">
        <f aca="false">IF(O919="","",$D$3*PI()*(O919/1000)^2/4*3600)</f>
        <v>15.988966164442</v>
      </c>
      <c r="AC919" s="19" t="n">
        <f aca="false">IF(OR(U919="",NOT(ISNUMBER(U919))),"",U919*$D$3^2/(2*$H$3))</f>
        <v>0.100550473904091</v>
      </c>
      <c r="AD919" s="20" t="n">
        <f aca="false">IF(OR(U919="",NOT(ISNUMBER(U919))),"",U919*$D$3^2/2*$F$3)</f>
        <v>986.400148999136</v>
      </c>
      <c r="AE919" s="19" t="n">
        <f aca="false">IF(OR(V919="",NOT(ISNUMBER(V919))),"",V919*$D$3^2/(2*$H$3))</f>
        <v>0.238561713535428</v>
      </c>
      <c r="AF919" s="20" t="n">
        <f aca="false">IF(OR(V919="",NOT(ISNUMBER(V919))),"",V919*$D$3^2/2*$F$3)</f>
        <v>2340.29040978255</v>
      </c>
      <c r="AG919" s="19" t="str">
        <f aca="false">IF(OR(W919="",NOT(ISNUMBER(W919))),"",W919*$D$3^2/(2*$H$3))</f>
        <v/>
      </c>
      <c r="AH919" s="20" t="str">
        <f aca="false">IF(OR(W919="",NOT(ISNUMBER(W919))),"",W919*$D$3^2/2*$F$3)</f>
        <v/>
      </c>
    </row>
    <row r="920" customFormat="false" ht="15" hidden="false" customHeight="false" outlineLevel="0" collapsed="false">
      <c r="A920" s="10" t="s">
        <v>1993</v>
      </c>
      <c r="B920" s="11" t="s">
        <v>41</v>
      </c>
      <c r="C920" s="6" t="s">
        <v>1872</v>
      </c>
      <c r="D920" s="6" t="s">
        <v>1994</v>
      </c>
      <c r="E920" s="6" t="s">
        <v>246</v>
      </c>
      <c r="F920" s="6" t="s">
        <v>247</v>
      </c>
      <c r="G920" s="6" t="n">
        <v>90</v>
      </c>
      <c r="H920" s="6" t="n">
        <v>90</v>
      </c>
      <c r="I920" s="6"/>
      <c r="J920" s="6" t="n">
        <v>16</v>
      </c>
      <c r="K920" s="6" t="s">
        <v>46</v>
      </c>
      <c r="L920" s="6"/>
      <c r="M920" s="6"/>
      <c r="N920" s="12" t="n">
        <v>73.6</v>
      </c>
      <c r="O920" s="12" t="n">
        <v>73.6</v>
      </c>
      <c r="P920" s="13" t="n">
        <v>66</v>
      </c>
      <c r="Q920" s="13" t="n">
        <v>66</v>
      </c>
      <c r="R920" s="14" t="n">
        <v>0.018</v>
      </c>
      <c r="S920" s="6" t="n">
        <v>20</v>
      </c>
      <c r="T920" s="6"/>
      <c r="U920" s="15" t="n">
        <f aca="false">(20*R920+0.5*(1-(P920/N920)^2)+(1-(P920/N920)^2)^2)*(N920/P920)^4</f>
        <v>0.767487310146291</v>
      </c>
      <c r="V920" s="15" t="n">
        <f aca="false">(60*R920+0.5*(1-(Q920/N920)^2)+(1-(Q920/O920)^2)^2)*(O920/Q920)^4</f>
        <v>1.88093036737523</v>
      </c>
      <c r="W920" s="14"/>
      <c r="X920" s="10" t="s">
        <v>248</v>
      </c>
      <c r="Y920" s="16" t="n">
        <v>2.96</v>
      </c>
      <c r="Z920" s="17" t="s">
        <v>48</v>
      </c>
      <c r="AA920" s="6" t="s">
        <v>1874</v>
      </c>
      <c r="AB920" s="18" t="n">
        <f aca="false">IF(O920="","",$D$3*PI()*(O920/1000)^2/4*3600)</f>
        <v>22.9741403500662</v>
      </c>
      <c r="AC920" s="19" t="n">
        <f aca="false">IF(OR(U920="",NOT(ISNUMBER(U920))),"",U920*$D$3^2/(2*$H$3))</f>
        <v>0.0880145997874187</v>
      </c>
      <c r="AD920" s="20" t="n">
        <f aca="false">IF(OR(U920="",NOT(ISNUMBER(U920))),"",U920*$D$3^2/2*$F$3)</f>
        <v>863.423223914577</v>
      </c>
      <c r="AE920" s="19" t="n">
        <f aca="false">IF(OR(V920="",NOT(ISNUMBER(V920))),"",V920*$D$3^2/(2*$H$3))</f>
        <v>0.215703023781563</v>
      </c>
      <c r="AF920" s="20" t="n">
        <f aca="false">IF(OR(V920="",NOT(ISNUMBER(V920))),"",V920*$D$3^2/2*$F$3)</f>
        <v>2116.04666329713</v>
      </c>
      <c r="AG920" s="19" t="str">
        <f aca="false">IF(OR(W920="",NOT(ISNUMBER(W920))),"",W920*$D$3^2/(2*$H$3))</f>
        <v/>
      </c>
      <c r="AH920" s="20" t="str">
        <f aca="false">IF(OR(W920="",NOT(ISNUMBER(W920))),"",W920*$D$3^2/2*$F$3)</f>
        <v/>
      </c>
    </row>
    <row r="921" customFormat="false" ht="15" hidden="false" customHeight="false" outlineLevel="0" collapsed="false">
      <c r="A921" s="10" t="s">
        <v>1995</v>
      </c>
      <c r="B921" s="11" t="s">
        <v>41</v>
      </c>
      <c r="C921" s="6" t="s">
        <v>1872</v>
      </c>
      <c r="D921" s="6" t="s">
        <v>1996</v>
      </c>
      <c r="E921" s="6" t="s">
        <v>268</v>
      </c>
      <c r="F921" s="6" t="s">
        <v>247</v>
      </c>
      <c r="G921" s="6" t="n">
        <v>25</v>
      </c>
      <c r="H921" s="6" t="n">
        <v>20</v>
      </c>
      <c r="I921" s="6"/>
      <c r="J921" s="6" t="n">
        <v>16</v>
      </c>
      <c r="K921" s="6" t="s">
        <v>46</v>
      </c>
      <c r="L921" s="6"/>
      <c r="M921" s="6"/>
      <c r="N921" s="12" t="n">
        <v>20.4</v>
      </c>
      <c r="O921" s="12" t="n">
        <v>16</v>
      </c>
      <c r="P921" s="13" t="n">
        <v>17</v>
      </c>
      <c r="Q921" s="13" t="n">
        <v>13</v>
      </c>
      <c r="R921" s="14" t="n">
        <v>0.025</v>
      </c>
      <c r="S921" s="6" t="n">
        <v>20</v>
      </c>
      <c r="T921" s="6"/>
      <c r="U921" s="15" t="n">
        <f aca="false">(20*R921+0.5*(1-(P921/N921)^2)+(1-(P921/N921)^2)^2)*(N921/P921)^4</f>
        <v>1.5472</v>
      </c>
      <c r="V921" s="15" t="n">
        <f aca="false">(60*R921+0.5*(1-(Q921/N921)^2)+(1-(Q921/O921)^2)^2)*(O921/Q921)^4</f>
        <v>4.38829585909199</v>
      </c>
      <c r="W921" s="14"/>
      <c r="X921" s="10" t="s">
        <v>248</v>
      </c>
      <c r="Y921" s="16" t="n">
        <v>5.25</v>
      </c>
      <c r="Z921" s="17" t="s">
        <v>48</v>
      </c>
      <c r="AA921" s="6" t="s">
        <v>1874</v>
      </c>
      <c r="AB921" s="18" t="n">
        <f aca="false">IF(O921="","",$D$3*PI()*(O921/1000)^2/4*3600)</f>
        <v>1.08573442108063</v>
      </c>
      <c r="AC921" s="19" t="n">
        <f aca="false">IF(OR(U921="",NOT(ISNUMBER(U921))),"",U921*$D$3^2/(2*$H$3))</f>
        <v>0.17743119266055</v>
      </c>
      <c r="AD921" s="20" t="n">
        <f aca="false">IF(OR(U921="",NOT(ISNUMBER(U921))),"",U921*$D$3^2/2*$F$3)</f>
        <v>1740.6</v>
      </c>
      <c r="AE921" s="19" t="n">
        <f aca="false">IF(OR(V921="",NOT(ISNUMBER(V921))),"",V921*$D$3^2/(2*$H$3))</f>
        <v>0.503244937969265</v>
      </c>
      <c r="AF921" s="20" t="n">
        <f aca="false">IF(OR(V921="",NOT(ISNUMBER(V921))),"",V921*$D$3^2/2*$F$3)</f>
        <v>4936.83284147849</v>
      </c>
      <c r="AG921" s="19" t="str">
        <f aca="false">IF(OR(W921="",NOT(ISNUMBER(W921))),"",W921*$D$3^2/(2*$H$3))</f>
        <v/>
      </c>
      <c r="AH921" s="20" t="str">
        <f aca="false">IF(OR(W921="",NOT(ISNUMBER(W921))),"",W921*$D$3^2/2*$F$3)</f>
        <v/>
      </c>
    </row>
    <row r="922" customFormat="false" ht="15" hidden="false" customHeight="false" outlineLevel="0" collapsed="false">
      <c r="A922" s="10" t="s">
        <v>1997</v>
      </c>
      <c r="B922" s="11" t="s">
        <v>41</v>
      </c>
      <c r="C922" s="6" t="s">
        <v>1872</v>
      </c>
      <c r="D922" s="6" t="s">
        <v>1998</v>
      </c>
      <c r="E922" s="6" t="s">
        <v>268</v>
      </c>
      <c r="F922" s="6" t="s">
        <v>247</v>
      </c>
      <c r="G922" s="6" t="n">
        <v>32</v>
      </c>
      <c r="H922" s="6" t="n">
        <v>25</v>
      </c>
      <c r="I922" s="6"/>
      <c r="J922" s="6" t="n">
        <v>16</v>
      </c>
      <c r="K922" s="6" t="s">
        <v>46</v>
      </c>
      <c r="L922" s="6"/>
      <c r="M922" s="6"/>
      <c r="N922" s="12" t="n">
        <v>26.2</v>
      </c>
      <c r="O922" s="12" t="n">
        <v>20.4</v>
      </c>
      <c r="P922" s="13" t="n">
        <v>22</v>
      </c>
      <c r="Q922" s="13" t="n">
        <v>17</v>
      </c>
      <c r="R922" s="14" t="n">
        <v>0.023</v>
      </c>
      <c r="S922" s="6" t="n">
        <v>20</v>
      </c>
      <c r="T922" s="6"/>
      <c r="U922" s="15" t="n">
        <f aca="false">(20*R922+0.5*(1-(P922/N922)^2)+(1-(P922/N922)^2)^2)*(N922/P922)^4</f>
        <v>1.39682805245543</v>
      </c>
      <c r="V922" s="15" t="n">
        <f aca="false">(60*R922+0.5*(1-(Q922/N922)^2)+(1-(Q922/O922)^2)^2)*(O922/Q922)^4</f>
        <v>3.65546196888293</v>
      </c>
      <c r="W922" s="14"/>
      <c r="X922" s="10" t="s">
        <v>248</v>
      </c>
      <c r="Y922" s="16" t="n">
        <v>5.25</v>
      </c>
      <c r="Z922" s="17" t="s">
        <v>48</v>
      </c>
      <c r="AA922" s="6" t="s">
        <v>1874</v>
      </c>
      <c r="AB922" s="18" t="n">
        <f aca="false">IF(O922="","",$D$3*PI()*(O922/1000)^2/4*3600)</f>
        <v>1.7649970182692</v>
      </c>
      <c r="AC922" s="19" t="n">
        <f aca="false">IF(OR(U922="",NOT(ISNUMBER(U922))),"",U922*$D$3^2/(2*$H$3))</f>
        <v>0.160186703263238</v>
      </c>
      <c r="AD922" s="20" t="n">
        <f aca="false">IF(OR(U922="",NOT(ISNUMBER(U922))),"",U922*$D$3^2/2*$F$3)</f>
        <v>1571.43155901236</v>
      </c>
      <c r="AE922" s="19" t="n">
        <f aca="false">IF(OR(V922="",NOT(ISNUMBER(V922))),"",V922*$D$3^2/(2*$H$3))</f>
        <v>0.419204354229694</v>
      </c>
      <c r="AF922" s="20" t="n">
        <f aca="false">IF(OR(V922="",NOT(ISNUMBER(V922))),"",V922*$D$3^2/2*$F$3)</f>
        <v>4112.3947149933</v>
      </c>
      <c r="AG922" s="19" t="str">
        <f aca="false">IF(OR(W922="",NOT(ISNUMBER(W922))),"",W922*$D$3^2/(2*$H$3))</f>
        <v/>
      </c>
      <c r="AH922" s="20" t="str">
        <f aca="false">IF(OR(W922="",NOT(ISNUMBER(W922))),"",W922*$D$3^2/2*$F$3)</f>
        <v/>
      </c>
    </row>
    <row r="923" customFormat="false" ht="15" hidden="false" customHeight="false" outlineLevel="0" collapsed="false">
      <c r="A923" s="10" t="s">
        <v>1999</v>
      </c>
      <c r="B923" s="11" t="s">
        <v>41</v>
      </c>
      <c r="C923" s="6" t="s">
        <v>1872</v>
      </c>
      <c r="D923" s="6" t="s">
        <v>2000</v>
      </c>
      <c r="E923" s="6" t="s">
        <v>268</v>
      </c>
      <c r="F923" s="6" t="s">
        <v>247</v>
      </c>
      <c r="G923" s="6" t="n">
        <v>40</v>
      </c>
      <c r="H923" s="6" t="n">
        <v>32</v>
      </c>
      <c r="I923" s="6"/>
      <c r="J923" s="6" t="n">
        <v>16</v>
      </c>
      <c r="K923" s="6" t="s">
        <v>46</v>
      </c>
      <c r="L923" s="6"/>
      <c r="M923" s="6"/>
      <c r="N923" s="12" t="n">
        <v>32.6</v>
      </c>
      <c r="O923" s="12" t="n">
        <v>26.2</v>
      </c>
      <c r="P923" s="13" t="n">
        <v>28</v>
      </c>
      <c r="Q923" s="13" t="n">
        <v>22</v>
      </c>
      <c r="R923" s="14" t="n">
        <v>0.022</v>
      </c>
      <c r="S923" s="6" t="n">
        <v>20</v>
      </c>
      <c r="T923" s="6"/>
      <c r="U923" s="15" t="n">
        <f aca="false">(20*R923+0.5*(1-(P923/N923)^2)+(1-(P923/N923)^2)^2)*(N923/P923)^4</f>
        <v>1.17593663145564</v>
      </c>
      <c r="V923" s="15" t="n">
        <f aca="false">(60*R923+0.5*(1-(Q923/N923)^2)+(1-(Q923/O923)^2)^2)*(O923/Q923)^4</f>
        <v>3.37779727734116</v>
      </c>
      <c r="W923" s="14"/>
      <c r="X923" s="10" t="s">
        <v>248</v>
      </c>
      <c r="Y923" s="16" t="n">
        <v>5.25</v>
      </c>
      <c r="Z923" s="17" t="s">
        <v>48</v>
      </c>
      <c r="AA923" s="6" t="s">
        <v>1874</v>
      </c>
      <c r="AB923" s="18" t="n">
        <f aca="false">IF(O923="","",$D$3*PI()*(O923/1000)^2/4*3600)</f>
        <v>2.91129506252574</v>
      </c>
      <c r="AC923" s="19" t="n">
        <f aca="false">IF(OR(U923="",NOT(ISNUMBER(U923))),"",U923*$D$3^2/(2*$H$3))</f>
        <v>0.134855118286198</v>
      </c>
      <c r="AD923" s="20" t="n">
        <f aca="false">IF(OR(U923="",NOT(ISNUMBER(U923))),"",U923*$D$3^2/2*$F$3)</f>
        <v>1322.9287103876</v>
      </c>
      <c r="AE923" s="19" t="n">
        <f aca="false">IF(OR(V923="",NOT(ISNUMBER(V923))),"",V923*$D$3^2/(2*$H$3))</f>
        <v>0.387362073089583</v>
      </c>
      <c r="AF923" s="20" t="n">
        <f aca="false">IF(OR(V923="",NOT(ISNUMBER(V923))),"",V923*$D$3^2/2*$F$3)</f>
        <v>3800.02193700881</v>
      </c>
      <c r="AG923" s="19" t="str">
        <f aca="false">IF(OR(W923="",NOT(ISNUMBER(W923))),"",W923*$D$3^2/(2*$H$3))</f>
        <v/>
      </c>
      <c r="AH923" s="20" t="str">
        <f aca="false">IF(OR(W923="",NOT(ISNUMBER(W923))),"",W923*$D$3^2/2*$F$3)</f>
        <v/>
      </c>
    </row>
    <row r="924" customFormat="false" ht="15" hidden="false" customHeight="false" outlineLevel="0" collapsed="false">
      <c r="A924" s="10" t="s">
        <v>2001</v>
      </c>
      <c r="B924" s="11" t="s">
        <v>41</v>
      </c>
      <c r="C924" s="6" t="s">
        <v>1872</v>
      </c>
      <c r="D924" s="6" t="s">
        <v>2002</v>
      </c>
      <c r="E924" s="6" t="s">
        <v>268</v>
      </c>
      <c r="F924" s="6" t="s">
        <v>247</v>
      </c>
      <c r="G924" s="6" t="n">
        <v>50</v>
      </c>
      <c r="H924" s="6" t="n">
        <v>40</v>
      </c>
      <c r="I924" s="6"/>
      <c r="J924" s="6" t="n">
        <v>16</v>
      </c>
      <c r="K924" s="6" t="s">
        <v>46</v>
      </c>
      <c r="L924" s="6"/>
      <c r="M924" s="6"/>
      <c r="N924" s="12" t="n">
        <v>40.8</v>
      </c>
      <c r="O924" s="12" t="n">
        <v>32.6</v>
      </c>
      <c r="P924" s="13" t="n">
        <v>35</v>
      </c>
      <c r="Q924" s="13" t="n">
        <v>28</v>
      </c>
      <c r="R924" s="14" t="n">
        <v>0.021</v>
      </c>
      <c r="S924" s="6" t="n">
        <v>20</v>
      </c>
      <c r="T924" s="6"/>
      <c r="U924" s="15" t="n">
        <f aca="false">(20*R924+0.5*(1-(P924/N924)^2)+(1-(P924/N924)^2)^2)*(N924/P924)^4</f>
        <v>1.14821194691012</v>
      </c>
      <c r="V924" s="15" t="n">
        <f aca="false">(60*R924+0.5*(1-(Q924/N924)^2)+(1-(Q924/O924)^2)^2)*(O924/Q924)^4</f>
        <v>2.92778809701538</v>
      </c>
      <c r="W924" s="14"/>
      <c r="X924" s="10" t="s">
        <v>248</v>
      </c>
      <c r="Y924" s="16" t="n">
        <v>5.25</v>
      </c>
      <c r="Z924" s="17" t="s">
        <v>48</v>
      </c>
      <c r="AA924" s="6" t="s">
        <v>1874</v>
      </c>
      <c r="AB924" s="18" t="n">
        <f aca="false">IF(O924="","",$D$3*PI()*(O924/1000)^2/4*3600)</f>
        <v>4.50732466151427</v>
      </c>
      <c r="AC924" s="19" t="n">
        <f aca="false">IF(OR(U924="",NOT(ISNUMBER(U924))),"",U924*$D$3^2/(2*$H$3))</f>
        <v>0.131675681985106</v>
      </c>
      <c r="AD924" s="20" t="n">
        <f aca="false">IF(OR(U924="",NOT(ISNUMBER(U924))),"",U924*$D$3^2/2*$F$3)</f>
        <v>1291.73844027389</v>
      </c>
      <c r="AE924" s="19" t="n">
        <f aca="false">IF(OR(V924="",NOT(ISNUMBER(V924))),"",V924*$D$3^2/(2*$H$3))</f>
        <v>0.335755515712773</v>
      </c>
      <c r="AF924" s="20" t="n">
        <f aca="false">IF(OR(V924="",NOT(ISNUMBER(V924))),"",V924*$D$3^2/2*$F$3)</f>
        <v>3293.7616091423</v>
      </c>
      <c r="AG924" s="19" t="str">
        <f aca="false">IF(OR(W924="",NOT(ISNUMBER(W924))),"",W924*$D$3^2/(2*$H$3))</f>
        <v/>
      </c>
      <c r="AH924" s="20" t="str">
        <f aca="false">IF(OR(W924="",NOT(ISNUMBER(W924))),"",W924*$D$3^2/2*$F$3)</f>
        <v/>
      </c>
    </row>
    <row r="925" customFormat="false" ht="15" hidden="false" customHeight="false" outlineLevel="0" collapsed="false">
      <c r="A925" s="10" t="s">
        <v>2003</v>
      </c>
      <c r="B925" s="11" t="s">
        <v>41</v>
      </c>
      <c r="C925" s="6" t="s">
        <v>1872</v>
      </c>
      <c r="D925" s="6" t="s">
        <v>2004</v>
      </c>
      <c r="E925" s="6" t="s">
        <v>268</v>
      </c>
      <c r="F925" s="6" t="s">
        <v>247</v>
      </c>
      <c r="G925" s="6" t="n">
        <v>63</v>
      </c>
      <c r="H925" s="6" t="n">
        <v>50</v>
      </c>
      <c r="I925" s="6"/>
      <c r="J925" s="6" t="n">
        <v>16</v>
      </c>
      <c r="K925" s="6" t="s">
        <v>46</v>
      </c>
      <c r="L925" s="6"/>
      <c r="M925" s="6"/>
      <c r="N925" s="12" t="n">
        <v>51.4</v>
      </c>
      <c r="O925" s="12" t="n">
        <v>40.8</v>
      </c>
      <c r="P925" s="13" t="n">
        <v>45</v>
      </c>
      <c r="Q925" s="13" t="n">
        <v>35</v>
      </c>
      <c r="R925" s="14" t="n">
        <v>0.019</v>
      </c>
      <c r="S925" s="6" t="n">
        <v>20</v>
      </c>
      <c r="T925" s="6"/>
      <c r="U925" s="15" t="n">
        <f aca="false">(20*R925+0.5*(1-(P925/N925)^2)+(1-(P925/N925)^2)^2)*(N925/P925)^4</f>
        <v>0.938396821510867</v>
      </c>
      <c r="V925" s="15" t="n">
        <f aca="false">(60*R925+0.5*(1-(Q925/N925)^2)+(1-(Q925/O925)^2)^2)*(O925/Q925)^4</f>
        <v>2.72909245070027</v>
      </c>
      <c r="W925" s="14"/>
      <c r="X925" s="10" t="s">
        <v>248</v>
      </c>
      <c r="Y925" s="16" t="n">
        <v>5.25</v>
      </c>
      <c r="Z925" s="17" t="s">
        <v>48</v>
      </c>
      <c r="AA925" s="6" t="s">
        <v>1874</v>
      </c>
      <c r="AB925" s="18" t="n">
        <f aca="false">IF(O925="","",$D$3*PI()*(O925/1000)^2/4*3600)</f>
        <v>7.05998807307681</v>
      </c>
      <c r="AC925" s="19" t="n">
        <f aca="false">IF(OR(U925="",NOT(ISNUMBER(U925))),"",U925*$D$3^2/(2*$H$3))</f>
        <v>0.107614314393448</v>
      </c>
      <c r="AD925" s="20" t="n">
        <f aca="false">IF(OR(U925="",NOT(ISNUMBER(U925))),"",U925*$D$3^2/2*$F$3)</f>
        <v>1055.69642419973</v>
      </c>
      <c r="AE925" s="19" t="n">
        <f aca="false">IF(OR(V925="",NOT(ISNUMBER(V925))),"",V925*$D$3^2/(2*$H$3))</f>
        <v>0.312969317740857</v>
      </c>
      <c r="AF925" s="20" t="n">
        <f aca="false">IF(OR(V925="",NOT(ISNUMBER(V925))),"",V925*$D$3^2/2*$F$3)</f>
        <v>3070.22900703781</v>
      </c>
      <c r="AG925" s="19" t="str">
        <f aca="false">IF(OR(W925="",NOT(ISNUMBER(W925))),"",W925*$D$3^2/(2*$H$3))</f>
        <v/>
      </c>
      <c r="AH925" s="20" t="str">
        <f aca="false">IF(OR(W925="",NOT(ISNUMBER(W925))),"",W925*$D$3^2/2*$F$3)</f>
        <v/>
      </c>
    </row>
    <row r="926" customFormat="false" ht="15" hidden="false" customHeight="false" outlineLevel="0" collapsed="false">
      <c r="A926" s="10" t="s">
        <v>2005</v>
      </c>
      <c r="B926" s="11" t="s">
        <v>41</v>
      </c>
      <c r="C926" s="6" t="s">
        <v>1872</v>
      </c>
      <c r="D926" s="6" t="s">
        <v>2006</v>
      </c>
      <c r="E926" s="6" t="s">
        <v>297</v>
      </c>
      <c r="F926" s="6" t="s">
        <v>247</v>
      </c>
      <c r="G926" s="6" t="n">
        <v>20</v>
      </c>
      <c r="H926" s="6" t="n">
        <v>20</v>
      </c>
      <c r="I926" s="6" t="s">
        <v>108</v>
      </c>
      <c r="J926" s="6" t="n">
        <v>16</v>
      </c>
      <c r="K926" s="6" t="s">
        <v>46</v>
      </c>
      <c r="L926" s="6"/>
      <c r="M926" s="6"/>
      <c r="N926" s="12" t="n">
        <v>16</v>
      </c>
      <c r="O926" s="12" t="n">
        <v>16</v>
      </c>
      <c r="P926" s="13" t="n">
        <v>13</v>
      </c>
      <c r="Q926" s="13" t="n">
        <v>13</v>
      </c>
      <c r="R926" s="14" t="n">
        <v>0.027</v>
      </c>
      <c r="S926" s="6" t="n">
        <v>20</v>
      </c>
      <c r="T926" s="6"/>
      <c r="U926" s="15" t="n">
        <f aca="false">(20*R926+0.5*(1-(P926/N926)^2)+(1-(P926/N926)^2)^2)*(N926/P926)^4</f>
        <v>1.89399670879871</v>
      </c>
      <c r="V926" s="15" t="n">
        <f aca="false">(60*R926+0.5*(1-(Q926/N926)^2)+(1-(Q926/O926)^2)^2)*(O926/Q926)^4</f>
        <v>4.37216203914429</v>
      </c>
      <c r="W926" s="14"/>
      <c r="X926" s="10" t="s">
        <v>248</v>
      </c>
      <c r="Y926" s="16" t="n">
        <v>2.62</v>
      </c>
      <c r="Z926" s="17" t="s">
        <v>48</v>
      </c>
      <c r="AA926" s="6" t="s">
        <v>1874</v>
      </c>
      <c r="AB926" s="18" t="n">
        <f aca="false">IF(O926="","",$D$3*PI()*(O926/1000)^2/4*3600)</f>
        <v>1.08573442108063</v>
      </c>
      <c r="AC926" s="19" t="n">
        <f aca="false">IF(OR(U926="",NOT(ISNUMBER(U926))),"",U926*$D$3^2/(2*$H$3))</f>
        <v>0.217201457431045</v>
      </c>
      <c r="AD926" s="20" t="n">
        <f aca="false">IF(OR(U926="",NOT(ISNUMBER(U926))),"",U926*$D$3^2/2*$F$3)</f>
        <v>2130.74629739855</v>
      </c>
      <c r="AE926" s="19" t="n">
        <f aca="false">IF(OR(V926="",NOT(ISNUMBER(V926))),"",V926*$D$3^2/(2*$H$3))</f>
        <v>0.501394729259666</v>
      </c>
      <c r="AF926" s="20" t="n">
        <f aca="false">IF(OR(V926="",NOT(ISNUMBER(V926))),"",V926*$D$3^2/2*$F$3)</f>
        <v>4918.68229403732</v>
      </c>
      <c r="AG926" s="19" t="str">
        <f aca="false">IF(OR(W926="",NOT(ISNUMBER(W926))),"",W926*$D$3^2/(2*$H$3))</f>
        <v/>
      </c>
      <c r="AH926" s="20" t="str">
        <f aca="false">IF(OR(W926="",NOT(ISNUMBER(W926))),"",W926*$D$3^2/2*$F$3)</f>
        <v/>
      </c>
    </row>
    <row r="927" customFormat="false" ht="15" hidden="false" customHeight="false" outlineLevel="0" collapsed="false">
      <c r="A927" s="10" t="s">
        <v>2007</v>
      </c>
      <c r="B927" s="11" t="s">
        <v>41</v>
      </c>
      <c r="C927" s="6" t="s">
        <v>1872</v>
      </c>
      <c r="D927" s="6" t="s">
        <v>2008</v>
      </c>
      <c r="E927" s="6" t="s">
        <v>297</v>
      </c>
      <c r="F927" s="6" t="s">
        <v>247</v>
      </c>
      <c r="G927" s="6" t="n">
        <v>25</v>
      </c>
      <c r="H927" s="6" t="n">
        <v>25</v>
      </c>
      <c r="I927" s="6" t="s">
        <v>111</v>
      </c>
      <c r="J927" s="6" t="n">
        <v>16</v>
      </c>
      <c r="K927" s="6" t="s">
        <v>46</v>
      </c>
      <c r="L927" s="6"/>
      <c r="M927" s="6"/>
      <c r="N927" s="12" t="n">
        <v>20.4</v>
      </c>
      <c r="O927" s="12" t="n">
        <v>20.4</v>
      </c>
      <c r="P927" s="13" t="n">
        <v>17</v>
      </c>
      <c r="Q927" s="13" t="n">
        <v>17</v>
      </c>
      <c r="R927" s="14" t="n">
        <v>0.025</v>
      </c>
      <c r="S927" s="6" t="n">
        <v>20</v>
      </c>
      <c r="T927" s="6"/>
      <c r="U927" s="15" t="n">
        <f aca="false">(20*R927+0.5*(1-(P927/N927)^2)+(1-(P927/N927)^2)^2)*(N927/P927)^4</f>
        <v>1.5472</v>
      </c>
      <c r="V927" s="15" t="n">
        <f aca="false">(60*R927+0.5*(1-(Q927/N927)^2)+(1-(Q927/O927)^2)^2)*(O927/Q927)^4</f>
        <v>3.6208</v>
      </c>
      <c r="W927" s="14"/>
      <c r="X927" s="10" t="s">
        <v>248</v>
      </c>
      <c r="Y927" s="16" t="n">
        <v>2.62</v>
      </c>
      <c r="Z927" s="17" t="s">
        <v>48</v>
      </c>
      <c r="AA927" s="6" t="s">
        <v>1874</v>
      </c>
      <c r="AB927" s="18" t="n">
        <f aca="false">IF(O927="","",$D$3*PI()*(O927/1000)^2/4*3600)</f>
        <v>1.7649970182692</v>
      </c>
      <c r="AC927" s="19" t="n">
        <f aca="false">IF(OR(U927="",NOT(ISNUMBER(U927))),"",U927*$D$3^2/(2*$H$3))</f>
        <v>0.17743119266055</v>
      </c>
      <c r="AD927" s="20" t="n">
        <f aca="false">IF(OR(U927="",NOT(ISNUMBER(U927))),"",U927*$D$3^2/2*$F$3)</f>
        <v>1740.6</v>
      </c>
      <c r="AE927" s="19" t="n">
        <f aca="false">IF(OR(V927="",NOT(ISNUMBER(V927))),"",V927*$D$3^2/(2*$H$3))</f>
        <v>0.415229357798165</v>
      </c>
      <c r="AF927" s="20" t="n">
        <f aca="false">IF(OR(V927="",NOT(ISNUMBER(V927))),"",V927*$D$3^2/2*$F$3)</f>
        <v>4073.4</v>
      </c>
      <c r="AG927" s="19" t="str">
        <f aca="false">IF(OR(W927="",NOT(ISNUMBER(W927))),"",W927*$D$3^2/(2*$H$3))</f>
        <v/>
      </c>
      <c r="AH927" s="20" t="str">
        <f aca="false">IF(OR(W927="",NOT(ISNUMBER(W927))),"",W927*$D$3^2/2*$F$3)</f>
        <v/>
      </c>
    </row>
    <row r="928" customFormat="false" ht="15" hidden="false" customHeight="false" outlineLevel="0" collapsed="false">
      <c r="A928" s="10" t="s">
        <v>2009</v>
      </c>
      <c r="B928" s="11" t="s">
        <v>41</v>
      </c>
      <c r="C928" s="6" t="s">
        <v>1872</v>
      </c>
      <c r="D928" s="6" t="s">
        <v>2010</v>
      </c>
      <c r="E928" s="6" t="s">
        <v>297</v>
      </c>
      <c r="F928" s="6" t="s">
        <v>247</v>
      </c>
      <c r="G928" s="6" t="n">
        <v>32</v>
      </c>
      <c r="H928" s="6" t="n">
        <v>32</v>
      </c>
      <c r="I928" s="6" t="s">
        <v>118</v>
      </c>
      <c r="J928" s="6" t="n">
        <v>16</v>
      </c>
      <c r="K928" s="6" t="s">
        <v>46</v>
      </c>
      <c r="L928" s="6"/>
      <c r="M928" s="6"/>
      <c r="N928" s="12" t="n">
        <v>26.2</v>
      </c>
      <c r="O928" s="12" t="n">
        <v>26.2</v>
      </c>
      <c r="P928" s="13" t="n">
        <v>22</v>
      </c>
      <c r="Q928" s="13" t="n">
        <v>22</v>
      </c>
      <c r="R928" s="14" t="n">
        <v>0.023</v>
      </c>
      <c r="S928" s="6" t="n">
        <v>20</v>
      </c>
      <c r="T928" s="6"/>
      <c r="U928" s="15" t="n">
        <f aca="false">(20*R928+0.5*(1-(P928/N928)^2)+(1-(P928/N928)^2)^2)*(N928/P928)^4</f>
        <v>1.39682805245543</v>
      </c>
      <c r="V928" s="15" t="n">
        <f aca="false">(60*R928+0.5*(1-(Q928/N928)^2)+(1-(Q928/O928)^2)^2)*(O928/Q928)^4</f>
        <v>3.24738421200738</v>
      </c>
      <c r="W928" s="14"/>
      <c r="X928" s="10" t="s">
        <v>248</v>
      </c>
      <c r="Y928" s="16" t="n">
        <v>2.62</v>
      </c>
      <c r="Z928" s="17" t="s">
        <v>48</v>
      </c>
      <c r="AA928" s="6" t="s">
        <v>1874</v>
      </c>
      <c r="AB928" s="18" t="n">
        <f aca="false">IF(O928="","",$D$3*PI()*(O928/1000)^2/4*3600)</f>
        <v>2.91129506252574</v>
      </c>
      <c r="AC928" s="19" t="n">
        <f aca="false">IF(OR(U928="",NOT(ISNUMBER(U928))),"",U928*$D$3^2/(2*$H$3))</f>
        <v>0.160186703263238</v>
      </c>
      <c r="AD928" s="20" t="n">
        <f aca="false">IF(OR(U928="",NOT(ISNUMBER(U928))),"",U928*$D$3^2/2*$F$3)</f>
        <v>1571.43155901236</v>
      </c>
      <c r="AE928" s="19" t="n">
        <f aca="false">IF(OR(V928="",NOT(ISNUMBER(V928))),"",V928*$D$3^2/(2*$H$3))</f>
        <v>0.372406446331121</v>
      </c>
      <c r="AF928" s="20" t="n">
        <f aca="false">IF(OR(V928="",NOT(ISNUMBER(V928))),"",V928*$D$3^2/2*$F$3)</f>
        <v>3653.3072385083</v>
      </c>
      <c r="AG928" s="19" t="str">
        <f aca="false">IF(OR(W928="",NOT(ISNUMBER(W928))),"",W928*$D$3^2/(2*$H$3))</f>
        <v/>
      </c>
      <c r="AH928" s="20" t="str">
        <f aca="false">IF(OR(W928="",NOT(ISNUMBER(W928))),"",W928*$D$3^2/2*$F$3)</f>
        <v/>
      </c>
    </row>
    <row r="929" customFormat="false" ht="15" hidden="false" customHeight="false" outlineLevel="0" collapsed="false">
      <c r="A929" s="10" t="s">
        <v>2011</v>
      </c>
      <c r="B929" s="11" t="s">
        <v>41</v>
      </c>
      <c r="C929" s="6" t="s">
        <v>1872</v>
      </c>
      <c r="D929" s="6" t="s">
        <v>2012</v>
      </c>
      <c r="E929" s="6" t="s">
        <v>297</v>
      </c>
      <c r="F929" s="6" t="s">
        <v>247</v>
      </c>
      <c r="G929" s="6" t="n">
        <v>40</v>
      </c>
      <c r="H929" s="6" t="n">
        <v>40</v>
      </c>
      <c r="I929" s="6" t="s">
        <v>127</v>
      </c>
      <c r="J929" s="6" t="n">
        <v>16</v>
      </c>
      <c r="K929" s="6" t="s">
        <v>46</v>
      </c>
      <c r="L929" s="6"/>
      <c r="M929" s="6"/>
      <c r="N929" s="12" t="n">
        <v>32.6</v>
      </c>
      <c r="O929" s="12" t="n">
        <v>32.6</v>
      </c>
      <c r="P929" s="13" t="n">
        <v>28</v>
      </c>
      <c r="Q929" s="13" t="n">
        <v>28</v>
      </c>
      <c r="R929" s="14" t="n">
        <v>0.022</v>
      </c>
      <c r="S929" s="6" t="n">
        <v>20</v>
      </c>
      <c r="T929" s="6"/>
      <c r="U929" s="15" t="n">
        <f aca="false">(20*R929+0.5*(1-(P929/N929)^2)+(1-(P929/N929)^2)^2)*(N929/P929)^4</f>
        <v>1.17593663145564</v>
      </c>
      <c r="V929" s="15" t="n">
        <f aca="false">(60*R929+0.5*(1-(Q929/N929)^2)+(1-(Q929/O929)^2)^2)*(O929/Q929)^4</f>
        <v>2.79297731679509</v>
      </c>
      <c r="W929" s="14"/>
      <c r="X929" s="10" t="s">
        <v>248</v>
      </c>
      <c r="Y929" s="16" t="n">
        <v>2.62</v>
      </c>
      <c r="Z929" s="17" t="s">
        <v>48</v>
      </c>
      <c r="AA929" s="6" t="s">
        <v>1874</v>
      </c>
      <c r="AB929" s="18" t="n">
        <f aca="false">IF(O929="","",$D$3*PI()*(O929/1000)^2/4*3600)</f>
        <v>4.50732466151427</v>
      </c>
      <c r="AC929" s="19" t="n">
        <f aca="false">IF(OR(U929="",NOT(ISNUMBER(U929))),"",U929*$D$3^2/(2*$H$3))</f>
        <v>0.134855118286198</v>
      </c>
      <c r="AD929" s="20" t="n">
        <f aca="false">IF(OR(U929="",NOT(ISNUMBER(U929))),"",U929*$D$3^2/2*$F$3)</f>
        <v>1322.9287103876</v>
      </c>
      <c r="AE929" s="19" t="n">
        <f aca="false">IF(OR(V929="",NOT(ISNUMBER(V929))),"",V929*$D$3^2/(2*$H$3))</f>
        <v>0.320295563852647</v>
      </c>
      <c r="AF929" s="20" t="n">
        <f aca="false">IF(OR(V929="",NOT(ISNUMBER(V929))),"",V929*$D$3^2/2*$F$3)</f>
        <v>3142.09948139447</v>
      </c>
      <c r="AG929" s="19" t="str">
        <f aca="false">IF(OR(W929="",NOT(ISNUMBER(W929))),"",W929*$D$3^2/(2*$H$3))</f>
        <v/>
      </c>
      <c r="AH929" s="20" t="str">
        <f aca="false">IF(OR(W929="",NOT(ISNUMBER(W929))),"",W929*$D$3^2/2*$F$3)</f>
        <v/>
      </c>
    </row>
    <row r="930" customFormat="false" ht="15" hidden="false" customHeight="false" outlineLevel="0" collapsed="false">
      <c r="A930" s="10" t="s">
        <v>2013</v>
      </c>
      <c r="B930" s="11" t="s">
        <v>41</v>
      </c>
      <c r="C930" s="6" t="s">
        <v>1872</v>
      </c>
      <c r="D930" s="6" t="s">
        <v>2014</v>
      </c>
      <c r="E930" s="6" t="s">
        <v>297</v>
      </c>
      <c r="F930" s="6" t="s">
        <v>247</v>
      </c>
      <c r="G930" s="6" t="n">
        <v>50</v>
      </c>
      <c r="H930" s="6" t="n">
        <v>50</v>
      </c>
      <c r="I930" s="6" t="s">
        <v>130</v>
      </c>
      <c r="J930" s="6" t="n">
        <v>16</v>
      </c>
      <c r="K930" s="6" t="s">
        <v>46</v>
      </c>
      <c r="L930" s="6"/>
      <c r="M930" s="6"/>
      <c r="N930" s="12" t="n">
        <v>40.8</v>
      </c>
      <c r="O930" s="12" t="n">
        <v>40.8</v>
      </c>
      <c r="P930" s="13" t="n">
        <v>35</v>
      </c>
      <c r="Q930" s="13" t="n">
        <v>35</v>
      </c>
      <c r="R930" s="14" t="n">
        <v>0.021</v>
      </c>
      <c r="S930" s="6" t="n">
        <v>20</v>
      </c>
      <c r="T930" s="6"/>
      <c r="U930" s="15" t="n">
        <f aca="false">(20*R930+0.5*(1-(P930/N930)^2)+(1-(P930/N930)^2)^2)*(N930/P930)^4</f>
        <v>1.14821194691012</v>
      </c>
      <c r="V930" s="15" t="n">
        <f aca="false">(60*R930+0.5*(1-(Q930/N930)^2)+(1-(Q930/O930)^2)^2)*(O930/Q930)^4</f>
        <v>2.69934038796901</v>
      </c>
      <c r="W930" s="14"/>
      <c r="X930" s="10" t="s">
        <v>248</v>
      </c>
      <c r="Y930" s="16" t="n">
        <v>2.62</v>
      </c>
      <c r="Z930" s="17" t="s">
        <v>48</v>
      </c>
      <c r="AA930" s="6" t="s">
        <v>1874</v>
      </c>
      <c r="AB930" s="18" t="n">
        <f aca="false">IF(O930="","",$D$3*PI()*(O930/1000)^2/4*3600)</f>
        <v>7.05998807307681</v>
      </c>
      <c r="AC930" s="19" t="n">
        <f aca="false">IF(OR(U930="",NOT(ISNUMBER(U930))),"",U930*$D$3^2/(2*$H$3))</f>
        <v>0.131675681985106</v>
      </c>
      <c r="AD930" s="20" t="n">
        <f aca="false">IF(OR(U930="",NOT(ISNUMBER(U930))),"",U930*$D$3^2/2*$F$3)</f>
        <v>1291.73844027389</v>
      </c>
      <c r="AE930" s="19" t="n">
        <f aca="false">IF(OR(V930="",NOT(ISNUMBER(V930))),"",V930*$D$3^2/(2*$H$3))</f>
        <v>0.309557383941401</v>
      </c>
      <c r="AF930" s="20" t="n">
        <f aca="false">IF(OR(V930="",NOT(ISNUMBER(V930))),"",V930*$D$3^2/2*$F$3)</f>
        <v>3036.75793646514</v>
      </c>
      <c r="AG930" s="19" t="str">
        <f aca="false">IF(OR(W930="",NOT(ISNUMBER(W930))),"",W930*$D$3^2/(2*$H$3))</f>
        <v/>
      </c>
      <c r="AH930" s="20" t="str">
        <f aca="false">IF(OR(W930="",NOT(ISNUMBER(W930))),"",W930*$D$3^2/2*$F$3)</f>
        <v/>
      </c>
    </row>
    <row r="931" customFormat="false" ht="15" hidden="false" customHeight="false" outlineLevel="0" collapsed="false">
      <c r="A931" s="10" t="s">
        <v>2015</v>
      </c>
      <c r="B931" s="11" t="s">
        <v>41</v>
      </c>
      <c r="C931" s="6" t="s">
        <v>1872</v>
      </c>
      <c r="D931" s="6" t="s">
        <v>2016</v>
      </c>
      <c r="E931" s="6" t="s">
        <v>297</v>
      </c>
      <c r="F931" s="6" t="s">
        <v>247</v>
      </c>
      <c r="G931" s="6" t="n">
        <v>63</v>
      </c>
      <c r="H931" s="6" t="n">
        <v>63</v>
      </c>
      <c r="I931" s="6" t="s">
        <v>133</v>
      </c>
      <c r="J931" s="6" t="n">
        <v>16</v>
      </c>
      <c r="K931" s="6" t="s">
        <v>46</v>
      </c>
      <c r="L931" s="6"/>
      <c r="M931" s="6"/>
      <c r="N931" s="12" t="n">
        <v>51.4</v>
      </c>
      <c r="O931" s="12" t="n">
        <v>51.4</v>
      </c>
      <c r="P931" s="13" t="n">
        <v>45</v>
      </c>
      <c r="Q931" s="13" t="n">
        <v>45</v>
      </c>
      <c r="R931" s="14" t="n">
        <v>0.019</v>
      </c>
      <c r="S931" s="6" t="n">
        <v>20</v>
      </c>
      <c r="T931" s="6"/>
      <c r="U931" s="15" t="n">
        <f aca="false">(20*R931+0.5*(1-(P931/N931)^2)+(1-(P931/N931)^2)^2)*(N931/P931)^4</f>
        <v>0.938396821510867</v>
      </c>
      <c r="V931" s="15" t="n">
        <f aca="false">(60*R931+0.5*(1-(Q931/N931)^2)+(1-(Q931/O931)^2)^2)*(O931/Q931)^4</f>
        <v>2.23204449902734</v>
      </c>
      <c r="W931" s="14"/>
      <c r="X931" s="10" t="s">
        <v>248</v>
      </c>
      <c r="Y931" s="16" t="n">
        <v>2.62</v>
      </c>
      <c r="Z931" s="17" t="s">
        <v>48</v>
      </c>
      <c r="AA931" s="6" t="s">
        <v>1874</v>
      </c>
      <c r="AB931" s="18" t="n">
        <f aca="false">IF(O931="","",$D$3*PI()*(O931/1000)^2/4*3600)</f>
        <v>11.2049488715554</v>
      </c>
      <c r="AC931" s="19" t="n">
        <f aca="false">IF(OR(U931="",NOT(ISNUMBER(U931))),"",U931*$D$3^2/(2*$H$3))</f>
        <v>0.107614314393448</v>
      </c>
      <c r="AD931" s="20" t="n">
        <f aca="false">IF(OR(U931="",NOT(ISNUMBER(U931))),"",U931*$D$3^2/2*$F$3)</f>
        <v>1055.69642419973</v>
      </c>
      <c r="AE931" s="19" t="n">
        <f aca="false">IF(OR(V931="",NOT(ISNUMBER(V931))),"",V931*$D$3^2/(2*$H$3))</f>
        <v>0.25596840585176</v>
      </c>
      <c r="AF931" s="20" t="n">
        <f aca="false">IF(OR(V931="",NOT(ISNUMBER(V931))),"",V931*$D$3^2/2*$F$3)</f>
        <v>2511.05006140576</v>
      </c>
      <c r="AG931" s="19" t="str">
        <f aca="false">IF(OR(W931="",NOT(ISNUMBER(W931))),"",W931*$D$3^2/(2*$H$3))</f>
        <v/>
      </c>
      <c r="AH931" s="20" t="str">
        <f aca="false">IF(OR(W931="",NOT(ISNUMBER(W931))),"",W931*$D$3^2/2*$F$3)</f>
        <v/>
      </c>
    </row>
    <row r="932" customFormat="false" ht="15" hidden="false" customHeight="false" outlineLevel="0" collapsed="false">
      <c r="A932" s="10" t="s">
        <v>2017</v>
      </c>
      <c r="B932" s="11" t="s">
        <v>41</v>
      </c>
      <c r="C932" s="6" t="s">
        <v>1872</v>
      </c>
      <c r="D932" s="6" t="s">
        <v>2018</v>
      </c>
      <c r="E932" s="6" t="s">
        <v>297</v>
      </c>
      <c r="F932" s="6" t="s">
        <v>247</v>
      </c>
      <c r="G932" s="6" t="n">
        <v>75</v>
      </c>
      <c r="H932" s="6" t="n">
        <v>75</v>
      </c>
      <c r="I932" s="6" t="s">
        <v>136</v>
      </c>
      <c r="J932" s="6" t="n">
        <v>16</v>
      </c>
      <c r="K932" s="6" t="s">
        <v>46</v>
      </c>
      <c r="L932" s="6"/>
      <c r="M932" s="6"/>
      <c r="N932" s="12" t="n">
        <v>61.4</v>
      </c>
      <c r="O932" s="12" t="n">
        <v>61.4</v>
      </c>
      <c r="P932" s="13" t="n">
        <v>54</v>
      </c>
      <c r="Q932" s="13" t="n">
        <v>54</v>
      </c>
      <c r="R932" s="14" t="n">
        <v>0.018</v>
      </c>
      <c r="S932" s="6" t="n">
        <v>20</v>
      </c>
      <c r="T932" s="6"/>
      <c r="U932" s="15" t="n">
        <f aca="false">(20*R932+0.5*(1-(P932/N932)^2)+(1-(P932/N932)^2)^2)*(N932/P932)^4</f>
        <v>0.876800132443677</v>
      </c>
      <c r="V932" s="15" t="n">
        <f aca="false">(60*R932+0.5*(1-(Q932/N932)^2)+(1-(Q932/O932)^2)^2)*(O932/Q932)^4</f>
        <v>2.08025814202894</v>
      </c>
      <c r="W932" s="14"/>
      <c r="X932" s="10" t="s">
        <v>248</v>
      </c>
      <c r="Y932" s="16" t="n">
        <v>2.62</v>
      </c>
      <c r="Z932" s="17" t="s">
        <v>48</v>
      </c>
      <c r="AA932" s="6" t="s">
        <v>1874</v>
      </c>
      <c r="AB932" s="18" t="n">
        <f aca="false">IF(O932="","",$D$3*PI()*(O932/1000)^2/4*3600)</f>
        <v>15.988966164442</v>
      </c>
      <c r="AC932" s="19" t="n">
        <f aca="false">IF(OR(U932="",NOT(ISNUMBER(U932))),"",U932*$D$3^2/(2*$H$3))</f>
        <v>0.100550473904091</v>
      </c>
      <c r="AD932" s="20" t="n">
        <f aca="false">IF(OR(U932="",NOT(ISNUMBER(U932))),"",U932*$D$3^2/2*$F$3)</f>
        <v>986.400148999136</v>
      </c>
      <c r="AE932" s="19" t="n">
        <f aca="false">IF(OR(V932="",NOT(ISNUMBER(V932))),"",V932*$D$3^2/(2*$H$3))</f>
        <v>0.238561713535428</v>
      </c>
      <c r="AF932" s="20" t="n">
        <f aca="false">IF(OR(V932="",NOT(ISNUMBER(V932))),"",V932*$D$3^2/2*$F$3)</f>
        <v>2340.29040978255</v>
      </c>
      <c r="AG932" s="19" t="str">
        <f aca="false">IF(OR(W932="",NOT(ISNUMBER(W932))),"",W932*$D$3^2/(2*$H$3))</f>
        <v/>
      </c>
      <c r="AH932" s="20" t="str">
        <f aca="false">IF(OR(W932="",NOT(ISNUMBER(W932))),"",W932*$D$3^2/2*$F$3)</f>
        <v/>
      </c>
    </row>
    <row r="933" customFormat="false" ht="15" hidden="false" customHeight="false" outlineLevel="0" collapsed="false">
      <c r="A933" s="10" t="s">
        <v>2019</v>
      </c>
      <c r="B933" s="11" t="s">
        <v>41</v>
      </c>
      <c r="C933" s="6" t="s">
        <v>1872</v>
      </c>
      <c r="D933" s="6" t="s">
        <v>2020</v>
      </c>
      <c r="E933" s="6" t="s">
        <v>297</v>
      </c>
      <c r="F933" s="6" t="s">
        <v>247</v>
      </c>
      <c r="G933" s="6" t="n">
        <v>90</v>
      </c>
      <c r="H933" s="6" t="n">
        <v>90</v>
      </c>
      <c r="I933" s="6" t="s">
        <v>139</v>
      </c>
      <c r="J933" s="6" t="n">
        <v>16</v>
      </c>
      <c r="K933" s="6" t="s">
        <v>46</v>
      </c>
      <c r="L933" s="6"/>
      <c r="M933" s="6"/>
      <c r="N933" s="12" t="n">
        <v>73.6</v>
      </c>
      <c r="O933" s="12" t="n">
        <v>73.6</v>
      </c>
      <c r="P933" s="13" t="n">
        <v>66</v>
      </c>
      <c r="Q933" s="13" t="n">
        <v>66</v>
      </c>
      <c r="R933" s="14" t="n">
        <v>0.018</v>
      </c>
      <c r="S933" s="6" t="n">
        <v>20</v>
      </c>
      <c r="T933" s="6"/>
      <c r="U933" s="15" t="n">
        <f aca="false">(20*R933+0.5*(1-(P933/N933)^2)+(1-(P933/N933)^2)^2)*(N933/P933)^4</f>
        <v>0.767487310146291</v>
      </c>
      <c r="V933" s="15" t="n">
        <f aca="false">(60*R933+0.5*(1-(Q933/N933)^2)+(1-(Q933/O933)^2)^2)*(O933/Q933)^4</f>
        <v>1.88093036737523</v>
      </c>
      <c r="W933" s="14"/>
      <c r="X933" s="10" t="s">
        <v>248</v>
      </c>
      <c r="Y933" s="16" t="n">
        <v>2.62</v>
      </c>
      <c r="Z933" s="17" t="s">
        <v>48</v>
      </c>
      <c r="AA933" s="6" t="s">
        <v>1874</v>
      </c>
      <c r="AB933" s="18" t="n">
        <f aca="false">IF(O933="","",$D$3*PI()*(O933/1000)^2/4*3600)</f>
        <v>22.9741403500662</v>
      </c>
      <c r="AC933" s="19" t="n">
        <f aca="false">IF(OR(U933="",NOT(ISNUMBER(U933))),"",U933*$D$3^2/(2*$H$3))</f>
        <v>0.0880145997874187</v>
      </c>
      <c r="AD933" s="20" t="n">
        <f aca="false">IF(OR(U933="",NOT(ISNUMBER(U933))),"",U933*$D$3^2/2*$F$3)</f>
        <v>863.423223914577</v>
      </c>
      <c r="AE933" s="19" t="n">
        <f aca="false">IF(OR(V933="",NOT(ISNUMBER(V933))),"",V933*$D$3^2/(2*$H$3))</f>
        <v>0.215703023781563</v>
      </c>
      <c r="AF933" s="20" t="n">
        <f aca="false">IF(OR(V933="",NOT(ISNUMBER(V933))),"",V933*$D$3^2/2*$F$3)</f>
        <v>2116.04666329713</v>
      </c>
      <c r="AG933" s="19" t="str">
        <f aca="false">IF(OR(W933="",NOT(ISNUMBER(W933))),"",W933*$D$3^2/(2*$H$3))</f>
        <v/>
      </c>
      <c r="AH933" s="20" t="str">
        <f aca="false">IF(OR(W933="",NOT(ISNUMBER(W933))),"",W933*$D$3^2/2*$F$3)</f>
        <v/>
      </c>
    </row>
    <row r="934" customFormat="false" ht="15" hidden="false" customHeight="false" outlineLevel="0" collapsed="false">
      <c r="A934" s="10" t="s">
        <v>2021</v>
      </c>
      <c r="B934" s="11" t="s">
        <v>41</v>
      </c>
      <c r="C934" s="6" t="s">
        <v>1872</v>
      </c>
      <c r="D934" s="6" t="s">
        <v>2022</v>
      </c>
      <c r="E934" s="6" t="s">
        <v>290</v>
      </c>
      <c r="F934" s="6" t="s">
        <v>247</v>
      </c>
      <c r="G934" s="6" t="n">
        <v>20</v>
      </c>
      <c r="H934" s="6" t="n">
        <v>20</v>
      </c>
      <c r="I934" s="6" t="s">
        <v>108</v>
      </c>
      <c r="J934" s="6" t="n">
        <v>16</v>
      </c>
      <c r="K934" s="6" t="s">
        <v>46</v>
      </c>
      <c r="L934" s="6"/>
      <c r="M934" s="6"/>
      <c r="N934" s="12" t="n">
        <v>16</v>
      </c>
      <c r="O934" s="12" t="n">
        <v>16</v>
      </c>
      <c r="P934" s="13" t="n">
        <v>13</v>
      </c>
      <c r="Q934" s="13" t="n">
        <v>13</v>
      </c>
      <c r="R934" s="14" t="n">
        <v>0.027</v>
      </c>
      <c r="S934" s="6" t="n">
        <v>20</v>
      </c>
      <c r="T934" s="6"/>
      <c r="U934" s="15" t="n">
        <f aca="false">(20*R934+0.5*(1-(P934/N934)^2)+(1-(P934/N934)^2)^2)*(N934/P934)^4</f>
        <v>1.89399670879871</v>
      </c>
      <c r="V934" s="15" t="n">
        <f aca="false">(60*R934+0.5*(1-(Q934/N934)^2)+(1-(Q934/O934)^2)^2)*(O934/Q934)^4</f>
        <v>4.37216203914429</v>
      </c>
      <c r="W934" s="14"/>
      <c r="X934" s="10" t="s">
        <v>248</v>
      </c>
      <c r="Y934" s="16" t="n">
        <v>3.97</v>
      </c>
      <c r="Z934" s="17" t="s">
        <v>48</v>
      </c>
      <c r="AA934" s="6" t="s">
        <v>1874</v>
      </c>
      <c r="AB934" s="18" t="n">
        <f aca="false">IF(O934="","",$D$3*PI()*(O934/1000)^2/4*3600)</f>
        <v>1.08573442108063</v>
      </c>
      <c r="AC934" s="19" t="n">
        <f aca="false">IF(OR(U934="",NOT(ISNUMBER(U934))),"",U934*$D$3^2/(2*$H$3))</f>
        <v>0.217201457431045</v>
      </c>
      <c r="AD934" s="20" t="n">
        <f aca="false">IF(OR(U934="",NOT(ISNUMBER(U934))),"",U934*$D$3^2/2*$F$3)</f>
        <v>2130.74629739855</v>
      </c>
      <c r="AE934" s="19" t="n">
        <f aca="false">IF(OR(V934="",NOT(ISNUMBER(V934))),"",V934*$D$3^2/(2*$H$3))</f>
        <v>0.501394729259666</v>
      </c>
      <c r="AF934" s="20" t="n">
        <f aca="false">IF(OR(V934="",NOT(ISNUMBER(V934))),"",V934*$D$3^2/2*$F$3)</f>
        <v>4918.68229403732</v>
      </c>
      <c r="AG934" s="19" t="str">
        <f aca="false">IF(OR(W934="",NOT(ISNUMBER(W934))),"",W934*$D$3^2/(2*$H$3))</f>
        <v/>
      </c>
      <c r="AH934" s="20" t="str">
        <f aca="false">IF(OR(W934="",NOT(ISNUMBER(W934))),"",W934*$D$3^2/2*$F$3)</f>
        <v/>
      </c>
    </row>
    <row r="935" customFormat="false" ht="15" hidden="false" customHeight="false" outlineLevel="0" collapsed="false">
      <c r="A935" s="10" t="s">
        <v>2023</v>
      </c>
      <c r="B935" s="11" t="s">
        <v>41</v>
      </c>
      <c r="C935" s="6" t="s">
        <v>1872</v>
      </c>
      <c r="D935" s="6" t="s">
        <v>2024</v>
      </c>
      <c r="E935" s="6" t="s">
        <v>290</v>
      </c>
      <c r="F935" s="6" t="s">
        <v>247</v>
      </c>
      <c r="G935" s="6" t="n">
        <v>25</v>
      </c>
      <c r="H935" s="6" t="n">
        <v>25</v>
      </c>
      <c r="I935" s="6" t="s">
        <v>111</v>
      </c>
      <c r="J935" s="6" t="n">
        <v>16</v>
      </c>
      <c r="K935" s="6" t="s">
        <v>46</v>
      </c>
      <c r="L935" s="6"/>
      <c r="M935" s="6"/>
      <c r="N935" s="12" t="n">
        <v>20.4</v>
      </c>
      <c r="O935" s="12" t="n">
        <v>20.4</v>
      </c>
      <c r="P935" s="13" t="n">
        <v>17</v>
      </c>
      <c r="Q935" s="13" t="n">
        <v>17</v>
      </c>
      <c r="R935" s="14" t="n">
        <v>0.025</v>
      </c>
      <c r="S935" s="6" t="n">
        <v>20</v>
      </c>
      <c r="T935" s="6"/>
      <c r="U935" s="15" t="n">
        <f aca="false">(20*R935+0.5*(1-(P935/N935)^2)+(1-(P935/N935)^2)^2)*(N935/P935)^4</f>
        <v>1.5472</v>
      </c>
      <c r="V935" s="15" t="n">
        <f aca="false">(60*R935+0.5*(1-(Q935/N935)^2)+(1-(Q935/O935)^2)^2)*(O935/Q935)^4</f>
        <v>3.6208</v>
      </c>
      <c r="W935" s="14"/>
      <c r="X935" s="10" t="s">
        <v>248</v>
      </c>
      <c r="Y935" s="16" t="n">
        <v>3.97</v>
      </c>
      <c r="Z935" s="17" t="s">
        <v>48</v>
      </c>
      <c r="AA935" s="6" t="s">
        <v>1874</v>
      </c>
      <c r="AB935" s="18" t="n">
        <f aca="false">IF(O935="","",$D$3*PI()*(O935/1000)^2/4*3600)</f>
        <v>1.7649970182692</v>
      </c>
      <c r="AC935" s="19" t="n">
        <f aca="false">IF(OR(U935="",NOT(ISNUMBER(U935))),"",U935*$D$3^2/(2*$H$3))</f>
        <v>0.17743119266055</v>
      </c>
      <c r="AD935" s="20" t="n">
        <f aca="false">IF(OR(U935="",NOT(ISNUMBER(U935))),"",U935*$D$3^2/2*$F$3)</f>
        <v>1740.6</v>
      </c>
      <c r="AE935" s="19" t="n">
        <f aca="false">IF(OR(V935="",NOT(ISNUMBER(V935))),"",V935*$D$3^2/(2*$H$3))</f>
        <v>0.415229357798165</v>
      </c>
      <c r="AF935" s="20" t="n">
        <f aca="false">IF(OR(V935="",NOT(ISNUMBER(V935))),"",V935*$D$3^2/2*$F$3)</f>
        <v>4073.4</v>
      </c>
      <c r="AG935" s="19" t="str">
        <f aca="false">IF(OR(W935="",NOT(ISNUMBER(W935))),"",W935*$D$3^2/(2*$H$3))</f>
        <v/>
      </c>
      <c r="AH935" s="20" t="str">
        <f aca="false">IF(OR(W935="",NOT(ISNUMBER(W935))),"",W935*$D$3^2/2*$F$3)</f>
        <v/>
      </c>
    </row>
    <row r="936" customFormat="false" ht="15" hidden="false" customHeight="false" outlineLevel="0" collapsed="false">
      <c r="A936" s="10" t="s">
        <v>2025</v>
      </c>
      <c r="B936" s="11" t="s">
        <v>41</v>
      </c>
      <c r="C936" s="6" t="s">
        <v>1872</v>
      </c>
      <c r="D936" s="6" t="s">
        <v>2026</v>
      </c>
      <c r="E936" s="6" t="s">
        <v>290</v>
      </c>
      <c r="F936" s="6" t="s">
        <v>247</v>
      </c>
      <c r="G936" s="6" t="n">
        <v>32</v>
      </c>
      <c r="H936" s="6" t="n">
        <v>32</v>
      </c>
      <c r="I936" s="6" t="s">
        <v>118</v>
      </c>
      <c r="J936" s="6" t="n">
        <v>16</v>
      </c>
      <c r="K936" s="6" t="s">
        <v>46</v>
      </c>
      <c r="L936" s="6"/>
      <c r="M936" s="6"/>
      <c r="N936" s="12" t="n">
        <v>26.2</v>
      </c>
      <c r="O936" s="12" t="n">
        <v>26.2</v>
      </c>
      <c r="P936" s="13" t="n">
        <v>22</v>
      </c>
      <c r="Q936" s="13" t="n">
        <v>22</v>
      </c>
      <c r="R936" s="14" t="n">
        <v>0.023</v>
      </c>
      <c r="S936" s="6" t="n">
        <v>20</v>
      </c>
      <c r="T936" s="6"/>
      <c r="U936" s="15" t="n">
        <f aca="false">(20*R936+0.5*(1-(P936/N936)^2)+(1-(P936/N936)^2)^2)*(N936/P936)^4</f>
        <v>1.39682805245543</v>
      </c>
      <c r="V936" s="15" t="n">
        <f aca="false">(60*R936+0.5*(1-(Q936/N936)^2)+(1-(Q936/O936)^2)^2)*(O936/Q936)^4</f>
        <v>3.24738421200738</v>
      </c>
      <c r="W936" s="14"/>
      <c r="X936" s="10" t="s">
        <v>248</v>
      </c>
      <c r="Y936" s="16" t="n">
        <v>3.97</v>
      </c>
      <c r="Z936" s="17" t="s">
        <v>48</v>
      </c>
      <c r="AA936" s="6" t="s">
        <v>1874</v>
      </c>
      <c r="AB936" s="18" t="n">
        <f aca="false">IF(O936="","",$D$3*PI()*(O936/1000)^2/4*3600)</f>
        <v>2.91129506252574</v>
      </c>
      <c r="AC936" s="19" t="n">
        <f aca="false">IF(OR(U936="",NOT(ISNUMBER(U936))),"",U936*$D$3^2/(2*$H$3))</f>
        <v>0.160186703263238</v>
      </c>
      <c r="AD936" s="20" t="n">
        <f aca="false">IF(OR(U936="",NOT(ISNUMBER(U936))),"",U936*$D$3^2/2*$F$3)</f>
        <v>1571.43155901236</v>
      </c>
      <c r="AE936" s="19" t="n">
        <f aca="false">IF(OR(V936="",NOT(ISNUMBER(V936))),"",V936*$D$3^2/(2*$H$3))</f>
        <v>0.372406446331121</v>
      </c>
      <c r="AF936" s="20" t="n">
        <f aca="false">IF(OR(V936="",NOT(ISNUMBER(V936))),"",V936*$D$3^2/2*$F$3)</f>
        <v>3653.3072385083</v>
      </c>
      <c r="AG936" s="19" t="str">
        <f aca="false">IF(OR(W936="",NOT(ISNUMBER(W936))),"",W936*$D$3^2/(2*$H$3))</f>
        <v/>
      </c>
      <c r="AH936" s="20" t="str">
        <f aca="false">IF(OR(W936="",NOT(ISNUMBER(W936))),"",W936*$D$3^2/2*$F$3)</f>
        <v/>
      </c>
    </row>
    <row r="937" customFormat="false" ht="15" hidden="false" customHeight="false" outlineLevel="0" collapsed="false">
      <c r="A937" s="10" t="s">
        <v>2027</v>
      </c>
      <c r="B937" s="11" t="s">
        <v>41</v>
      </c>
      <c r="C937" s="6" t="s">
        <v>1872</v>
      </c>
      <c r="D937" s="6" t="s">
        <v>2028</v>
      </c>
      <c r="E937" s="6" t="s">
        <v>290</v>
      </c>
      <c r="F937" s="6" t="s">
        <v>247</v>
      </c>
      <c r="G937" s="6" t="n">
        <v>40</v>
      </c>
      <c r="H937" s="6" t="n">
        <v>40</v>
      </c>
      <c r="I937" s="6" t="s">
        <v>127</v>
      </c>
      <c r="J937" s="6" t="n">
        <v>16</v>
      </c>
      <c r="K937" s="6" t="s">
        <v>46</v>
      </c>
      <c r="L937" s="6"/>
      <c r="M937" s="6"/>
      <c r="N937" s="12" t="n">
        <v>32.6</v>
      </c>
      <c r="O937" s="12" t="n">
        <v>32.6</v>
      </c>
      <c r="P937" s="13" t="n">
        <v>28</v>
      </c>
      <c r="Q937" s="13" t="n">
        <v>28</v>
      </c>
      <c r="R937" s="14" t="n">
        <v>0.022</v>
      </c>
      <c r="S937" s="6" t="n">
        <v>20</v>
      </c>
      <c r="T937" s="6"/>
      <c r="U937" s="15" t="n">
        <f aca="false">(20*R937+0.5*(1-(P937/N937)^2)+(1-(P937/N937)^2)^2)*(N937/P937)^4</f>
        <v>1.17593663145564</v>
      </c>
      <c r="V937" s="15" t="n">
        <f aca="false">(60*R937+0.5*(1-(Q937/N937)^2)+(1-(Q937/O937)^2)^2)*(O937/Q937)^4</f>
        <v>2.79297731679509</v>
      </c>
      <c r="W937" s="14"/>
      <c r="X937" s="10" t="s">
        <v>248</v>
      </c>
      <c r="Y937" s="16" t="n">
        <v>3.97</v>
      </c>
      <c r="Z937" s="17" t="s">
        <v>48</v>
      </c>
      <c r="AA937" s="6" t="s">
        <v>1874</v>
      </c>
      <c r="AB937" s="18" t="n">
        <f aca="false">IF(O937="","",$D$3*PI()*(O937/1000)^2/4*3600)</f>
        <v>4.50732466151427</v>
      </c>
      <c r="AC937" s="19" t="n">
        <f aca="false">IF(OR(U937="",NOT(ISNUMBER(U937))),"",U937*$D$3^2/(2*$H$3))</f>
        <v>0.134855118286198</v>
      </c>
      <c r="AD937" s="20" t="n">
        <f aca="false">IF(OR(U937="",NOT(ISNUMBER(U937))),"",U937*$D$3^2/2*$F$3)</f>
        <v>1322.9287103876</v>
      </c>
      <c r="AE937" s="19" t="n">
        <f aca="false">IF(OR(V937="",NOT(ISNUMBER(V937))),"",V937*$D$3^2/(2*$H$3))</f>
        <v>0.320295563852647</v>
      </c>
      <c r="AF937" s="20" t="n">
        <f aca="false">IF(OR(V937="",NOT(ISNUMBER(V937))),"",V937*$D$3^2/2*$F$3)</f>
        <v>3142.09948139447</v>
      </c>
      <c r="AG937" s="19" t="str">
        <f aca="false">IF(OR(W937="",NOT(ISNUMBER(W937))),"",W937*$D$3^2/(2*$H$3))</f>
        <v/>
      </c>
      <c r="AH937" s="20" t="str">
        <f aca="false">IF(OR(W937="",NOT(ISNUMBER(W937))),"",W937*$D$3^2/2*$F$3)</f>
        <v/>
      </c>
    </row>
    <row r="938" customFormat="false" ht="15" hidden="false" customHeight="false" outlineLevel="0" collapsed="false">
      <c r="A938" s="10" t="s">
        <v>2029</v>
      </c>
      <c r="B938" s="11" t="s">
        <v>41</v>
      </c>
      <c r="C938" s="6" t="s">
        <v>1872</v>
      </c>
      <c r="D938" s="6" t="s">
        <v>2030</v>
      </c>
      <c r="E938" s="6" t="s">
        <v>290</v>
      </c>
      <c r="F938" s="6" t="s">
        <v>247</v>
      </c>
      <c r="G938" s="6" t="n">
        <v>50</v>
      </c>
      <c r="H938" s="6" t="n">
        <v>50</v>
      </c>
      <c r="I938" s="6" t="s">
        <v>130</v>
      </c>
      <c r="J938" s="6" t="n">
        <v>16</v>
      </c>
      <c r="K938" s="6" t="s">
        <v>46</v>
      </c>
      <c r="L938" s="6"/>
      <c r="M938" s="6"/>
      <c r="N938" s="12" t="n">
        <v>40.8</v>
      </c>
      <c r="O938" s="12" t="n">
        <v>40.8</v>
      </c>
      <c r="P938" s="13" t="n">
        <v>35</v>
      </c>
      <c r="Q938" s="13" t="n">
        <v>35</v>
      </c>
      <c r="R938" s="14" t="n">
        <v>0.021</v>
      </c>
      <c r="S938" s="6" t="n">
        <v>20</v>
      </c>
      <c r="T938" s="6"/>
      <c r="U938" s="15" t="n">
        <f aca="false">(20*R938+0.5*(1-(P938/N938)^2)+(1-(P938/N938)^2)^2)*(N938/P938)^4</f>
        <v>1.14821194691012</v>
      </c>
      <c r="V938" s="15" t="n">
        <f aca="false">(60*R938+0.5*(1-(Q938/N938)^2)+(1-(Q938/O938)^2)^2)*(O938/Q938)^4</f>
        <v>2.69934038796901</v>
      </c>
      <c r="W938" s="14"/>
      <c r="X938" s="10" t="s">
        <v>248</v>
      </c>
      <c r="Y938" s="16" t="n">
        <v>3.97</v>
      </c>
      <c r="Z938" s="17" t="s">
        <v>48</v>
      </c>
      <c r="AA938" s="6" t="s">
        <v>1874</v>
      </c>
      <c r="AB938" s="18" t="n">
        <f aca="false">IF(O938="","",$D$3*PI()*(O938/1000)^2/4*3600)</f>
        <v>7.05998807307681</v>
      </c>
      <c r="AC938" s="19" t="n">
        <f aca="false">IF(OR(U938="",NOT(ISNUMBER(U938))),"",U938*$D$3^2/(2*$H$3))</f>
        <v>0.131675681985106</v>
      </c>
      <c r="AD938" s="20" t="n">
        <f aca="false">IF(OR(U938="",NOT(ISNUMBER(U938))),"",U938*$D$3^2/2*$F$3)</f>
        <v>1291.73844027389</v>
      </c>
      <c r="AE938" s="19" t="n">
        <f aca="false">IF(OR(V938="",NOT(ISNUMBER(V938))),"",V938*$D$3^2/(2*$H$3))</f>
        <v>0.309557383941401</v>
      </c>
      <c r="AF938" s="20" t="n">
        <f aca="false">IF(OR(V938="",NOT(ISNUMBER(V938))),"",V938*$D$3^2/2*$F$3)</f>
        <v>3036.75793646514</v>
      </c>
      <c r="AG938" s="19" t="str">
        <f aca="false">IF(OR(W938="",NOT(ISNUMBER(W938))),"",W938*$D$3^2/(2*$H$3))</f>
        <v/>
      </c>
      <c r="AH938" s="20" t="str">
        <f aca="false">IF(OR(W938="",NOT(ISNUMBER(W938))),"",W938*$D$3^2/2*$F$3)</f>
        <v/>
      </c>
    </row>
    <row r="939" customFormat="false" ht="15" hidden="false" customHeight="false" outlineLevel="0" collapsed="false">
      <c r="A939" s="10" t="s">
        <v>2031</v>
      </c>
      <c r="B939" s="11" t="s">
        <v>41</v>
      </c>
      <c r="C939" s="6" t="s">
        <v>1872</v>
      </c>
      <c r="D939" s="6" t="s">
        <v>2032</v>
      </c>
      <c r="E939" s="6" t="s">
        <v>290</v>
      </c>
      <c r="F939" s="6" t="s">
        <v>247</v>
      </c>
      <c r="G939" s="6" t="n">
        <v>63</v>
      </c>
      <c r="H939" s="6" t="n">
        <v>63</v>
      </c>
      <c r="I939" s="6" t="s">
        <v>133</v>
      </c>
      <c r="J939" s="6" t="n">
        <v>16</v>
      </c>
      <c r="K939" s="6" t="s">
        <v>46</v>
      </c>
      <c r="L939" s="6"/>
      <c r="M939" s="6"/>
      <c r="N939" s="12" t="n">
        <v>51.4</v>
      </c>
      <c r="O939" s="12" t="n">
        <v>51.4</v>
      </c>
      <c r="P939" s="13" t="n">
        <v>45</v>
      </c>
      <c r="Q939" s="13" t="n">
        <v>45</v>
      </c>
      <c r="R939" s="14" t="n">
        <v>0.019</v>
      </c>
      <c r="S939" s="6" t="n">
        <v>20</v>
      </c>
      <c r="T939" s="6"/>
      <c r="U939" s="15" t="n">
        <f aca="false">(20*R939+0.5*(1-(P939/N939)^2)+(1-(P939/N939)^2)^2)*(N939/P939)^4</f>
        <v>0.938396821510867</v>
      </c>
      <c r="V939" s="15" t="n">
        <f aca="false">(60*R939+0.5*(1-(Q939/N939)^2)+(1-(Q939/O939)^2)^2)*(O939/Q939)^4</f>
        <v>2.23204449902734</v>
      </c>
      <c r="W939" s="14"/>
      <c r="X939" s="10" t="s">
        <v>248</v>
      </c>
      <c r="Y939" s="16" t="n">
        <v>3.97</v>
      </c>
      <c r="Z939" s="17" t="s">
        <v>48</v>
      </c>
      <c r="AA939" s="6" t="s">
        <v>1874</v>
      </c>
      <c r="AB939" s="18" t="n">
        <f aca="false">IF(O939="","",$D$3*PI()*(O939/1000)^2/4*3600)</f>
        <v>11.2049488715554</v>
      </c>
      <c r="AC939" s="19" t="n">
        <f aca="false">IF(OR(U939="",NOT(ISNUMBER(U939))),"",U939*$D$3^2/(2*$H$3))</f>
        <v>0.107614314393448</v>
      </c>
      <c r="AD939" s="20" t="n">
        <f aca="false">IF(OR(U939="",NOT(ISNUMBER(U939))),"",U939*$D$3^2/2*$F$3)</f>
        <v>1055.69642419973</v>
      </c>
      <c r="AE939" s="19" t="n">
        <f aca="false">IF(OR(V939="",NOT(ISNUMBER(V939))),"",V939*$D$3^2/(2*$H$3))</f>
        <v>0.25596840585176</v>
      </c>
      <c r="AF939" s="20" t="n">
        <f aca="false">IF(OR(V939="",NOT(ISNUMBER(V939))),"",V939*$D$3^2/2*$F$3)</f>
        <v>2511.05006140576</v>
      </c>
      <c r="AG939" s="19" t="str">
        <f aca="false">IF(OR(W939="",NOT(ISNUMBER(W939))),"",W939*$D$3^2/(2*$H$3))</f>
        <v/>
      </c>
      <c r="AH939" s="20" t="str">
        <f aca="false">IF(OR(W939="",NOT(ISNUMBER(W939))),"",W939*$D$3^2/2*$F$3)</f>
        <v/>
      </c>
    </row>
    <row r="940" customFormat="false" ht="15" hidden="false" customHeight="false" outlineLevel="0" collapsed="false">
      <c r="A940" s="10" t="s">
        <v>2033</v>
      </c>
      <c r="B940" s="11" t="s">
        <v>41</v>
      </c>
      <c r="C940" s="6" t="s">
        <v>1872</v>
      </c>
      <c r="D940" s="6" t="s">
        <v>2034</v>
      </c>
      <c r="E940" s="6" t="s">
        <v>85</v>
      </c>
      <c r="F940" s="6" t="s">
        <v>86</v>
      </c>
      <c r="G940" s="6" t="n">
        <v>20</v>
      </c>
      <c r="H940" s="6"/>
      <c r="I940" s="6"/>
      <c r="J940" s="6" t="n">
        <v>16</v>
      </c>
      <c r="K940" s="6" t="s">
        <v>46</v>
      </c>
      <c r="L940" s="6"/>
      <c r="M940" s="6"/>
      <c r="N940" s="12" t="n">
        <v>16</v>
      </c>
      <c r="O940" s="12" t="n">
        <v>16</v>
      </c>
      <c r="P940" s="12"/>
      <c r="Q940" s="12"/>
      <c r="R940" s="14" t="n">
        <v>0.027</v>
      </c>
      <c r="S940" s="6"/>
      <c r="T940" s="6"/>
      <c r="U940" s="14"/>
      <c r="V940" s="14"/>
      <c r="W940" s="14"/>
      <c r="X940" s="10" t="s">
        <v>87</v>
      </c>
      <c r="Y940" s="16" t="n">
        <v>1.68</v>
      </c>
      <c r="Z940" s="17" t="s">
        <v>48</v>
      </c>
      <c r="AA940" s="6" t="s">
        <v>1874</v>
      </c>
      <c r="AB940" s="18" t="n">
        <f aca="false">IF(O940="","",$D$3*PI()*(O940/1000)^2/4*3600)</f>
        <v>1.08573442108063</v>
      </c>
      <c r="AC940" s="19" t="str">
        <f aca="false">IF(OR(U940="",NOT(ISNUMBER(U940))),"",U940*$D$3^2/(2*$H$3))</f>
        <v/>
      </c>
      <c r="AD940" s="20" t="str">
        <f aca="false">IF(OR(U940="",NOT(ISNUMBER(U940))),"",U940*$D$3^2/2*$F$3)</f>
        <v/>
      </c>
      <c r="AE940" s="19" t="str">
        <f aca="false">IF(OR(V940="",NOT(ISNUMBER(V940))),"",V940*$D$3^2/(2*$H$3))</f>
        <v/>
      </c>
      <c r="AF940" s="20" t="str">
        <f aca="false">IF(OR(V940="",NOT(ISNUMBER(V940))),"",V940*$D$3^2/2*$F$3)</f>
        <v/>
      </c>
      <c r="AG940" s="19" t="str">
        <f aca="false">IF(OR(W940="",NOT(ISNUMBER(W940))),"",W940*$D$3^2/(2*$H$3))</f>
        <v/>
      </c>
      <c r="AH940" s="20" t="str">
        <f aca="false">IF(OR(W940="",NOT(ISNUMBER(W940))),"",W940*$D$3^2/2*$F$3)</f>
        <v/>
      </c>
    </row>
    <row r="941" customFormat="false" ht="15" hidden="false" customHeight="false" outlineLevel="0" collapsed="false">
      <c r="A941" s="10" t="s">
        <v>2035</v>
      </c>
      <c r="B941" s="11" t="s">
        <v>41</v>
      </c>
      <c r="C941" s="6" t="s">
        <v>1872</v>
      </c>
      <c r="D941" s="6" t="s">
        <v>2036</v>
      </c>
      <c r="E941" s="6" t="s">
        <v>85</v>
      </c>
      <c r="F941" s="6" t="s">
        <v>86</v>
      </c>
      <c r="G941" s="6" t="n">
        <v>25</v>
      </c>
      <c r="H941" s="6"/>
      <c r="I941" s="6"/>
      <c r="J941" s="6" t="n">
        <v>16</v>
      </c>
      <c r="K941" s="6" t="s">
        <v>46</v>
      </c>
      <c r="L941" s="6"/>
      <c r="M941" s="6"/>
      <c r="N941" s="12" t="n">
        <v>20.4</v>
      </c>
      <c r="O941" s="12" t="n">
        <v>20.4</v>
      </c>
      <c r="P941" s="12"/>
      <c r="Q941" s="12"/>
      <c r="R941" s="14" t="n">
        <v>0.025</v>
      </c>
      <c r="S941" s="6"/>
      <c r="T941" s="6"/>
      <c r="U941" s="14"/>
      <c r="V941" s="14"/>
      <c r="W941" s="14"/>
      <c r="X941" s="10" t="s">
        <v>87</v>
      </c>
      <c r="Y941" s="16" t="n">
        <v>1.68</v>
      </c>
      <c r="Z941" s="17" t="s">
        <v>48</v>
      </c>
      <c r="AA941" s="6" t="s">
        <v>1874</v>
      </c>
      <c r="AB941" s="18" t="n">
        <f aca="false">IF(O941="","",$D$3*PI()*(O941/1000)^2/4*3600)</f>
        <v>1.7649970182692</v>
      </c>
      <c r="AC941" s="19" t="str">
        <f aca="false">IF(OR(U941="",NOT(ISNUMBER(U941))),"",U941*$D$3^2/(2*$H$3))</f>
        <v/>
      </c>
      <c r="AD941" s="20" t="str">
        <f aca="false">IF(OR(U941="",NOT(ISNUMBER(U941))),"",U941*$D$3^2/2*$F$3)</f>
        <v/>
      </c>
      <c r="AE941" s="19" t="str">
        <f aca="false">IF(OR(V941="",NOT(ISNUMBER(V941))),"",V941*$D$3^2/(2*$H$3))</f>
        <v/>
      </c>
      <c r="AF941" s="20" t="str">
        <f aca="false">IF(OR(V941="",NOT(ISNUMBER(V941))),"",V941*$D$3^2/2*$F$3)</f>
        <v/>
      </c>
      <c r="AG941" s="19" t="str">
        <f aca="false">IF(OR(W941="",NOT(ISNUMBER(W941))),"",W941*$D$3^2/(2*$H$3))</f>
        <v/>
      </c>
      <c r="AH941" s="20" t="str">
        <f aca="false">IF(OR(W941="",NOT(ISNUMBER(W941))),"",W941*$D$3^2/2*$F$3)</f>
        <v/>
      </c>
    </row>
    <row r="942" customFormat="false" ht="15" hidden="false" customHeight="false" outlineLevel="0" collapsed="false">
      <c r="A942" s="10" t="s">
        <v>2037</v>
      </c>
      <c r="B942" s="11" t="s">
        <v>41</v>
      </c>
      <c r="C942" s="6" t="s">
        <v>1872</v>
      </c>
      <c r="D942" s="6" t="s">
        <v>2038</v>
      </c>
      <c r="E942" s="6" t="s">
        <v>85</v>
      </c>
      <c r="F942" s="6" t="s">
        <v>86</v>
      </c>
      <c r="G942" s="6" t="n">
        <v>32</v>
      </c>
      <c r="H942" s="6"/>
      <c r="I942" s="6"/>
      <c r="J942" s="6" t="n">
        <v>16</v>
      </c>
      <c r="K942" s="6" t="s">
        <v>46</v>
      </c>
      <c r="L942" s="6"/>
      <c r="M942" s="6"/>
      <c r="N942" s="12" t="n">
        <v>26.2</v>
      </c>
      <c r="O942" s="12" t="n">
        <v>26.2</v>
      </c>
      <c r="P942" s="12"/>
      <c r="Q942" s="12"/>
      <c r="R942" s="14" t="n">
        <v>0.023</v>
      </c>
      <c r="S942" s="6"/>
      <c r="T942" s="6"/>
      <c r="U942" s="14"/>
      <c r="V942" s="14"/>
      <c r="W942" s="14"/>
      <c r="X942" s="10" t="s">
        <v>87</v>
      </c>
      <c r="Y942" s="16" t="n">
        <v>1.68</v>
      </c>
      <c r="Z942" s="17" t="s">
        <v>48</v>
      </c>
      <c r="AA942" s="6" t="s">
        <v>1874</v>
      </c>
      <c r="AB942" s="18" t="n">
        <f aca="false">IF(O942="","",$D$3*PI()*(O942/1000)^2/4*3600)</f>
        <v>2.91129506252574</v>
      </c>
      <c r="AC942" s="19" t="str">
        <f aca="false">IF(OR(U942="",NOT(ISNUMBER(U942))),"",U942*$D$3^2/(2*$H$3))</f>
        <v/>
      </c>
      <c r="AD942" s="20" t="str">
        <f aca="false">IF(OR(U942="",NOT(ISNUMBER(U942))),"",U942*$D$3^2/2*$F$3)</f>
        <v/>
      </c>
      <c r="AE942" s="19" t="str">
        <f aca="false">IF(OR(V942="",NOT(ISNUMBER(V942))),"",V942*$D$3^2/(2*$H$3))</f>
        <v/>
      </c>
      <c r="AF942" s="20" t="str">
        <f aca="false">IF(OR(V942="",NOT(ISNUMBER(V942))),"",V942*$D$3^2/2*$F$3)</f>
        <v/>
      </c>
      <c r="AG942" s="19" t="str">
        <f aca="false">IF(OR(W942="",NOT(ISNUMBER(W942))),"",W942*$D$3^2/(2*$H$3))</f>
        <v/>
      </c>
      <c r="AH942" s="20" t="str">
        <f aca="false">IF(OR(W942="",NOT(ISNUMBER(W942))),"",W942*$D$3^2/2*$F$3)</f>
        <v/>
      </c>
    </row>
    <row r="943" customFormat="false" ht="15" hidden="false" customHeight="false" outlineLevel="0" collapsed="false">
      <c r="A943" s="10" t="s">
        <v>2039</v>
      </c>
      <c r="B943" s="11" t="s">
        <v>41</v>
      </c>
      <c r="C943" s="6" t="s">
        <v>1872</v>
      </c>
      <c r="D943" s="6" t="s">
        <v>2040</v>
      </c>
      <c r="E943" s="6" t="s">
        <v>85</v>
      </c>
      <c r="F943" s="6" t="s">
        <v>86</v>
      </c>
      <c r="G943" s="6" t="n">
        <v>40</v>
      </c>
      <c r="H943" s="6"/>
      <c r="I943" s="6"/>
      <c r="J943" s="6" t="n">
        <v>16</v>
      </c>
      <c r="K943" s="6" t="s">
        <v>46</v>
      </c>
      <c r="L943" s="6"/>
      <c r="M943" s="6"/>
      <c r="N943" s="12" t="n">
        <v>32.6</v>
      </c>
      <c r="O943" s="12" t="n">
        <v>32.6</v>
      </c>
      <c r="P943" s="12"/>
      <c r="Q943" s="12"/>
      <c r="R943" s="14" t="n">
        <v>0.022</v>
      </c>
      <c r="S943" s="6"/>
      <c r="T943" s="6"/>
      <c r="U943" s="14"/>
      <c r="V943" s="14"/>
      <c r="W943" s="14"/>
      <c r="X943" s="10" t="s">
        <v>87</v>
      </c>
      <c r="Y943" s="16" t="n">
        <v>1.68</v>
      </c>
      <c r="Z943" s="17" t="s">
        <v>48</v>
      </c>
      <c r="AA943" s="6" t="s">
        <v>1874</v>
      </c>
      <c r="AB943" s="18" t="n">
        <f aca="false">IF(O943="","",$D$3*PI()*(O943/1000)^2/4*3600)</f>
        <v>4.50732466151427</v>
      </c>
      <c r="AC943" s="19" t="str">
        <f aca="false">IF(OR(U943="",NOT(ISNUMBER(U943))),"",U943*$D$3^2/(2*$H$3))</f>
        <v/>
      </c>
      <c r="AD943" s="20" t="str">
        <f aca="false">IF(OR(U943="",NOT(ISNUMBER(U943))),"",U943*$D$3^2/2*$F$3)</f>
        <v/>
      </c>
      <c r="AE943" s="19" t="str">
        <f aca="false">IF(OR(V943="",NOT(ISNUMBER(V943))),"",V943*$D$3^2/(2*$H$3))</f>
        <v/>
      </c>
      <c r="AF943" s="20" t="str">
        <f aca="false">IF(OR(V943="",NOT(ISNUMBER(V943))),"",V943*$D$3^2/2*$F$3)</f>
        <v/>
      </c>
      <c r="AG943" s="19" t="str">
        <f aca="false">IF(OR(W943="",NOT(ISNUMBER(W943))),"",W943*$D$3^2/(2*$H$3))</f>
        <v/>
      </c>
      <c r="AH943" s="20" t="str">
        <f aca="false">IF(OR(W943="",NOT(ISNUMBER(W943))),"",W943*$D$3^2/2*$F$3)</f>
        <v/>
      </c>
    </row>
    <row r="944" customFormat="false" ht="15" hidden="false" customHeight="false" outlineLevel="0" collapsed="false">
      <c r="A944" s="10" t="s">
        <v>2041</v>
      </c>
      <c r="B944" s="11" t="s">
        <v>41</v>
      </c>
      <c r="C944" s="6" t="s">
        <v>1872</v>
      </c>
      <c r="D944" s="6" t="s">
        <v>2042</v>
      </c>
      <c r="E944" s="6" t="s">
        <v>85</v>
      </c>
      <c r="F944" s="6" t="s">
        <v>86</v>
      </c>
      <c r="G944" s="6" t="n">
        <v>50</v>
      </c>
      <c r="H944" s="6"/>
      <c r="I944" s="6"/>
      <c r="J944" s="6" t="n">
        <v>16</v>
      </c>
      <c r="K944" s="6" t="s">
        <v>46</v>
      </c>
      <c r="L944" s="6"/>
      <c r="M944" s="6"/>
      <c r="N944" s="12" t="n">
        <v>40.8</v>
      </c>
      <c r="O944" s="12" t="n">
        <v>40.8</v>
      </c>
      <c r="P944" s="12"/>
      <c r="Q944" s="12"/>
      <c r="R944" s="14" t="n">
        <v>0.021</v>
      </c>
      <c r="S944" s="6"/>
      <c r="T944" s="6"/>
      <c r="U944" s="14"/>
      <c r="V944" s="14"/>
      <c r="W944" s="14"/>
      <c r="X944" s="10" t="s">
        <v>87</v>
      </c>
      <c r="Y944" s="16" t="n">
        <v>1.68</v>
      </c>
      <c r="Z944" s="17" t="s">
        <v>48</v>
      </c>
      <c r="AA944" s="6" t="s">
        <v>1874</v>
      </c>
      <c r="AB944" s="18" t="n">
        <f aca="false">IF(O944="","",$D$3*PI()*(O944/1000)^2/4*3600)</f>
        <v>7.05998807307681</v>
      </c>
      <c r="AC944" s="19" t="str">
        <f aca="false">IF(OR(U944="",NOT(ISNUMBER(U944))),"",U944*$D$3^2/(2*$H$3))</f>
        <v/>
      </c>
      <c r="AD944" s="20" t="str">
        <f aca="false">IF(OR(U944="",NOT(ISNUMBER(U944))),"",U944*$D$3^2/2*$F$3)</f>
        <v/>
      </c>
      <c r="AE944" s="19" t="str">
        <f aca="false">IF(OR(V944="",NOT(ISNUMBER(V944))),"",V944*$D$3^2/(2*$H$3))</f>
        <v/>
      </c>
      <c r="AF944" s="20" t="str">
        <f aca="false">IF(OR(V944="",NOT(ISNUMBER(V944))),"",V944*$D$3^2/2*$F$3)</f>
        <v/>
      </c>
      <c r="AG944" s="19" t="str">
        <f aca="false">IF(OR(W944="",NOT(ISNUMBER(W944))),"",W944*$D$3^2/(2*$H$3))</f>
        <v/>
      </c>
      <c r="AH944" s="20" t="str">
        <f aca="false">IF(OR(W944="",NOT(ISNUMBER(W944))),"",W944*$D$3^2/2*$F$3)</f>
        <v/>
      </c>
    </row>
    <row r="945" customFormat="false" ht="15" hidden="false" customHeight="false" outlineLevel="0" collapsed="false">
      <c r="A945" s="10" t="s">
        <v>2043</v>
      </c>
      <c r="B945" s="11" t="s">
        <v>41</v>
      </c>
      <c r="C945" s="6" t="s">
        <v>1872</v>
      </c>
      <c r="D945" s="6" t="s">
        <v>2044</v>
      </c>
      <c r="E945" s="6" t="s">
        <v>85</v>
      </c>
      <c r="F945" s="6" t="s">
        <v>86</v>
      </c>
      <c r="G945" s="6" t="n">
        <v>63</v>
      </c>
      <c r="H945" s="6"/>
      <c r="I945" s="6"/>
      <c r="J945" s="6" t="n">
        <v>16</v>
      </c>
      <c r="K945" s="6" t="s">
        <v>46</v>
      </c>
      <c r="L945" s="6"/>
      <c r="M945" s="6"/>
      <c r="N945" s="12" t="n">
        <v>51.4</v>
      </c>
      <c r="O945" s="12" t="n">
        <v>51.4</v>
      </c>
      <c r="P945" s="12"/>
      <c r="Q945" s="12"/>
      <c r="R945" s="14" t="n">
        <v>0.019</v>
      </c>
      <c r="S945" s="6"/>
      <c r="T945" s="6"/>
      <c r="U945" s="14"/>
      <c r="V945" s="14"/>
      <c r="W945" s="14"/>
      <c r="X945" s="10" t="s">
        <v>87</v>
      </c>
      <c r="Y945" s="16" t="n">
        <v>1.68</v>
      </c>
      <c r="Z945" s="17" t="s">
        <v>48</v>
      </c>
      <c r="AA945" s="6" t="s">
        <v>1874</v>
      </c>
      <c r="AB945" s="18" t="n">
        <f aca="false">IF(O945="","",$D$3*PI()*(O945/1000)^2/4*3600)</f>
        <v>11.2049488715554</v>
      </c>
      <c r="AC945" s="19" t="str">
        <f aca="false">IF(OR(U945="",NOT(ISNUMBER(U945))),"",U945*$D$3^2/(2*$H$3))</f>
        <v/>
      </c>
      <c r="AD945" s="20" t="str">
        <f aca="false">IF(OR(U945="",NOT(ISNUMBER(U945))),"",U945*$D$3^2/2*$F$3)</f>
        <v/>
      </c>
      <c r="AE945" s="19" t="str">
        <f aca="false">IF(OR(V945="",NOT(ISNUMBER(V945))),"",V945*$D$3^2/(2*$H$3))</f>
        <v/>
      </c>
      <c r="AF945" s="20" t="str">
        <f aca="false">IF(OR(V945="",NOT(ISNUMBER(V945))),"",V945*$D$3^2/2*$F$3)</f>
        <v/>
      </c>
      <c r="AG945" s="19" t="str">
        <f aca="false">IF(OR(W945="",NOT(ISNUMBER(W945))),"",W945*$D$3^2/(2*$H$3))</f>
        <v/>
      </c>
      <c r="AH945" s="20" t="str">
        <f aca="false">IF(OR(W945="",NOT(ISNUMBER(W945))),"",W945*$D$3^2/2*$F$3)</f>
        <v/>
      </c>
    </row>
    <row r="946" customFormat="false" ht="15" hidden="false" customHeight="false" outlineLevel="0" collapsed="false">
      <c r="A946" s="10" t="s">
        <v>2045</v>
      </c>
      <c r="B946" s="11" t="s">
        <v>41</v>
      </c>
      <c r="C946" s="6" t="s">
        <v>1872</v>
      </c>
      <c r="D946" s="6" t="s">
        <v>2046</v>
      </c>
      <c r="E946" s="6" t="s">
        <v>85</v>
      </c>
      <c r="F946" s="6" t="s">
        <v>86</v>
      </c>
      <c r="G946" s="6" t="n">
        <v>75</v>
      </c>
      <c r="H946" s="6"/>
      <c r="I946" s="6"/>
      <c r="J946" s="6" t="n">
        <v>16</v>
      </c>
      <c r="K946" s="6" t="s">
        <v>46</v>
      </c>
      <c r="L946" s="6"/>
      <c r="M946" s="6"/>
      <c r="N946" s="12" t="n">
        <v>61.4</v>
      </c>
      <c r="O946" s="12" t="n">
        <v>61.4</v>
      </c>
      <c r="P946" s="12"/>
      <c r="Q946" s="12"/>
      <c r="R946" s="14" t="n">
        <v>0.018</v>
      </c>
      <c r="S946" s="6"/>
      <c r="T946" s="6"/>
      <c r="U946" s="14"/>
      <c r="V946" s="14"/>
      <c r="W946" s="14"/>
      <c r="X946" s="10" t="s">
        <v>87</v>
      </c>
      <c r="Y946" s="16" t="n">
        <v>1.68</v>
      </c>
      <c r="Z946" s="17" t="s">
        <v>48</v>
      </c>
      <c r="AA946" s="6" t="s">
        <v>1874</v>
      </c>
      <c r="AB946" s="18" t="n">
        <f aca="false">IF(O946="","",$D$3*PI()*(O946/1000)^2/4*3600)</f>
        <v>15.988966164442</v>
      </c>
      <c r="AC946" s="19" t="str">
        <f aca="false">IF(OR(U946="",NOT(ISNUMBER(U946))),"",U946*$D$3^2/(2*$H$3))</f>
        <v/>
      </c>
      <c r="AD946" s="20" t="str">
        <f aca="false">IF(OR(U946="",NOT(ISNUMBER(U946))),"",U946*$D$3^2/2*$F$3)</f>
        <v/>
      </c>
      <c r="AE946" s="19" t="str">
        <f aca="false">IF(OR(V946="",NOT(ISNUMBER(V946))),"",V946*$D$3^2/(2*$H$3))</f>
        <v/>
      </c>
      <c r="AF946" s="20" t="str">
        <f aca="false">IF(OR(V946="",NOT(ISNUMBER(V946))),"",V946*$D$3^2/2*$F$3)</f>
        <v/>
      </c>
      <c r="AG946" s="19" t="str">
        <f aca="false">IF(OR(W946="",NOT(ISNUMBER(W946))),"",W946*$D$3^2/(2*$H$3))</f>
        <v/>
      </c>
      <c r="AH946" s="20" t="str">
        <f aca="false">IF(OR(W946="",NOT(ISNUMBER(W946))),"",W946*$D$3^2/2*$F$3)</f>
        <v/>
      </c>
    </row>
    <row r="947" customFormat="false" ht="15" hidden="false" customHeight="false" outlineLevel="0" collapsed="false">
      <c r="A947" s="10" t="s">
        <v>2047</v>
      </c>
      <c r="B947" s="11" t="s">
        <v>41</v>
      </c>
      <c r="C947" s="6" t="s">
        <v>1872</v>
      </c>
      <c r="D947" s="6" t="s">
        <v>2048</v>
      </c>
      <c r="E947" s="6" t="s">
        <v>85</v>
      </c>
      <c r="F947" s="6" t="s">
        <v>86</v>
      </c>
      <c r="G947" s="6" t="n">
        <v>90</v>
      </c>
      <c r="H947" s="6"/>
      <c r="I947" s="6"/>
      <c r="J947" s="6" t="n">
        <v>16</v>
      </c>
      <c r="K947" s="6" t="s">
        <v>46</v>
      </c>
      <c r="L947" s="6"/>
      <c r="M947" s="6"/>
      <c r="N947" s="12" t="n">
        <v>73.6</v>
      </c>
      <c r="O947" s="12" t="n">
        <v>73.6</v>
      </c>
      <c r="P947" s="12"/>
      <c r="Q947" s="12"/>
      <c r="R947" s="14" t="n">
        <v>0.018</v>
      </c>
      <c r="S947" s="6"/>
      <c r="T947" s="6"/>
      <c r="U947" s="14"/>
      <c r="V947" s="14"/>
      <c r="W947" s="14"/>
      <c r="X947" s="10" t="s">
        <v>87</v>
      </c>
      <c r="Y947" s="16" t="n">
        <v>1.68</v>
      </c>
      <c r="Z947" s="17" t="s">
        <v>48</v>
      </c>
      <c r="AA947" s="6" t="s">
        <v>1874</v>
      </c>
      <c r="AB947" s="18" t="n">
        <f aca="false">IF(O947="","",$D$3*PI()*(O947/1000)^2/4*3600)</f>
        <v>22.9741403500662</v>
      </c>
      <c r="AC947" s="19" t="str">
        <f aca="false">IF(OR(U947="",NOT(ISNUMBER(U947))),"",U947*$D$3^2/(2*$H$3))</f>
        <v/>
      </c>
      <c r="AD947" s="20" t="str">
        <f aca="false">IF(OR(U947="",NOT(ISNUMBER(U947))),"",U947*$D$3^2/2*$F$3)</f>
        <v/>
      </c>
      <c r="AE947" s="19" t="str">
        <f aca="false">IF(OR(V947="",NOT(ISNUMBER(V947))),"",V947*$D$3^2/(2*$H$3))</f>
        <v/>
      </c>
      <c r="AF947" s="20" t="str">
        <f aca="false">IF(OR(V947="",NOT(ISNUMBER(V947))),"",V947*$D$3^2/2*$F$3)</f>
        <v/>
      </c>
      <c r="AG947" s="19" t="str">
        <f aca="false">IF(OR(W947="",NOT(ISNUMBER(W947))),"",W947*$D$3^2/(2*$H$3))</f>
        <v/>
      </c>
      <c r="AH947" s="20" t="str">
        <f aca="false">IF(OR(W947="",NOT(ISNUMBER(W947))),"",W947*$D$3^2/2*$F$3)</f>
        <v/>
      </c>
    </row>
    <row r="948" customFormat="false" ht="15" hidden="false" customHeight="false" outlineLevel="0" collapsed="false">
      <c r="A948" s="10" t="s">
        <v>2049</v>
      </c>
      <c r="B948" s="11" t="s">
        <v>41</v>
      </c>
      <c r="C948" s="6" t="s">
        <v>1872</v>
      </c>
      <c r="D948" s="6" t="s">
        <v>2050</v>
      </c>
      <c r="E948" s="6" t="s">
        <v>2051</v>
      </c>
      <c r="F948" s="6" t="s">
        <v>181</v>
      </c>
      <c r="G948" s="6" t="n">
        <v>20</v>
      </c>
      <c r="H948" s="6"/>
      <c r="I948" s="6" t="s">
        <v>108</v>
      </c>
      <c r="J948" s="6" t="n">
        <v>16</v>
      </c>
      <c r="K948" s="6" t="s">
        <v>46</v>
      </c>
      <c r="L948" s="6"/>
      <c r="M948" s="6"/>
      <c r="N948" s="12" t="n">
        <v>16</v>
      </c>
      <c r="O948" s="12" t="n">
        <v>16</v>
      </c>
      <c r="P948" s="13" t="n">
        <v>13</v>
      </c>
      <c r="Q948" s="12"/>
      <c r="R948" s="14" t="n">
        <v>0.027</v>
      </c>
      <c r="S948" s="6" t="n">
        <v>30</v>
      </c>
      <c r="T948" s="6"/>
      <c r="U948" s="15" t="n">
        <f aca="false">(S948*R948+0.5*(1-(P948/N948)^2)+(1-(P948/O948)^2)^2)*(O948/P948)^4</f>
        <v>2.51353804138511</v>
      </c>
      <c r="V948" s="14"/>
      <c r="W948" s="14"/>
      <c r="X948" s="10" t="s">
        <v>47</v>
      </c>
      <c r="Y948" s="16" t="n">
        <v>3.57</v>
      </c>
      <c r="Z948" s="17" t="s">
        <v>48</v>
      </c>
      <c r="AA948" s="6" t="s">
        <v>1874</v>
      </c>
      <c r="AB948" s="18" t="n">
        <f aca="false">IF(O948="","",$D$3*PI()*(O948/1000)^2/4*3600)</f>
        <v>1.08573442108063</v>
      </c>
      <c r="AC948" s="19" t="n">
        <f aca="false">IF(OR(U948="",NOT(ISNUMBER(U948))),"",U948*$D$3^2/(2*$H$3))</f>
        <v>0.2882497753882</v>
      </c>
      <c r="AD948" s="20" t="n">
        <f aca="false">IF(OR(U948="",NOT(ISNUMBER(U948))),"",U948*$D$3^2/2*$F$3)</f>
        <v>2827.73029655824</v>
      </c>
      <c r="AE948" s="19" t="str">
        <f aca="false">IF(OR(V948="",NOT(ISNUMBER(V948))),"",V948*$D$3^2/(2*$H$3))</f>
        <v/>
      </c>
      <c r="AF948" s="20" t="str">
        <f aca="false">IF(OR(V948="",NOT(ISNUMBER(V948))),"",V948*$D$3^2/2*$F$3)</f>
        <v/>
      </c>
      <c r="AG948" s="19" t="str">
        <f aca="false">IF(OR(W948="",NOT(ISNUMBER(W948))),"",W948*$D$3^2/(2*$H$3))</f>
        <v/>
      </c>
      <c r="AH948" s="20" t="str">
        <f aca="false">IF(OR(W948="",NOT(ISNUMBER(W948))),"",W948*$D$3^2/2*$F$3)</f>
        <v/>
      </c>
    </row>
    <row r="949" customFormat="false" ht="15" hidden="false" customHeight="false" outlineLevel="0" collapsed="false">
      <c r="A949" s="10" t="s">
        <v>2052</v>
      </c>
      <c r="B949" s="11" t="s">
        <v>41</v>
      </c>
      <c r="C949" s="6" t="s">
        <v>1872</v>
      </c>
      <c r="D949" s="6" t="s">
        <v>2053</v>
      </c>
      <c r="E949" s="6" t="s">
        <v>2051</v>
      </c>
      <c r="F949" s="6" t="s">
        <v>181</v>
      </c>
      <c r="G949" s="6" t="n">
        <v>25</v>
      </c>
      <c r="H949" s="6"/>
      <c r="I949" s="6" t="s">
        <v>111</v>
      </c>
      <c r="J949" s="6" t="n">
        <v>16</v>
      </c>
      <c r="K949" s="6" t="s">
        <v>46</v>
      </c>
      <c r="L949" s="6"/>
      <c r="M949" s="6"/>
      <c r="N949" s="12" t="n">
        <v>20.4</v>
      </c>
      <c r="O949" s="12" t="n">
        <v>20.4</v>
      </c>
      <c r="P949" s="13" t="n">
        <v>17</v>
      </c>
      <c r="Q949" s="12"/>
      <c r="R949" s="14" t="n">
        <v>0.025</v>
      </c>
      <c r="S949" s="6" t="n">
        <v>30</v>
      </c>
      <c r="T949" s="6"/>
      <c r="U949" s="15" t="n">
        <f aca="false">(S949*R949+0.5*(1-(P949/N949)^2)+(1-(P949/O949)^2)^2)*(O949/P949)^4</f>
        <v>2.0656</v>
      </c>
      <c r="V949" s="14"/>
      <c r="W949" s="14"/>
      <c r="X949" s="10" t="s">
        <v>47</v>
      </c>
      <c r="Y949" s="16" t="n">
        <v>3.57</v>
      </c>
      <c r="Z949" s="17" t="s">
        <v>48</v>
      </c>
      <c r="AA949" s="6" t="s">
        <v>1874</v>
      </c>
      <c r="AB949" s="18" t="n">
        <f aca="false">IF(O949="","",$D$3*PI()*(O949/1000)^2/4*3600)</f>
        <v>1.7649970182692</v>
      </c>
      <c r="AC949" s="19" t="n">
        <f aca="false">IF(OR(U949="",NOT(ISNUMBER(U949))),"",U949*$D$3^2/(2*$H$3))</f>
        <v>0.236880733944954</v>
      </c>
      <c r="AD949" s="20" t="n">
        <f aca="false">IF(OR(U949="",NOT(ISNUMBER(U949))),"",U949*$D$3^2/2*$F$3)</f>
        <v>2323.8</v>
      </c>
      <c r="AE949" s="19" t="str">
        <f aca="false">IF(OR(V949="",NOT(ISNUMBER(V949))),"",V949*$D$3^2/(2*$H$3))</f>
        <v/>
      </c>
      <c r="AF949" s="20" t="str">
        <f aca="false">IF(OR(V949="",NOT(ISNUMBER(V949))),"",V949*$D$3^2/2*$F$3)</f>
        <v/>
      </c>
      <c r="AG949" s="19" t="str">
        <f aca="false">IF(OR(W949="",NOT(ISNUMBER(W949))),"",W949*$D$3^2/(2*$H$3))</f>
        <v/>
      </c>
      <c r="AH949" s="20" t="str">
        <f aca="false">IF(OR(W949="",NOT(ISNUMBER(W949))),"",W949*$D$3^2/2*$F$3)</f>
        <v/>
      </c>
    </row>
    <row r="950" customFormat="false" ht="15" hidden="false" customHeight="false" outlineLevel="0" collapsed="false">
      <c r="A950" s="10" t="s">
        <v>2054</v>
      </c>
      <c r="B950" s="26" t="s">
        <v>2055</v>
      </c>
      <c r="C950" s="6" t="s">
        <v>1872</v>
      </c>
      <c r="D950" s="6" t="s">
        <v>2056</v>
      </c>
      <c r="E950" s="6" t="s">
        <v>2057</v>
      </c>
      <c r="F950" s="6" t="s">
        <v>2058</v>
      </c>
      <c r="G950" s="6"/>
      <c r="H950" s="6"/>
      <c r="I950" s="6" t="s">
        <v>108</v>
      </c>
      <c r="J950" s="6" t="n">
        <v>10</v>
      </c>
      <c r="K950" s="6" t="s">
        <v>2059</v>
      </c>
      <c r="L950" s="6"/>
      <c r="M950" s="6"/>
      <c r="N950" s="12" t="n">
        <v>15.8</v>
      </c>
      <c r="O950" s="12" t="n">
        <v>15.8</v>
      </c>
      <c r="P950" s="12" t="n">
        <v>15.8</v>
      </c>
      <c r="Q950" s="12"/>
      <c r="R950" s="14" t="n">
        <v>0.027</v>
      </c>
      <c r="S950" s="6" t="n">
        <v>0</v>
      </c>
      <c r="T950" s="6"/>
      <c r="U950" s="15" t="n">
        <f aca="false">(0.5*(1-(P950/N950)^2)+(1-(P950/O950)^2)^2)*(O950/P950)^4+0.04</f>
        <v>0.04</v>
      </c>
      <c r="V950" s="14"/>
      <c r="W950" s="14"/>
      <c r="X950" s="10" t="s">
        <v>2060</v>
      </c>
      <c r="Y950" s="16" t="n">
        <v>0.66</v>
      </c>
      <c r="Z950" s="17" t="s">
        <v>48</v>
      </c>
      <c r="AA950" s="6" t="s">
        <v>1874</v>
      </c>
      <c r="AB950" s="18" t="n">
        <f aca="false">IF(O950="","",$D$3*PI()*(O950/1000)^2/4*3600)</f>
        <v>1.05876070655691</v>
      </c>
      <c r="AC950" s="19" t="n">
        <f aca="false">IF(OR(U950="",NOT(ISNUMBER(U950))),"",U950*$D$3^2/(2*$H$3))</f>
        <v>0.00458715596330275</v>
      </c>
      <c r="AD950" s="20" t="n">
        <f aca="false">IF(OR(U950="",NOT(ISNUMBER(U950))),"",U950*$D$3^2/2*$F$3)</f>
        <v>45</v>
      </c>
      <c r="AE950" s="19" t="str">
        <f aca="false">IF(OR(V950="",NOT(ISNUMBER(V950))),"",V950*$D$3^2/(2*$H$3))</f>
        <v/>
      </c>
      <c r="AF950" s="20" t="str">
        <f aca="false">IF(OR(V950="",NOT(ISNUMBER(V950))),"",V950*$D$3^2/2*$F$3)</f>
        <v/>
      </c>
      <c r="AG950" s="19" t="str">
        <f aca="false">IF(OR(W950="",NOT(ISNUMBER(W950))),"",W950*$D$3^2/(2*$H$3))</f>
        <v/>
      </c>
      <c r="AH950" s="20" t="str">
        <f aca="false">IF(OR(W950="",NOT(ISNUMBER(W950))),"",W950*$D$3^2/2*$F$3)</f>
        <v/>
      </c>
    </row>
    <row r="951" customFormat="false" ht="15" hidden="false" customHeight="false" outlineLevel="0" collapsed="false">
      <c r="A951" s="10" t="s">
        <v>2061</v>
      </c>
      <c r="B951" s="26" t="s">
        <v>2055</v>
      </c>
      <c r="C951" s="6" t="s">
        <v>1872</v>
      </c>
      <c r="D951" s="6" t="s">
        <v>2062</v>
      </c>
      <c r="E951" s="6" t="s">
        <v>2057</v>
      </c>
      <c r="F951" s="6" t="s">
        <v>2058</v>
      </c>
      <c r="G951" s="6"/>
      <c r="H951" s="6"/>
      <c r="I951" s="6" t="s">
        <v>111</v>
      </c>
      <c r="J951" s="6" t="n">
        <v>10</v>
      </c>
      <c r="K951" s="6" t="s">
        <v>2059</v>
      </c>
      <c r="L951" s="6"/>
      <c r="M951" s="6"/>
      <c r="N951" s="12" t="n">
        <v>20.9</v>
      </c>
      <c r="O951" s="12" t="n">
        <v>20.9</v>
      </c>
      <c r="P951" s="12" t="n">
        <v>20.9</v>
      </c>
      <c r="Q951" s="12"/>
      <c r="R951" s="14" t="n">
        <v>0.025</v>
      </c>
      <c r="S951" s="6" t="n">
        <v>0</v>
      </c>
      <c r="T951" s="6"/>
      <c r="U951" s="15" t="n">
        <f aca="false">(0.5*(1-(P951/N951)^2)+(1-(P951/O951)^2)^2)*(O951/P951)^4+0.04</f>
        <v>0.04</v>
      </c>
      <c r="V951" s="14"/>
      <c r="W951" s="14"/>
      <c r="X951" s="10" t="s">
        <v>2060</v>
      </c>
      <c r="Y951" s="16" t="n">
        <v>0.66</v>
      </c>
      <c r="Z951" s="17" t="s">
        <v>48</v>
      </c>
      <c r="AA951" s="6" t="s">
        <v>1874</v>
      </c>
      <c r="AB951" s="18" t="n">
        <f aca="false">IF(O951="","",$D$3*PI()*(O951/1000)^2/4*3600)</f>
        <v>1.85257676746965</v>
      </c>
      <c r="AC951" s="19" t="n">
        <f aca="false">IF(OR(U951="",NOT(ISNUMBER(U951))),"",U951*$D$3^2/(2*$H$3))</f>
        <v>0.00458715596330275</v>
      </c>
      <c r="AD951" s="20" t="n">
        <f aca="false">IF(OR(U951="",NOT(ISNUMBER(U951))),"",U951*$D$3^2/2*$F$3)</f>
        <v>45</v>
      </c>
      <c r="AE951" s="19" t="str">
        <f aca="false">IF(OR(V951="",NOT(ISNUMBER(V951))),"",V951*$D$3^2/(2*$H$3))</f>
        <v/>
      </c>
      <c r="AF951" s="20" t="str">
        <f aca="false">IF(OR(V951="",NOT(ISNUMBER(V951))),"",V951*$D$3^2/2*$F$3)</f>
        <v/>
      </c>
      <c r="AG951" s="19" t="str">
        <f aca="false">IF(OR(W951="",NOT(ISNUMBER(W951))),"",W951*$D$3^2/(2*$H$3))</f>
        <v/>
      </c>
      <c r="AH951" s="20" t="str">
        <f aca="false">IF(OR(W951="",NOT(ISNUMBER(W951))),"",W951*$D$3^2/2*$F$3)</f>
        <v/>
      </c>
    </row>
    <row r="952" customFormat="false" ht="15" hidden="false" customHeight="false" outlineLevel="0" collapsed="false">
      <c r="A952" s="10" t="s">
        <v>2063</v>
      </c>
      <c r="B952" s="26" t="s">
        <v>2055</v>
      </c>
      <c r="C952" s="6" t="s">
        <v>1872</v>
      </c>
      <c r="D952" s="6" t="s">
        <v>2064</v>
      </c>
      <c r="E952" s="6" t="s">
        <v>2057</v>
      </c>
      <c r="F952" s="6" t="s">
        <v>2058</v>
      </c>
      <c r="G952" s="6"/>
      <c r="H952" s="6"/>
      <c r="I952" s="6" t="s">
        <v>118</v>
      </c>
      <c r="J952" s="6" t="n">
        <v>10</v>
      </c>
      <c r="K952" s="6" t="s">
        <v>2059</v>
      </c>
      <c r="L952" s="6"/>
      <c r="M952" s="6"/>
      <c r="N952" s="12" t="n">
        <v>26.6</v>
      </c>
      <c r="O952" s="12" t="n">
        <v>26.6</v>
      </c>
      <c r="P952" s="12" t="n">
        <v>26.6</v>
      </c>
      <c r="Q952" s="12"/>
      <c r="R952" s="14" t="n">
        <v>0.023</v>
      </c>
      <c r="S952" s="6" t="n">
        <v>0</v>
      </c>
      <c r="T952" s="6"/>
      <c r="U952" s="15" t="n">
        <f aca="false">(0.5*(1-(P952/N952)^2)+(1-(P952/O952)^2)^2)*(O952/P952)^4+0.04</f>
        <v>0.04</v>
      </c>
      <c r="V952" s="14"/>
      <c r="W952" s="14"/>
      <c r="X952" s="10" t="s">
        <v>2060</v>
      </c>
      <c r="Y952" s="16" t="n">
        <v>0.66</v>
      </c>
      <c r="Z952" s="17" t="s">
        <v>48</v>
      </c>
      <c r="AA952" s="6" t="s">
        <v>1874</v>
      </c>
      <c r="AB952" s="18" t="n">
        <f aca="false">IF(O952="","",$D$3*PI()*(O952/1000)^2/4*3600)</f>
        <v>3.00086815226489</v>
      </c>
      <c r="AC952" s="19" t="n">
        <f aca="false">IF(OR(U952="",NOT(ISNUMBER(U952))),"",U952*$D$3^2/(2*$H$3))</f>
        <v>0.00458715596330275</v>
      </c>
      <c r="AD952" s="20" t="n">
        <f aca="false">IF(OR(U952="",NOT(ISNUMBER(U952))),"",U952*$D$3^2/2*$F$3)</f>
        <v>45</v>
      </c>
      <c r="AE952" s="19" t="str">
        <f aca="false">IF(OR(V952="",NOT(ISNUMBER(V952))),"",V952*$D$3^2/(2*$H$3))</f>
        <v/>
      </c>
      <c r="AF952" s="20" t="str">
        <f aca="false">IF(OR(V952="",NOT(ISNUMBER(V952))),"",V952*$D$3^2/2*$F$3)</f>
        <v/>
      </c>
      <c r="AG952" s="19" t="str">
        <f aca="false">IF(OR(W952="",NOT(ISNUMBER(W952))),"",W952*$D$3^2/(2*$H$3))</f>
        <v/>
      </c>
      <c r="AH952" s="20" t="str">
        <f aca="false">IF(OR(W952="",NOT(ISNUMBER(W952))),"",W952*$D$3^2/2*$F$3)</f>
        <v/>
      </c>
    </row>
    <row r="953" customFormat="false" ht="15" hidden="false" customHeight="false" outlineLevel="0" collapsed="false">
      <c r="A953" s="10" t="s">
        <v>2065</v>
      </c>
      <c r="B953" s="26" t="s">
        <v>2055</v>
      </c>
      <c r="C953" s="6" t="s">
        <v>1872</v>
      </c>
      <c r="D953" s="6" t="s">
        <v>2066</v>
      </c>
      <c r="E953" s="6" t="s">
        <v>2057</v>
      </c>
      <c r="F953" s="6" t="s">
        <v>2058</v>
      </c>
      <c r="G953" s="6"/>
      <c r="H953" s="6"/>
      <c r="I953" s="6" t="s">
        <v>127</v>
      </c>
      <c r="J953" s="6" t="n">
        <v>10</v>
      </c>
      <c r="K953" s="6" t="s">
        <v>2059</v>
      </c>
      <c r="L953" s="6"/>
      <c r="M953" s="6"/>
      <c r="N953" s="12" t="n">
        <v>35.1</v>
      </c>
      <c r="O953" s="12" t="n">
        <v>35.1</v>
      </c>
      <c r="P953" s="12" t="n">
        <v>35.1</v>
      </c>
      <c r="Q953" s="12"/>
      <c r="R953" s="14" t="n">
        <v>0.022</v>
      </c>
      <c r="S953" s="6" t="n">
        <v>0</v>
      </c>
      <c r="T953" s="6"/>
      <c r="U953" s="15" t="n">
        <f aca="false">(0.5*(1-(P953/N953)^2)+(1-(P953/O953)^2)^2)*(O953/P953)^4+0.04</f>
        <v>0.04</v>
      </c>
      <c r="V953" s="14"/>
      <c r="W953" s="14"/>
      <c r="X953" s="10" t="s">
        <v>2060</v>
      </c>
      <c r="Y953" s="16" t="n">
        <v>0.66</v>
      </c>
      <c r="Z953" s="17" t="s">
        <v>48</v>
      </c>
      <c r="AA953" s="6" t="s">
        <v>1874</v>
      </c>
      <c r="AB953" s="18" t="n">
        <f aca="false">IF(O953="","",$D$3*PI()*(O953/1000)^2/4*3600)</f>
        <v>5.22513931295137</v>
      </c>
      <c r="AC953" s="19" t="n">
        <f aca="false">IF(OR(U953="",NOT(ISNUMBER(U953))),"",U953*$D$3^2/(2*$H$3))</f>
        <v>0.00458715596330275</v>
      </c>
      <c r="AD953" s="20" t="n">
        <f aca="false">IF(OR(U953="",NOT(ISNUMBER(U953))),"",U953*$D$3^2/2*$F$3)</f>
        <v>45</v>
      </c>
      <c r="AE953" s="19" t="str">
        <f aca="false">IF(OR(V953="",NOT(ISNUMBER(V953))),"",V953*$D$3^2/(2*$H$3))</f>
        <v/>
      </c>
      <c r="AF953" s="20" t="str">
        <f aca="false">IF(OR(V953="",NOT(ISNUMBER(V953))),"",V953*$D$3^2/2*$F$3)</f>
        <v/>
      </c>
      <c r="AG953" s="19" t="str">
        <f aca="false">IF(OR(W953="",NOT(ISNUMBER(W953))),"",W953*$D$3^2/(2*$H$3))</f>
        <v/>
      </c>
      <c r="AH953" s="20" t="str">
        <f aca="false">IF(OR(W953="",NOT(ISNUMBER(W953))),"",W953*$D$3^2/2*$F$3)</f>
        <v/>
      </c>
    </row>
    <row r="954" customFormat="false" ht="15" hidden="false" customHeight="false" outlineLevel="0" collapsed="false">
      <c r="A954" s="10" t="s">
        <v>2067</v>
      </c>
      <c r="B954" s="26" t="s">
        <v>2055</v>
      </c>
      <c r="C954" s="6" t="s">
        <v>1872</v>
      </c>
      <c r="D954" s="6" t="s">
        <v>2068</v>
      </c>
      <c r="E954" s="6" t="s">
        <v>2057</v>
      </c>
      <c r="F954" s="6" t="s">
        <v>2058</v>
      </c>
      <c r="G954" s="6"/>
      <c r="H954" s="6"/>
      <c r="I954" s="6" t="s">
        <v>130</v>
      </c>
      <c r="J954" s="6" t="n">
        <v>10</v>
      </c>
      <c r="K954" s="6" t="s">
        <v>2059</v>
      </c>
      <c r="L954" s="6"/>
      <c r="M954" s="6"/>
      <c r="N954" s="12" t="n">
        <v>40.9</v>
      </c>
      <c r="O954" s="12" t="n">
        <v>40.9</v>
      </c>
      <c r="P954" s="12" t="n">
        <v>40.9</v>
      </c>
      <c r="Q954" s="12"/>
      <c r="R954" s="14" t="n">
        <v>0.021</v>
      </c>
      <c r="S954" s="6" t="n">
        <v>0</v>
      </c>
      <c r="T954" s="6"/>
      <c r="U954" s="15" t="n">
        <f aca="false">(0.5*(1-(P954/N954)^2)+(1-(P954/O954)^2)^2)*(O954/P954)^4+0.04</f>
        <v>0.04</v>
      </c>
      <c r="V954" s="14"/>
      <c r="W954" s="14"/>
      <c r="X954" s="10" t="s">
        <v>2060</v>
      </c>
      <c r="Y954" s="16" t="n">
        <v>0.66</v>
      </c>
      <c r="Z954" s="17" t="s">
        <v>48</v>
      </c>
      <c r="AA954" s="6" t="s">
        <v>1874</v>
      </c>
      <c r="AB954" s="18" t="n">
        <f aca="false">IF(O954="","",$D$3*PI()*(O954/1000)^2/4*3600)</f>
        <v>7.09463826924958</v>
      </c>
      <c r="AC954" s="19" t="n">
        <f aca="false">IF(OR(U954="",NOT(ISNUMBER(U954))),"",U954*$D$3^2/(2*$H$3))</f>
        <v>0.00458715596330275</v>
      </c>
      <c r="AD954" s="20" t="n">
        <f aca="false">IF(OR(U954="",NOT(ISNUMBER(U954))),"",U954*$D$3^2/2*$F$3)</f>
        <v>45</v>
      </c>
      <c r="AE954" s="19" t="str">
        <f aca="false">IF(OR(V954="",NOT(ISNUMBER(V954))),"",V954*$D$3^2/(2*$H$3))</f>
        <v/>
      </c>
      <c r="AF954" s="20" t="str">
        <f aca="false">IF(OR(V954="",NOT(ISNUMBER(V954))),"",V954*$D$3^2/2*$F$3)</f>
        <v/>
      </c>
      <c r="AG954" s="19" t="str">
        <f aca="false">IF(OR(W954="",NOT(ISNUMBER(W954))),"",W954*$D$3^2/(2*$H$3))</f>
        <v/>
      </c>
      <c r="AH954" s="20" t="str">
        <f aca="false">IF(OR(W954="",NOT(ISNUMBER(W954))),"",W954*$D$3^2/2*$F$3)</f>
        <v/>
      </c>
    </row>
    <row r="955" customFormat="false" ht="15" hidden="false" customHeight="false" outlineLevel="0" collapsed="false">
      <c r="A955" s="10" t="s">
        <v>2069</v>
      </c>
      <c r="B955" s="26" t="s">
        <v>2055</v>
      </c>
      <c r="C955" s="6" t="s">
        <v>1872</v>
      </c>
      <c r="D955" s="6" t="s">
        <v>2070</v>
      </c>
      <c r="E955" s="6" t="s">
        <v>2057</v>
      </c>
      <c r="F955" s="6" t="s">
        <v>2058</v>
      </c>
      <c r="G955" s="6"/>
      <c r="H955" s="6"/>
      <c r="I955" s="6" t="s">
        <v>133</v>
      </c>
      <c r="J955" s="6" t="n">
        <v>10</v>
      </c>
      <c r="K955" s="6" t="s">
        <v>2059</v>
      </c>
      <c r="L955" s="6"/>
      <c r="M955" s="6"/>
      <c r="N955" s="12" t="n">
        <v>52.5</v>
      </c>
      <c r="O955" s="12" t="n">
        <v>52.5</v>
      </c>
      <c r="P955" s="12" t="n">
        <v>52.5</v>
      </c>
      <c r="Q955" s="12"/>
      <c r="R955" s="14" t="n">
        <v>0.019</v>
      </c>
      <c r="S955" s="6" t="n">
        <v>0</v>
      </c>
      <c r="T955" s="6"/>
      <c r="U955" s="15" t="n">
        <f aca="false">(0.5*(1-(P955/N955)^2)+(1-(P955/O955)^2)^2)*(O955/P955)^4+0.04</f>
        <v>0.04</v>
      </c>
      <c r="V955" s="14"/>
      <c r="W955" s="14"/>
      <c r="X955" s="10" t="s">
        <v>2060</v>
      </c>
      <c r="Y955" s="16" t="n">
        <v>0.66</v>
      </c>
      <c r="Z955" s="17" t="s">
        <v>48</v>
      </c>
      <c r="AA955" s="6" t="s">
        <v>1874</v>
      </c>
      <c r="AB955" s="18" t="n">
        <f aca="false">IF(O955="","",$D$3*PI()*(O955/1000)^2/4*3600)</f>
        <v>11.6896699144668</v>
      </c>
      <c r="AC955" s="19" t="n">
        <f aca="false">IF(OR(U955="",NOT(ISNUMBER(U955))),"",U955*$D$3^2/(2*$H$3))</f>
        <v>0.00458715596330275</v>
      </c>
      <c r="AD955" s="20" t="n">
        <f aca="false">IF(OR(U955="",NOT(ISNUMBER(U955))),"",U955*$D$3^2/2*$F$3)</f>
        <v>45</v>
      </c>
      <c r="AE955" s="19" t="str">
        <f aca="false">IF(OR(V955="",NOT(ISNUMBER(V955))),"",V955*$D$3^2/(2*$H$3))</f>
        <v/>
      </c>
      <c r="AF955" s="20" t="str">
        <f aca="false">IF(OR(V955="",NOT(ISNUMBER(V955))),"",V955*$D$3^2/2*$F$3)</f>
        <v/>
      </c>
      <c r="AG955" s="19" t="str">
        <f aca="false">IF(OR(W955="",NOT(ISNUMBER(W955))),"",W955*$D$3^2/(2*$H$3))</f>
        <v/>
      </c>
      <c r="AH955" s="20" t="str">
        <f aca="false">IF(OR(W955="",NOT(ISNUMBER(W955))),"",W955*$D$3^2/2*$F$3)</f>
        <v/>
      </c>
    </row>
    <row r="956" customFormat="false" ht="15" hidden="false" customHeight="false" outlineLevel="0" collapsed="false">
      <c r="A956" s="10" t="s">
        <v>2071</v>
      </c>
      <c r="B956" s="26" t="s">
        <v>2055</v>
      </c>
      <c r="C956" s="6" t="s">
        <v>1872</v>
      </c>
      <c r="D956" s="6" t="s">
        <v>2072</v>
      </c>
      <c r="E956" s="6" t="s">
        <v>2057</v>
      </c>
      <c r="F956" s="6" t="s">
        <v>2058</v>
      </c>
      <c r="G956" s="6"/>
      <c r="H956" s="6"/>
      <c r="I956" s="6" t="s">
        <v>136</v>
      </c>
      <c r="J956" s="6" t="n">
        <v>10</v>
      </c>
      <c r="K956" s="6" t="s">
        <v>2059</v>
      </c>
      <c r="L956" s="6"/>
      <c r="M956" s="6"/>
      <c r="N956" s="12" t="n">
        <v>62.7</v>
      </c>
      <c r="O956" s="12" t="n">
        <v>62.7</v>
      </c>
      <c r="P956" s="12" t="n">
        <v>62.7</v>
      </c>
      <c r="Q956" s="12"/>
      <c r="R956" s="14" t="n">
        <v>0.018</v>
      </c>
      <c r="S956" s="6" t="n">
        <v>0</v>
      </c>
      <c r="T956" s="6"/>
      <c r="U956" s="15" t="n">
        <f aca="false">(0.5*(1-(P956/N956)^2)+(1-(P956/O956)^2)^2)*(O956/P956)^4+0.04</f>
        <v>0.04</v>
      </c>
      <c r="V956" s="14"/>
      <c r="W956" s="14"/>
      <c r="X956" s="10" t="s">
        <v>2060</v>
      </c>
      <c r="Y956" s="16" t="n">
        <v>0.66</v>
      </c>
      <c r="Z956" s="17" t="s">
        <v>48</v>
      </c>
      <c r="AA956" s="6" t="s">
        <v>1874</v>
      </c>
      <c r="AB956" s="18" t="n">
        <f aca="false">IF(O956="","",$D$3*PI()*(O956/1000)^2/4*3600)</f>
        <v>16.6731909072269</v>
      </c>
      <c r="AC956" s="19" t="n">
        <f aca="false">IF(OR(U956="",NOT(ISNUMBER(U956))),"",U956*$D$3^2/(2*$H$3))</f>
        <v>0.00458715596330275</v>
      </c>
      <c r="AD956" s="20" t="n">
        <f aca="false">IF(OR(U956="",NOT(ISNUMBER(U956))),"",U956*$D$3^2/2*$F$3)</f>
        <v>45</v>
      </c>
      <c r="AE956" s="19" t="str">
        <f aca="false">IF(OR(V956="",NOT(ISNUMBER(V956))),"",V956*$D$3^2/(2*$H$3))</f>
        <v/>
      </c>
      <c r="AF956" s="20" t="str">
        <f aca="false">IF(OR(V956="",NOT(ISNUMBER(V956))),"",V956*$D$3^2/2*$F$3)</f>
        <v/>
      </c>
      <c r="AG956" s="19" t="str">
        <f aca="false">IF(OR(W956="",NOT(ISNUMBER(W956))),"",W956*$D$3^2/(2*$H$3))</f>
        <v/>
      </c>
      <c r="AH956" s="20" t="str">
        <f aca="false">IF(OR(W956="",NOT(ISNUMBER(W956))),"",W956*$D$3^2/2*$F$3)</f>
        <v/>
      </c>
    </row>
    <row r="957" customFormat="false" ht="15" hidden="false" customHeight="false" outlineLevel="0" collapsed="false">
      <c r="A957" s="10" t="s">
        <v>2073</v>
      </c>
      <c r="B957" s="26" t="s">
        <v>2055</v>
      </c>
      <c r="C957" s="6" t="s">
        <v>1872</v>
      </c>
      <c r="D957" s="6" t="s">
        <v>2074</v>
      </c>
      <c r="E957" s="6" t="s">
        <v>2057</v>
      </c>
      <c r="F957" s="6" t="s">
        <v>2058</v>
      </c>
      <c r="G957" s="6"/>
      <c r="H957" s="6"/>
      <c r="I957" s="6" t="s">
        <v>139</v>
      </c>
      <c r="J957" s="6" t="n">
        <v>10</v>
      </c>
      <c r="K957" s="6" t="s">
        <v>2059</v>
      </c>
      <c r="L957" s="6"/>
      <c r="M957" s="6"/>
      <c r="N957" s="12" t="n">
        <v>77.9</v>
      </c>
      <c r="O957" s="12" t="n">
        <v>77.9</v>
      </c>
      <c r="P957" s="12" t="n">
        <v>77.9</v>
      </c>
      <c r="Q957" s="12"/>
      <c r="R957" s="14" t="n">
        <v>0.018</v>
      </c>
      <c r="S957" s="6" t="n">
        <v>0</v>
      </c>
      <c r="T957" s="6"/>
      <c r="U957" s="15" t="n">
        <f aca="false">(0.5*(1-(P957/N957)^2)+(1-(P957/O957)^2)^2)*(O957/P957)^4+0.04</f>
        <v>0.04</v>
      </c>
      <c r="V957" s="14"/>
      <c r="W957" s="14"/>
      <c r="X957" s="10" t="s">
        <v>2060</v>
      </c>
      <c r="Y957" s="16" t="n">
        <v>0.66</v>
      </c>
      <c r="Z957" s="17" t="s">
        <v>48</v>
      </c>
      <c r="AA957" s="6" t="s">
        <v>1874</v>
      </c>
      <c r="AB957" s="18" t="n">
        <f aca="false">IF(O957="","",$D$3*PI()*(O957/1000)^2/4*3600)</f>
        <v>25.7370375712106</v>
      </c>
      <c r="AC957" s="19" t="n">
        <f aca="false">IF(OR(U957="",NOT(ISNUMBER(U957))),"",U957*$D$3^2/(2*$H$3))</f>
        <v>0.00458715596330275</v>
      </c>
      <c r="AD957" s="20" t="n">
        <f aca="false">IF(OR(U957="",NOT(ISNUMBER(U957))),"",U957*$D$3^2/2*$F$3)</f>
        <v>45</v>
      </c>
      <c r="AE957" s="19" t="str">
        <f aca="false">IF(OR(V957="",NOT(ISNUMBER(V957))),"",V957*$D$3^2/(2*$H$3))</f>
        <v/>
      </c>
      <c r="AF957" s="20" t="str">
        <f aca="false">IF(OR(V957="",NOT(ISNUMBER(V957))),"",V957*$D$3^2/2*$F$3)</f>
        <v/>
      </c>
      <c r="AG957" s="19" t="str">
        <f aca="false">IF(OR(W957="",NOT(ISNUMBER(W957))),"",W957*$D$3^2/(2*$H$3))</f>
        <v/>
      </c>
      <c r="AH957" s="20" t="str">
        <f aca="false">IF(OR(W957="",NOT(ISNUMBER(W957))),"",W957*$D$3^2/2*$F$3)</f>
        <v/>
      </c>
    </row>
    <row r="958" customFormat="false" ht="15" hidden="false" customHeight="false" outlineLevel="0" collapsed="false">
      <c r="A958" s="10" t="s">
        <v>2075</v>
      </c>
      <c r="B958" s="26" t="s">
        <v>2055</v>
      </c>
      <c r="C958" s="6" t="s">
        <v>1872</v>
      </c>
      <c r="D958" s="6" t="s">
        <v>2076</v>
      </c>
      <c r="E958" s="6" t="s">
        <v>2077</v>
      </c>
      <c r="F958" s="6" t="s">
        <v>2058</v>
      </c>
      <c r="G958" s="6"/>
      <c r="H958" s="6"/>
      <c r="I958" s="6" t="s">
        <v>2078</v>
      </c>
      <c r="J958" s="6" t="n">
        <v>10</v>
      </c>
      <c r="K958" s="6" t="s">
        <v>2059</v>
      </c>
      <c r="L958" s="6"/>
      <c r="M958" s="6"/>
      <c r="N958" s="12" t="n">
        <v>20.9</v>
      </c>
      <c r="O958" s="12" t="n">
        <v>15.8</v>
      </c>
      <c r="P958" s="12" t="n">
        <v>15.8</v>
      </c>
      <c r="Q958" s="12"/>
      <c r="R958" s="14" t="n">
        <v>0.025</v>
      </c>
      <c r="S958" s="6" t="n">
        <v>0</v>
      </c>
      <c r="T958" s="6"/>
      <c r="U958" s="15" t="n">
        <f aca="false">(0.5*(1-(P958/N958)^2)+(1-(P958/O958)^2)^2)*(O958/P958)^4+0.04</f>
        <v>0.254246468716375</v>
      </c>
      <c r="V958" s="14"/>
      <c r="W958" s="15" t="n">
        <f aca="false">(0.5*(1-(P958/O958)^2)+(1-(P958/N958)^2)^2)*(O958/P958)^4+0.04</f>
        <v>0.223606197429747</v>
      </c>
      <c r="X958" s="10" t="s">
        <v>2060</v>
      </c>
      <c r="Y958" s="16" t="n">
        <v>0.68</v>
      </c>
      <c r="Z958" s="17" t="s">
        <v>48</v>
      </c>
      <c r="AA958" s="6" t="s">
        <v>1874</v>
      </c>
      <c r="AB958" s="18" t="n">
        <f aca="false">IF(O958="","",$D$3*PI()*(O958/1000)^2/4*3600)</f>
        <v>1.05876070655691</v>
      </c>
      <c r="AC958" s="19" t="n">
        <f aca="false">IF(OR(U958="",NOT(ISNUMBER(U958))),"",U958*$D$3^2/(2*$H$3))</f>
        <v>0.0291567051280247</v>
      </c>
      <c r="AD958" s="20" t="n">
        <f aca="false">IF(OR(U958="",NOT(ISNUMBER(U958))),"",U958*$D$3^2/2*$F$3)</f>
        <v>286.027277305922</v>
      </c>
      <c r="AE958" s="19" t="str">
        <f aca="false">IF(OR(V958="",NOT(ISNUMBER(V958))),"",V958*$D$3^2/(2*$H$3))</f>
        <v/>
      </c>
      <c r="AF958" s="20" t="str">
        <f aca="false">IF(OR(V958="",NOT(ISNUMBER(V958))),"",V958*$D$3^2/2*$F$3)</f>
        <v/>
      </c>
      <c r="AG958" s="19" t="n">
        <f aca="false">IF(OR(W958="",NOT(ISNUMBER(W958))),"",W958*$D$3^2/(2*$H$3))</f>
        <v>0.025642912549283</v>
      </c>
      <c r="AH958" s="20" t="n">
        <f aca="false">IF(OR(W958="",NOT(ISNUMBER(W958))),"",W958*$D$3^2/2*$F$3)</f>
        <v>251.556972108466</v>
      </c>
    </row>
    <row r="959" customFormat="false" ht="15" hidden="false" customHeight="false" outlineLevel="0" collapsed="false">
      <c r="A959" s="10" t="s">
        <v>2079</v>
      </c>
      <c r="B959" s="26" t="s">
        <v>2055</v>
      </c>
      <c r="C959" s="6" t="s">
        <v>1872</v>
      </c>
      <c r="D959" s="6" t="s">
        <v>2080</v>
      </c>
      <c r="E959" s="6" t="s">
        <v>2077</v>
      </c>
      <c r="F959" s="6" t="s">
        <v>2058</v>
      </c>
      <c r="G959" s="6"/>
      <c r="H959" s="6"/>
      <c r="I959" s="6" t="s">
        <v>2081</v>
      </c>
      <c r="J959" s="6" t="n">
        <v>10</v>
      </c>
      <c r="K959" s="6" t="s">
        <v>2059</v>
      </c>
      <c r="L959" s="6"/>
      <c r="M959" s="6"/>
      <c r="N959" s="12" t="n">
        <v>26.6</v>
      </c>
      <c r="O959" s="12" t="n">
        <v>15.8</v>
      </c>
      <c r="P959" s="12" t="n">
        <v>15.8</v>
      </c>
      <c r="Q959" s="12"/>
      <c r="R959" s="14" t="n">
        <v>0.023</v>
      </c>
      <c r="S959" s="6" t="n">
        <v>0</v>
      </c>
      <c r="T959" s="6"/>
      <c r="U959" s="15" t="n">
        <f aca="false">(0.5*(1-(P959/N959)^2)+(1-(P959/O959)^2)^2)*(O959/P959)^4+0.04</f>
        <v>0.363590932217762</v>
      </c>
      <c r="V959" s="14"/>
      <c r="W959" s="15" t="n">
        <f aca="false">(0.5*(1-(P959/O959)^2)+(1-(P959/N959)^2)^2)*(O959/P959)^4+0.04</f>
        <v>0.458844365654242</v>
      </c>
      <c r="X959" s="10" t="s">
        <v>2060</v>
      </c>
      <c r="Y959" s="16" t="n">
        <v>0.68</v>
      </c>
      <c r="Z959" s="17" t="s">
        <v>48</v>
      </c>
      <c r="AA959" s="6" t="s">
        <v>1874</v>
      </c>
      <c r="AB959" s="18" t="n">
        <f aca="false">IF(O959="","",$D$3*PI()*(O959/1000)^2/4*3600)</f>
        <v>1.05876070655691</v>
      </c>
      <c r="AC959" s="19" t="n">
        <f aca="false">IF(OR(U959="",NOT(ISNUMBER(U959))),"",U959*$D$3^2/(2*$H$3))</f>
        <v>0.0416962078231379</v>
      </c>
      <c r="AD959" s="20" t="n">
        <f aca="false">IF(OR(U959="",NOT(ISNUMBER(U959))),"",U959*$D$3^2/2*$F$3)</f>
        <v>409.039798744983</v>
      </c>
      <c r="AE959" s="19" t="str">
        <f aca="false">IF(OR(V959="",NOT(ISNUMBER(V959))),"",V959*$D$3^2/(2*$H$3))</f>
        <v/>
      </c>
      <c r="AF959" s="20" t="str">
        <f aca="false">IF(OR(V959="",NOT(ISNUMBER(V959))),"",V959*$D$3^2/2*$F$3)</f>
        <v/>
      </c>
      <c r="AG959" s="19" t="n">
        <f aca="false">IF(OR(W959="",NOT(ISNUMBER(W959))),"",W959*$D$3^2/(2*$H$3))</f>
        <v>0.0526197667034681</v>
      </c>
      <c r="AH959" s="20" t="n">
        <f aca="false">IF(OR(W959="",NOT(ISNUMBER(W959))),"",W959*$D$3^2/2*$F$3)</f>
        <v>516.199911361023</v>
      </c>
    </row>
    <row r="960" customFormat="false" ht="15" hidden="false" customHeight="false" outlineLevel="0" collapsed="false">
      <c r="A960" s="10" t="s">
        <v>2082</v>
      </c>
      <c r="B960" s="26" t="s">
        <v>2055</v>
      </c>
      <c r="C960" s="6" t="s">
        <v>1872</v>
      </c>
      <c r="D960" s="6" t="s">
        <v>2083</v>
      </c>
      <c r="E960" s="6" t="s">
        <v>2077</v>
      </c>
      <c r="F960" s="6" t="s">
        <v>2058</v>
      </c>
      <c r="G960" s="6"/>
      <c r="H960" s="6"/>
      <c r="I960" s="6" t="s">
        <v>2084</v>
      </c>
      <c r="J960" s="6" t="n">
        <v>10</v>
      </c>
      <c r="K960" s="6" t="s">
        <v>2059</v>
      </c>
      <c r="L960" s="6"/>
      <c r="M960" s="6"/>
      <c r="N960" s="12" t="n">
        <v>26.6</v>
      </c>
      <c r="O960" s="12" t="n">
        <v>20.9</v>
      </c>
      <c r="P960" s="12" t="n">
        <v>20.9</v>
      </c>
      <c r="Q960" s="12"/>
      <c r="R960" s="14" t="n">
        <v>0.023</v>
      </c>
      <c r="S960" s="6" t="n">
        <v>0</v>
      </c>
      <c r="T960" s="6"/>
      <c r="U960" s="15" t="n">
        <f aca="false">(0.5*(1-(P960/N960)^2)+(1-(P960/O960)^2)^2)*(O960/P960)^4+0.04</f>
        <v>0.231326530612245</v>
      </c>
      <c r="V960" s="14"/>
      <c r="W960" s="15" t="n">
        <f aca="false">(0.5*(1-(P960/O960)^2)+(1-(P960/N960)^2)^2)*(O960/P960)^4+0.04</f>
        <v>0.186423365264473</v>
      </c>
      <c r="X960" s="10" t="s">
        <v>2060</v>
      </c>
      <c r="Y960" s="16" t="n">
        <v>0.68</v>
      </c>
      <c r="Z960" s="17" t="s">
        <v>48</v>
      </c>
      <c r="AA960" s="6" t="s">
        <v>1874</v>
      </c>
      <c r="AB960" s="18" t="n">
        <f aca="false">IF(O960="","",$D$3*PI()*(O960/1000)^2/4*3600)</f>
        <v>1.85257676746965</v>
      </c>
      <c r="AC960" s="19" t="n">
        <f aca="false">IF(OR(U960="",NOT(ISNUMBER(U960))),"",U960*$D$3^2/(2*$H$3))</f>
        <v>0.0265282718592024</v>
      </c>
      <c r="AD960" s="20" t="n">
        <f aca="false">IF(OR(U960="",NOT(ISNUMBER(U960))),"",U960*$D$3^2/2*$F$3)</f>
        <v>260.242346938776</v>
      </c>
      <c r="AE960" s="19" t="str">
        <f aca="false">IF(OR(V960="",NOT(ISNUMBER(V960))),"",V960*$D$3^2/(2*$H$3))</f>
        <v/>
      </c>
      <c r="AF960" s="20" t="str">
        <f aca="false">IF(OR(V960="",NOT(ISNUMBER(V960))),"",V960*$D$3^2/2*$F$3)</f>
        <v/>
      </c>
      <c r="AG960" s="19" t="n">
        <f aca="false">IF(OR(W960="",NOT(ISNUMBER(W960))),"",W960*$D$3^2/(2*$H$3))</f>
        <v>0.0213788262917974</v>
      </c>
      <c r="AH960" s="20" t="n">
        <f aca="false">IF(OR(W960="",NOT(ISNUMBER(W960))),"",W960*$D$3^2/2*$F$3)</f>
        <v>209.726285922532</v>
      </c>
    </row>
    <row r="961" customFormat="false" ht="15" hidden="false" customHeight="false" outlineLevel="0" collapsed="false">
      <c r="A961" s="10" t="s">
        <v>2085</v>
      </c>
      <c r="B961" s="26" t="s">
        <v>2055</v>
      </c>
      <c r="C961" s="6" t="s">
        <v>1872</v>
      </c>
      <c r="D961" s="6" t="s">
        <v>2086</v>
      </c>
      <c r="E961" s="6" t="s">
        <v>2077</v>
      </c>
      <c r="F961" s="6" t="s">
        <v>2058</v>
      </c>
      <c r="G961" s="6"/>
      <c r="H961" s="6"/>
      <c r="I961" s="6" t="s">
        <v>2087</v>
      </c>
      <c r="J961" s="6" t="n">
        <v>10</v>
      </c>
      <c r="K961" s="6" t="s">
        <v>2059</v>
      </c>
      <c r="L961" s="6"/>
      <c r="M961" s="6"/>
      <c r="N961" s="12" t="n">
        <v>35.1</v>
      </c>
      <c r="O961" s="12" t="n">
        <v>20.9</v>
      </c>
      <c r="P961" s="12" t="n">
        <v>20.9</v>
      </c>
      <c r="Q961" s="12"/>
      <c r="R961" s="14" t="n">
        <v>0.022</v>
      </c>
      <c r="S961" s="6" t="n">
        <v>0</v>
      </c>
      <c r="T961" s="6"/>
      <c r="U961" s="15" t="n">
        <f aca="false">(0.5*(1-(P961/N961)^2)+(1-(P961/O961)^2)^2)*(O961/P961)^4+0.04</f>
        <v>0.362724653208984</v>
      </c>
      <c r="V961" s="14"/>
      <c r="W961" s="15" t="n">
        <f aca="false">(0.5*(1-(P961/O961)^2)+(1-(P961/N961)^2)^2)*(O961/P961)^4+0.04</f>
        <v>0.456604807155435</v>
      </c>
      <c r="X961" s="10" t="s">
        <v>2060</v>
      </c>
      <c r="Y961" s="16" t="n">
        <v>0.68</v>
      </c>
      <c r="Z961" s="17" t="s">
        <v>48</v>
      </c>
      <c r="AA961" s="6" t="s">
        <v>1874</v>
      </c>
      <c r="AB961" s="18" t="n">
        <f aca="false">IF(O961="","",$D$3*PI()*(O961/1000)^2/4*3600)</f>
        <v>1.85257676746965</v>
      </c>
      <c r="AC961" s="19" t="n">
        <f aca="false">IF(OR(U961="",NOT(ISNUMBER(U961))),"",U961*$D$3^2/(2*$H$3))</f>
        <v>0.0415968639001128</v>
      </c>
      <c r="AD961" s="20" t="n">
        <f aca="false">IF(OR(U961="",NOT(ISNUMBER(U961))),"",U961*$D$3^2/2*$F$3)</f>
        <v>408.065234860107</v>
      </c>
      <c r="AE961" s="19" t="str">
        <f aca="false">IF(OR(V961="",NOT(ISNUMBER(V961))),"",V961*$D$3^2/(2*$H$3))</f>
        <v/>
      </c>
      <c r="AF961" s="20" t="str">
        <f aca="false">IF(OR(V961="",NOT(ISNUMBER(V961))),"",V961*$D$3^2/2*$F$3)</f>
        <v/>
      </c>
      <c r="AG961" s="19" t="n">
        <f aca="false">IF(OR(W961="",NOT(ISNUMBER(W961))),"",W961*$D$3^2/(2*$H$3))</f>
        <v>0.052362936600394</v>
      </c>
      <c r="AH961" s="20" t="n">
        <f aca="false">IF(OR(W961="",NOT(ISNUMBER(W961))),"",W961*$D$3^2/2*$F$3)</f>
        <v>513.680408049865</v>
      </c>
    </row>
    <row r="962" customFormat="false" ht="15" hidden="false" customHeight="false" outlineLevel="0" collapsed="false">
      <c r="A962" s="10" t="s">
        <v>2088</v>
      </c>
      <c r="B962" s="26" t="s">
        <v>2055</v>
      </c>
      <c r="C962" s="6" t="s">
        <v>1872</v>
      </c>
      <c r="D962" s="6" t="s">
        <v>2089</v>
      </c>
      <c r="E962" s="6" t="s">
        <v>2077</v>
      </c>
      <c r="F962" s="6" t="s">
        <v>2058</v>
      </c>
      <c r="G962" s="6"/>
      <c r="H962" s="6"/>
      <c r="I962" s="6" t="s">
        <v>2090</v>
      </c>
      <c r="J962" s="6" t="n">
        <v>10</v>
      </c>
      <c r="K962" s="6" t="s">
        <v>2059</v>
      </c>
      <c r="L962" s="6"/>
      <c r="M962" s="6"/>
      <c r="N962" s="12" t="n">
        <v>35.1</v>
      </c>
      <c r="O962" s="12" t="n">
        <v>26.6</v>
      </c>
      <c r="P962" s="12" t="n">
        <v>26.6</v>
      </c>
      <c r="Q962" s="12"/>
      <c r="R962" s="14" t="n">
        <v>0.022</v>
      </c>
      <c r="S962" s="6" t="n">
        <v>0</v>
      </c>
      <c r="T962" s="6"/>
      <c r="U962" s="15" t="n">
        <f aca="false">(0.5*(1-(P962/N962)^2)+(1-(P962/O962)^2)^2)*(O962/P962)^4+0.04</f>
        <v>0.252843239908767</v>
      </c>
      <c r="V962" s="14"/>
      <c r="W962" s="15" t="n">
        <f aca="false">(0.5*(1-(P962/O962)^2)+(1-(P962/N962)^2)^2)*(O962/P962)^4+0.04</f>
        <v>0.221208979099444</v>
      </c>
      <c r="X962" s="10" t="s">
        <v>2060</v>
      </c>
      <c r="Y962" s="16" t="n">
        <v>0.68</v>
      </c>
      <c r="Z962" s="17" t="s">
        <v>48</v>
      </c>
      <c r="AA962" s="6" t="s">
        <v>1874</v>
      </c>
      <c r="AB962" s="18" t="n">
        <f aca="false">IF(O962="","",$D$3*PI()*(O962/1000)^2/4*3600)</f>
        <v>3.00086815226489</v>
      </c>
      <c r="AC962" s="19" t="n">
        <f aca="false">IF(OR(U962="",NOT(ISNUMBER(U962))),"",U962*$D$3^2/(2*$H$3))</f>
        <v>0.0289957843932072</v>
      </c>
      <c r="AD962" s="20" t="n">
        <f aca="false">IF(OR(U962="",NOT(ISNUMBER(U962))),"",U962*$D$3^2/2*$F$3)</f>
        <v>284.448644897363</v>
      </c>
      <c r="AE962" s="19" t="str">
        <f aca="false">IF(OR(V962="",NOT(ISNUMBER(V962))),"",V962*$D$3^2/(2*$H$3))</f>
        <v/>
      </c>
      <c r="AF962" s="20" t="str">
        <f aca="false">IF(OR(V962="",NOT(ISNUMBER(V962))),"",V962*$D$3^2/2*$F$3)</f>
        <v/>
      </c>
      <c r="AG962" s="19" t="n">
        <f aca="false">IF(OR(W962="",NOT(ISNUMBER(W962))),"",W962*$D$3^2/(2*$H$3))</f>
        <v>0.0253680021903032</v>
      </c>
      <c r="AH962" s="20" t="n">
        <f aca="false">IF(OR(W962="",NOT(ISNUMBER(W962))),"",W962*$D$3^2/2*$F$3)</f>
        <v>248.860101486874</v>
      </c>
    </row>
    <row r="963" customFormat="false" ht="15" hidden="false" customHeight="false" outlineLevel="0" collapsed="false">
      <c r="A963" s="10" t="s">
        <v>2091</v>
      </c>
      <c r="B963" s="26" t="s">
        <v>2055</v>
      </c>
      <c r="C963" s="6" t="s">
        <v>1872</v>
      </c>
      <c r="D963" s="6" t="s">
        <v>2092</v>
      </c>
      <c r="E963" s="6" t="s">
        <v>2077</v>
      </c>
      <c r="F963" s="6" t="s">
        <v>2058</v>
      </c>
      <c r="G963" s="6"/>
      <c r="H963" s="6"/>
      <c r="I963" s="6" t="s">
        <v>2093</v>
      </c>
      <c r="J963" s="6" t="n">
        <v>10</v>
      </c>
      <c r="K963" s="6" t="s">
        <v>2059</v>
      </c>
      <c r="L963" s="6"/>
      <c r="M963" s="6"/>
      <c r="N963" s="12" t="n">
        <v>40.9</v>
      </c>
      <c r="O963" s="12" t="n">
        <v>20.9</v>
      </c>
      <c r="P963" s="12" t="n">
        <v>20.9</v>
      </c>
      <c r="Q963" s="12"/>
      <c r="R963" s="14" t="n">
        <v>0.021</v>
      </c>
      <c r="S963" s="6" t="n">
        <v>0</v>
      </c>
      <c r="T963" s="6"/>
      <c r="U963" s="15" t="n">
        <f aca="false">(0.5*(1-(P963/N963)^2)+(1-(P963/O963)^2)^2)*(O963/P963)^4+0.04</f>
        <v>0.409438250608258</v>
      </c>
      <c r="V963" s="14"/>
      <c r="W963" s="15" t="n">
        <f aca="false">(0.5*(1-(P963/O963)^2)+(1-(P963/N963)^2)^2)*(O963/P963)^4+0.04</f>
        <v>0.58593848404996</v>
      </c>
      <c r="X963" s="10" t="s">
        <v>2060</v>
      </c>
      <c r="Y963" s="16" t="n">
        <v>0.68</v>
      </c>
      <c r="Z963" s="17" t="s">
        <v>48</v>
      </c>
      <c r="AA963" s="6" t="s">
        <v>1874</v>
      </c>
      <c r="AB963" s="18" t="n">
        <f aca="false">IF(O963="","",$D$3*PI()*(O963/1000)^2/4*3600)</f>
        <v>1.85257676746965</v>
      </c>
      <c r="AC963" s="19" t="n">
        <f aca="false">IF(OR(U963="",NOT(ISNUMBER(U963))),"",U963*$D$3^2/(2*$H$3))</f>
        <v>0.0469539278220479</v>
      </c>
      <c r="AD963" s="20" t="n">
        <f aca="false">IF(OR(U963="",NOT(ISNUMBER(U963))),"",U963*$D$3^2/2*$F$3)</f>
        <v>460.61803193429</v>
      </c>
      <c r="AE963" s="19" t="str">
        <f aca="false">IF(OR(V963="",NOT(ISNUMBER(V963))),"",V963*$D$3^2/(2*$H$3))</f>
        <v/>
      </c>
      <c r="AF963" s="20" t="str">
        <f aca="false">IF(OR(V963="",NOT(ISNUMBER(V963))),"",V963*$D$3^2/2*$F$3)</f>
        <v/>
      </c>
      <c r="AG963" s="19" t="n">
        <f aca="false">IF(OR(W963="",NOT(ISNUMBER(W963))),"",W963*$D$3^2/(2*$H$3))</f>
        <v>0.0671947802809587</v>
      </c>
      <c r="AH963" s="20" t="n">
        <f aca="false">IF(OR(W963="",NOT(ISNUMBER(W963))),"",W963*$D$3^2/2*$F$3)</f>
        <v>659.180794556205</v>
      </c>
    </row>
    <row r="964" customFormat="false" ht="15" hidden="false" customHeight="false" outlineLevel="0" collapsed="false">
      <c r="A964" s="10" t="s">
        <v>2094</v>
      </c>
      <c r="B964" s="26" t="s">
        <v>2055</v>
      </c>
      <c r="C964" s="6" t="s">
        <v>1872</v>
      </c>
      <c r="D964" s="6" t="s">
        <v>2095</v>
      </c>
      <c r="E964" s="6" t="s">
        <v>2077</v>
      </c>
      <c r="F964" s="6" t="s">
        <v>2058</v>
      </c>
      <c r="G964" s="6"/>
      <c r="H964" s="6"/>
      <c r="I964" s="6" t="s">
        <v>2096</v>
      </c>
      <c r="J964" s="6" t="n">
        <v>10</v>
      </c>
      <c r="K964" s="6" t="s">
        <v>2059</v>
      </c>
      <c r="L964" s="6"/>
      <c r="M964" s="6"/>
      <c r="N964" s="12" t="n">
        <v>52.5</v>
      </c>
      <c r="O964" s="12" t="n">
        <v>26.6</v>
      </c>
      <c r="P964" s="12" t="n">
        <v>26.6</v>
      </c>
      <c r="Q964" s="12"/>
      <c r="R964" s="14" t="n">
        <v>0.019</v>
      </c>
      <c r="S964" s="6" t="n">
        <v>0</v>
      </c>
      <c r="T964" s="6"/>
      <c r="U964" s="15" t="n">
        <f aca="false">(0.5*(1-(P964/N964)^2)+(1-(P964/O964)^2)^2)*(O964/P964)^4+0.04</f>
        <v>0.411644444444444</v>
      </c>
      <c r="V964" s="14"/>
      <c r="W964" s="15" t="n">
        <f aca="false">(0.5*(1-(P964/O964)^2)+(1-(P964/N964)^2)^2)*(O964/P964)^4+0.04</f>
        <v>0.592478372345679</v>
      </c>
      <c r="X964" s="10" t="s">
        <v>2060</v>
      </c>
      <c r="Y964" s="16" t="n">
        <v>0.68</v>
      </c>
      <c r="Z964" s="17" t="s">
        <v>48</v>
      </c>
      <c r="AA964" s="6" t="s">
        <v>1874</v>
      </c>
      <c r="AB964" s="18" t="n">
        <f aca="false">IF(O964="","",$D$3*PI()*(O964/1000)^2/4*3600)</f>
        <v>3.00086815226489</v>
      </c>
      <c r="AC964" s="19" t="n">
        <f aca="false">IF(OR(U964="",NOT(ISNUMBER(U964))),"",U964*$D$3^2/(2*$H$3))</f>
        <v>0.0472069317023445</v>
      </c>
      <c r="AD964" s="20" t="n">
        <f aca="false">IF(OR(U964="",NOT(ISNUMBER(U964))),"",U964*$D$3^2/2*$F$3)</f>
        <v>463.1</v>
      </c>
      <c r="AE964" s="19" t="str">
        <f aca="false">IF(OR(V964="",NOT(ISNUMBER(V964))),"",V964*$D$3^2/(2*$H$3))</f>
        <v/>
      </c>
      <c r="AF964" s="20" t="str">
        <f aca="false">IF(OR(V964="",NOT(ISNUMBER(V964))),"",V964*$D$3^2/2*$F$3)</f>
        <v/>
      </c>
      <c r="AG964" s="19" t="n">
        <f aca="false">IF(OR(W964="",NOT(ISNUMBER(W964))),"",W964*$D$3^2/(2*$H$3))</f>
        <v>0.0679447674708348</v>
      </c>
      <c r="AH964" s="20" t="n">
        <f aca="false">IF(OR(W964="",NOT(ISNUMBER(W964))),"",W964*$D$3^2/2*$F$3)</f>
        <v>666.538168888889</v>
      </c>
    </row>
    <row r="965" customFormat="false" ht="15" hidden="false" customHeight="false" outlineLevel="0" collapsed="false">
      <c r="A965" s="10" t="s">
        <v>2097</v>
      </c>
      <c r="B965" s="26" t="s">
        <v>2055</v>
      </c>
      <c r="C965" s="6" t="s">
        <v>1872</v>
      </c>
      <c r="D965" s="6" t="s">
        <v>2098</v>
      </c>
      <c r="E965" s="6" t="s">
        <v>2077</v>
      </c>
      <c r="F965" s="6" t="s">
        <v>2058</v>
      </c>
      <c r="G965" s="6"/>
      <c r="H965" s="6"/>
      <c r="I965" s="6" t="s">
        <v>2099</v>
      </c>
      <c r="J965" s="6" t="n">
        <v>10</v>
      </c>
      <c r="K965" s="6" t="s">
        <v>2059</v>
      </c>
      <c r="L965" s="6"/>
      <c r="M965" s="6"/>
      <c r="N965" s="12" t="n">
        <v>52.5</v>
      </c>
      <c r="O965" s="12" t="n">
        <v>40.9</v>
      </c>
      <c r="P965" s="12" t="n">
        <v>40.9</v>
      </c>
      <c r="Q965" s="12"/>
      <c r="R965" s="14" t="n">
        <v>0.019</v>
      </c>
      <c r="S965" s="6" t="n">
        <v>0</v>
      </c>
      <c r="T965" s="6"/>
      <c r="U965" s="15" t="n">
        <f aca="false">(0.5*(1-(P965/N965)^2)+(1-(P965/O965)^2)^2)*(O965/P965)^4+0.04</f>
        <v>0.236542403628118</v>
      </c>
      <c r="V965" s="14"/>
      <c r="W965" s="15" t="n">
        <f aca="false">(0.5*(1-(P965/O965)^2)+(1-(P965/N965)^2)^2)*(O965/P965)^4+0.04</f>
        <v>0.194515665695672</v>
      </c>
      <c r="X965" s="10" t="s">
        <v>2060</v>
      </c>
      <c r="Y965" s="16" t="n">
        <v>0.68</v>
      </c>
      <c r="Z965" s="17" t="s">
        <v>48</v>
      </c>
      <c r="AA965" s="6" t="s">
        <v>1874</v>
      </c>
      <c r="AB965" s="18" t="n">
        <f aca="false">IF(O965="","",$D$3*PI()*(O965/1000)^2/4*3600)</f>
        <v>7.09463826924958</v>
      </c>
      <c r="AC965" s="19" t="n">
        <f aca="false">IF(OR(U965="",NOT(ISNUMBER(U965))),"",U965*$D$3^2/(2*$H$3))</f>
        <v>0.0271264224344172</v>
      </c>
      <c r="AD965" s="20" t="n">
        <f aca="false">IF(OR(U965="",NOT(ISNUMBER(U965))),"",U965*$D$3^2/2*$F$3)</f>
        <v>266.110204081633</v>
      </c>
      <c r="AE965" s="19" t="str">
        <f aca="false">IF(OR(V965="",NOT(ISNUMBER(V965))),"",V965*$D$3^2/(2*$H$3))</f>
        <v/>
      </c>
      <c r="AF965" s="20" t="str">
        <f aca="false">IF(OR(V965="",NOT(ISNUMBER(V965))),"",V965*$D$3^2/2*$F$3)</f>
        <v/>
      </c>
      <c r="AG965" s="19" t="n">
        <f aca="false">IF(OR(W965="",NOT(ISNUMBER(W965))),"",W965*$D$3^2/(2*$H$3))</f>
        <v>0.0223068423962927</v>
      </c>
      <c r="AH965" s="20" t="n">
        <f aca="false">IF(OR(W965="",NOT(ISNUMBER(W965))),"",W965*$D$3^2/2*$F$3)</f>
        <v>218.830123907631</v>
      </c>
    </row>
    <row r="966" customFormat="false" ht="15" hidden="false" customHeight="false" outlineLevel="0" collapsed="false">
      <c r="A966" s="10" t="s">
        <v>2100</v>
      </c>
      <c r="B966" s="26" t="s">
        <v>2055</v>
      </c>
      <c r="C966" s="6" t="s">
        <v>1872</v>
      </c>
      <c r="D966" s="6" t="s">
        <v>2101</v>
      </c>
      <c r="E966" s="6" t="s">
        <v>2077</v>
      </c>
      <c r="F966" s="6" t="s">
        <v>2058</v>
      </c>
      <c r="G966" s="6"/>
      <c r="H966" s="6"/>
      <c r="I966" s="6" t="s">
        <v>2102</v>
      </c>
      <c r="J966" s="6" t="n">
        <v>10</v>
      </c>
      <c r="K966" s="6" t="s">
        <v>2059</v>
      </c>
      <c r="L966" s="6"/>
      <c r="M966" s="6"/>
      <c r="N966" s="12" t="n">
        <v>62.7</v>
      </c>
      <c r="O966" s="12" t="n">
        <v>52.5</v>
      </c>
      <c r="P966" s="12" t="n">
        <v>52.5</v>
      </c>
      <c r="Q966" s="12"/>
      <c r="R966" s="14" t="n">
        <v>0.018</v>
      </c>
      <c r="S966" s="6" t="n">
        <v>0</v>
      </c>
      <c r="T966" s="6"/>
      <c r="U966" s="15" t="n">
        <f aca="false">(0.5*(1-(P966/N966)^2)+(1-(P966/O966)^2)^2)*(O966/P966)^4+0.04</f>
        <v>0.189447128041941</v>
      </c>
      <c r="V966" s="14"/>
      <c r="W966" s="15" t="n">
        <f aca="false">(0.5*(1-(P966/O966)^2)+(1-(P966/N966)^2)^2)*(O966/P966)^4+0.04</f>
        <v>0.129337776319937</v>
      </c>
      <c r="X966" s="10" t="s">
        <v>2060</v>
      </c>
      <c r="Y966" s="16" t="n">
        <v>0.68</v>
      </c>
      <c r="Z966" s="17" t="s">
        <v>48</v>
      </c>
      <c r="AA966" s="6" t="s">
        <v>1874</v>
      </c>
      <c r="AB966" s="18" t="n">
        <f aca="false">IF(O966="","",$D$3*PI()*(O966/1000)^2/4*3600)</f>
        <v>11.6896699144668</v>
      </c>
      <c r="AC966" s="19" t="n">
        <f aca="false">IF(OR(U966="",NOT(ISNUMBER(U966))),"",U966*$D$3^2/(2*$H$3))</f>
        <v>0.0217255880782042</v>
      </c>
      <c r="AD966" s="20" t="n">
        <f aca="false">IF(OR(U966="",NOT(ISNUMBER(U966))),"",U966*$D$3^2/2*$F$3)</f>
        <v>213.128019047183</v>
      </c>
      <c r="AE966" s="19" t="str">
        <f aca="false">IF(OR(V966="",NOT(ISNUMBER(V966))),"",V966*$D$3^2/(2*$H$3))</f>
        <v/>
      </c>
      <c r="AF966" s="20" t="str">
        <f aca="false">IF(OR(V966="",NOT(ISNUMBER(V966))),"",V966*$D$3^2/2*$F$3)</f>
        <v/>
      </c>
      <c r="AG966" s="19" t="n">
        <f aca="false">IF(OR(W966="",NOT(ISNUMBER(W966))),"",W966*$D$3^2/(2*$H$3))</f>
        <v>0.0148323137981579</v>
      </c>
      <c r="AH966" s="20" t="n">
        <f aca="false">IF(OR(W966="",NOT(ISNUMBER(W966))),"",W966*$D$3^2/2*$F$3)</f>
        <v>145.504998359929</v>
      </c>
    </row>
    <row r="967" customFormat="false" ht="15" hidden="false" customHeight="false" outlineLevel="0" collapsed="false">
      <c r="A967" s="10" t="s">
        <v>2103</v>
      </c>
      <c r="B967" s="26" t="s">
        <v>2055</v>
      </c>
      <c r="C967" s="6" t="s">
        <v>1872</v>
      </c>
      <c r="D967" s="6" t="s">
        <v>2104</v>
      </c>
      <c r="E967" s="6" t="s">
        <v>2077</v>
      </c>
      <c r="F967" s="6" t="s">
        <v>2058</v>
      </c>
      <c r="G967" s="6"/>
      <c r="H967" s="6"/>
      <c r="I967" s="6" t="s">
        <v>2105</v>
      </c>
      <c r="J967" s="6" t="n">
        <v>10</v>
      </c>
      <c r="K967" s="6" t="s">
        <v>2059</v>
      </c>
      <c r="L967" s="6"/>
      <c r="M967" s="6"/>
      <c r="N967" s="12" t="n">
        <v>77.9</v>
      </c>
      <c r="O967" s="12" t="n">
        <v>62.7</v>
      </c>
      <c r="P967" s="12" t="n">
        <v>62.7</v>
      </c>
      <c r="Q967" s="12"/>
      <c r="R967" s="14" t="n">
        <v>0.018</v>
      </c>
      <c r="S967" s="6" t="n">
        <v>0</v>
      </c>
      <c r="T967" s="6"/>
      <c r="U967" s="15" t="n">
        <f aca="false">(0.5*(1-(P967/N967)^2)+(1-(P967/O967)^2)^2)*(O967/P967)^4+0.04</f>
        <v>0.216085663295657</v>
      </c>
      <c r="V967" s="14"/>
      <c r="W967" s="15" t="n">
        <f aca="false">(0.5*(1-(P967/O967)^2)+(1-(P967/N967)^2)^2)*(O967/P967)^4+0.04</f>
        <v>0.164024643273087</v>
      </c>
      <c r="X967" s="10" t="s">
        <v>2060</v>
      </c>
      <c r="Y967" s="16" t="n">
        <v>0.68</v>
      </c>
      <c r="Z967" s="17" t="s">
        <v>48</v>
      </c>
      <c r="AA967" s="6" t="s">
        <v>1874</v>
      </c>
      <c r="AB967" s="18" t="n">
        <f aca="false">IF(O967="","",$D$3*PI()*(O967/1000)^2/4*3600)</f>
        <v>16.6731909072269</v>
      </c>
      <c r="AC967" s="19" t="n">
        <f aca="false">IF(OR(U967="",NOT(ISNUMBER(U967))),"",U967*$D$3^2/(2*$H$3))</f>
        <v>0.0247804659742726</v>
      </c>
      <c r="AD967" s="20" t="n">
        <f aca="false">IF(OR(U967="",NOT(ISNUMBER(U967))),"",U967*$D$3^2/2*$F$3)</f>
        <v>243.096371207615</v>
      </c>
      <c r="AE967" s="19" t="str">
        <f aca="false">IF(OR(V967="",NOT(ISNUMBER(V967))),"",V967*$D$3^2/(2*$H$3))</f>
        <v/>
      </c>
      <c r="AF967" s="20" t="str">
        <f aca="false">IF(OR(V967="",NOT(ISNUMBER(V967))),"",V967*$D$3^2/2*$F$3)</f>
        <v/>
      </c>
      <c r="AG967" s="19" t="n">
        <f aca="false">IF(OR(W967="",NOT(ISNUMBER(W967))),"",W967*$D$3^2/(2*$H$3))</f>
        <v>0.0188101655129686</v>
      </c>
      <c r="AH967" s="20" t="n">
        <f aca="false">IF(OR(W967="",NOT(ISNUMBER(W967))),"",W967*$D$3^2/2*$F$3)</f>
        <v>184.527723682222</v>
      </c>
    </row>
    <row r="968" customFormat="false" ht="15" hidden="false" customHeight="false" outlineLevel="0" collapsed="false">
      <c r="A968" s="10" t="s">
        <v>2106</v>
      </c>
      <c r="B968" s="26" t="s">
        <v>2055</v>
      </c>
      <c r="C968" s="6" t="s">
        <v>1872</v>
      </c>
      <c r="D968" s="6" t="s">
        <v>2107</v>
      </c>
      <c r="E968" s="6" t="s">
        <v>2108</v>
      </c>
      <c r="F968" s="6" t="s">
        <v>2109</v>
      </c>
      <c r="G968" s="6"/>
      <c r="H968" s="6"/>
      <c r="I968" s="6" t="s">
        <v>2078</v>
      </c>
      <c r="J968" s="6" t="n">
        <v>16</v>
      </c>
      <c r="K968" s="6" t="s">
        <v>2059</v>
      </c>
      <c r="L968" s="6"/>
      <c r="M968" s="6"/>
      <c r="N968" s="12" t="n">
        <v>20.9</v>
      </c>
      <c r="O968" s="12" t="n">
        <v>15.8</v>
      </c>
      <c r="P968" s="12" t="n">
        <v>15.8</v>
      </c>
      <c r="Q968" s="12"/>
      <c r="R968" s="14" t="n">
        <v>0.025</v>
      </c>
      <c r="S968" s="6" t="n">
        <v>0</v>
      </c>
      <c r="T968" s="6"/>
      <c r="U968" s="15" t="n">
        <f aca="false">(0.5*(1-(P968/N968)^2)+(1-(P968/O968)^2)^2)*(O968/P968)^4+0.04</f>
        <v>0.254246468716375</v>
      </c>
      <c r="V968" s="14"/>
      <c r="W968" s="15" t="n">
        <f aca="false">(0.5*(1-(P968/O968)^2)+(1-(P968/N968)^2)^2)*(O968/P968)^4+0.04</f>
        <v>0.223606197429747</v>
      </c>
      <c r="X968" s="10" t="s">
        <v>2060</v>
      </c>
      <c r="Y968" s="16" t="n">
        <v>0.61</v>
      </c>
      <c r="Z968" s="17" t="s">
        <v>48</v>
      </c>
      <c r="AA968" s="6" t="s">
        <v>1874</v>
      </c>
      <c r="AB968" s="18" t="n">
        <f aca="false">IF(O968="","",$D$3*PI()*(O968/1000)^2/4*3600)</f>
        <v>1.05876070655691</v>
      </c>
      <c r="AC968" s="19" t="n">
        <f aca="false">IF(OR(U968="",NOT(ISNUMBER(U968))),"",U968*$D$3^2/(2*$H$3))</f>
        <v>0.0291567051280247</v>
      </c>
      <c r="AD968" s="20" t="n">
        <f aca="false">IF(OR(U968="",NOT(ISNUMBER(U968))),"",U968*$D$3^2/2*$F$3)</f>
        <v>286.027277305922</v>
      </c>
      <c r="AE968" s="19" t="str">
        <f aca="false">IF(OR(V968="",NOT(ISNUMBER(V968))),"",V968*$D$3^2/(2*$H$3))</f>
        <v/>
      </c>
      <c r="AF968" s="20" t="str">
        <f aca="false">IF(OR(V968="",NOT(ISNUMBER(V968))),"",V968*$D$3^2/2*$F$3)</f>
        <v/>
      </c>
      <c r="AG968" s="19" t="n">
        <f aca="false">IF(OR(W968="",NOT(ISNUMBER(W968))),"",W968*$D$3^2/(2*$H$3))</f>
        <v>0.025642912549283</v>
      </c>
      <c r="AH968" s="20" t="n">
        <f aca="false">IF(OR(W968="",NOT(ISNUMBER(W968))),"",W968*$D$3^2/2*$F$3)</f>
        <v>251.556972108466</v>
      </c>
    </row>
    <row r="969" customFormat="false" ht="15" hidden="false" customHeight="false" outlineLevel="0" collapsed="false">
      <c r="A969" s="10" t="s">
        <v>2110</v>
      </c>
      <c r="B969" s="26" t="s">
        <v>2055</v>
      </c>
      <c r="C969" s="6" t="s">
        <v>1872</v>
      </c>
      <c r="D969" s="6" t="s">
        <v>2111</v>
      </c>
      <c r="E969" s="6" t="s">
        <v>2108</v>
      </c>
      <c r="F969" s="6" t="s">
        <v>2109</v>
      </c>
      <c r="G969" s="6"/>
      <c r="H969" s="6"/>
      <c r="I969" s="6" t="s">
        <v>2081</v>
      </c>
      <c r="J969" s="6" t="n">
        <v>16</v>
      </c>
      <c r="K969" s="6" t="s">
        <v>2059</v>
      </c>
      <c r="L969" s="6"/>
      <c r="M969" s="6"/>
      <c r="N969" s="12" t="n">
        <v>26.6</v>
      </c>
      <c r="O969" s="12" t="n">
        <v>15.8</v>
      </c>
      <c r="P969" s="12" t="n">
        <v>15.8</v>
      </c>
      <c r="Q969" s="12"/>
      <c r="R969" s="14" t="n">
        <v>0.023</v>
      </c>
      <c r="S969" s="6" t="n">
        <v>0</v>
      </c>
      <c r="T969" s="6"/>
      <c r="U969" s="15" t="n">
        <f aca="false">(0.5*(1-(P969/N969)^2)+(1-(P969/O969)^2)^2)*(O969/P969)^4+0.04</f>
        <v>0.363590932217762</v>
      </c>
      <c r="V969" s="14"/>
      <c r="W969" s="15" t="n">
        <f aca="false">(0.5*(1-(P969/O969)^2)+(1-(P969/N969)^2)^2)*(O969/P969)^4+0.04</f>
        <v>0.458844365654242</v>
      </c>
      <c r="X969" s="10" t="s">
        <v>2060</v>
      </c>
      <c r="Y969" s="16" t="n">
        <v>0.61</v>
      </c>
      <c r="Z969" s="17" t="s">
        <v>48</v>
      </c>
      <c r="AA969" s="6" t="s">
        <v>1874</v>
      </c>
      <c r="AB969" s="18" t="n">
        <f aca="false">IF(O969="","",$D$3*PI()*(O969/1000)^2/4*3600)</f>
        <v>1.05876070655691</v>
      </c>
      <c r="AC969" s="19" t="n">
        <f aca="false">IF(OR(U969="",NOT(ISNUMBER(U969))),"",U969*$D$3^2/(2*$H$3))</f>
        <v>0.0416962078231379</v>
      </c>
      <c r="AD969" s="20" t="n">
        <f aca="false">IF(OR(U969="",NOT(ISNUMBER(U969))),"",U969*$D$3^2/2*$F$3)</f>
        <v>409.039798744983</v>
      </c>
      <c r="AE969" s="19" t="str">
        <f aca="false">IF(OR(V969="",NOT(ISNUMBER(V969))),"",V969*$D$3^2/(2*$H$3))</f>
        <v/>
      </c>
      <c r="AF969" s="20" t="str">
        <f aca="false">IF(OR(V969="",NOT(ISNUMBER(V969))),"",V969*$D$3^2/2*$F$3)</f>
        <v/>
      </c>
      <c r="AG969" s="19" t="n">
        <f aca="false">IF(OR(W969="",NOT(ISNUMBER(W969))),"",W969*$D$3^2/(2*$H$3))</f>
        <v>0.0526197667034681</v>
      </c>
      <c r="AH969" s="20" t="n">
        <f aca="false">IF(OR(W969="",NOT(ISNUMBER(W969))),"",W969*$D$3^2/2*$F$3)</f>
        <v>516.199911361023</v>
      </c>
    </row>
    <row r="970" customFormat="false" ht="15" hidden="false" customHeight="false" outlineLevel="0" collapsed="false">
      <c r="A970" s="10" t="s">
        <v>2112</v>
      </c>
      <c r="B970" s="26" t="s">
        <v>2055</v>
      </c>
      <c r="C970" s="6" t="s">
        <v>1872</v>
      </c>
      <c r="D970" s="6" t="s">
        <v>2113</v>
      </c>
      <c r="E970" s="6" t="s">
        <v>2108</v>
      </c>
      <c r="F970" s="6" t="s">
        <v>2109</v>
      </c>
      <c r="G970" s="6"/>
      <c r="H970" s="6"/>
      <c r="I970" s="6" t="s">
        <v>2084</v>
      </c>
      <c r="J970" s="6" t="n">
        <v>16</v>
      </c>
      <c r="K970" s="6" t="s">
        <v>2059</v>
      </c>
      <c r="L970" s="6"/>
      <c r="M970" s="6"/>
      <c r="N970" s="12" t="n">
        <v>26.6</v>
      </c>
      <c r="O970" s="12" t="n">
        <v>20.9</v>
      </c>
      <c r="P970" s="12" t="n">
        <v>20.9</v>
      </c>
      <c r="Q970" s="12"/>
      <c r="R970" s="14" t="n">
        <v>0.023</v>
      </c>
      <c r="S970" s="6" t="n">
        <v>0</v>
      </c>
      <c r="T970" s="6"/>
      <c r="U970" s="15" t="n">
        <f aca="false">(0.5*(1-(P970/N970)^2)+(1-(P970/O970)^2)^2)*(O970/P970)^4+0.04</f>
        <v>0.231326530612245</v>
      </c>
      <c r="V970" s="14"/>
      <c r="W970" s="15" t="n">
        <f aca="false">(0.5*(1-(P970/O970)^2)+(1-(P970/N970)^2)^2)*(O970/P970)^4+0.04</f>
        <v>0.186423365264473</v>
      </c>
      <c r="X970" s="10" t="s">
        <v>2060</v>
      </c>
      <c r="Y970" s="16" t="n">
        <v>0.61</v>
      </c>
      <c r="Z970" s="17" t="s">
        <v>48</v>
      </c>
      <c r="AA970" s="6" t="s">
        <v>1874</v>
      </c>
      <c r="AB970" s="18" t="n">
        <f aca="false">IF(O970="","",$D$3*PI()*(O970/1000)^2/4*3600)</f>
        <v>1.85257676746965</v>
      </c>
      <c r="AC970" s="19" t="n">
        <f aca="false">IF(OR(U970="",NOT(ISNUMBER(U970))),"",U970*$D$3^2/(2*$H$3))</f>
        <v>0.0265282718592024</v>
      </c>
      <c r="AD970" s="20" t="n">
        <f aca="false">IF(OR(U970="",NOT(ISNUMBER(U970))),"",U970*$D$3^2/2*$F$3)</f>
        <v>260.242346938776</v>
      </c>
      <c r="AE970" s="19" t="str">
        <f aca="false">IF(OR(V970="",NOT(ISNUMBER(V970))),"",V970*$D$3^2/(2*$H$3))</f>
        <v/>
      </c>
      <c r="AF970" s="20" t="str">
        <f aca="false">IF(OR(V970="",NOT(ISNUMBER(V970))),"",V970*$D$3^2/2*$F$3)</f>
        <v/>
      </c>
      <c r="AG970" s="19" t="n">
        <f aca="false">IF(OR(W970="",NOT(ISNUMBER(W970))),"",W970*$D$3^2/(2*$H$3))</f>
        <v>0.0213788262917974</v>
      </c>
      <c r="AH970" s="20" t="n">
        <f aca="false">IF(OR(W970="",NOT(ISNUMBER(W970))),"",W970*$D$3^2/2*$F$3)</f>
        <v>209.726285922532</v>
      </c>
    </row>
    <row r="971" customFormat="false" ht="15" hidden="false" customHeight="false" outlineLevel="0" collapsed="false">
      <c r="A971" s="10" t="s">
        <v>2114</v>
      </c>
      <c r="B971" s="26" t="s">
        <v>2055</v>
      </c>
      <c r="C971" s="6" t="s">
        <v>1872</v>
      </c>
      <c r="D971" s="6" t="s">
        <v>2115</v>
      </c>
      <c r="E971" s="6" t="s">
        <v>2108</v>
      </c>
      <c r="F971" s="6" t="s">
        <v>2109</v>
      </c>
      <c r="G971" s="6"/>
      <c r="H971" s="6"/>
      <c r="I971" s="6" t="s">
        <v>2087</v>
      </c>
      <c r="J971" s="6" t="n">
        <v>16</v>
      </c>
      <c r="K971" s="6" t="s">
        <v>2059</v>
      </c>
      <c r="L971" s="6"/>
      <c r="M971" s="6"/>
      <c r="N971" s="12" t="n">
        <v>35.1</v>
      </c>
      <c r="O971" s="12" t="n">
        <v>20.9</v>
      </c>
      <c r="P971" s="12" t="n">
        <v>20.9</v>
      </c>
      <c r="Q971" s="12"/>
      <c r="R971" s="14" t="n">
        <v>0.022</v>
      </c>
      <c r="S971" s="6" t="n">
        <v>0</v>
      </c>
      <c r="T971" s="6"/>
      <c r="U971" s="15" t="n">
        <f aca="false">(0.5*(1-(P971/N971)^2)+(1-(P971/O971)^2)^2)*(O971/P971)^4+0.04</f>
        <v>0.362724653208984</v>
      </c>
      <c r="V971" s="14"/>
      <c r="W971" s="15" t="n">
        <f aca="false">(0.5*(1-(P971/O971)^2)+(1-(P971/N971)^2)^2)*(O971/P971)^4+0.04</f>
        <v>0.456604807155435</v>
      </c>
      <c r="X971" s="10" t="s">
        <v>2060</v>
      </c>
      <c r="Y971" s="16" t="n">
        <v>0.61</v>
      </c>
      <c r="Z971" s="17" t="s">
        <v>48</v>
      </c>
      <c r="AA971" s="6" t="s">
        <v>1874</v>
      </c>
      <c r="AB971" s="18" t="n">
        <f aca="false">IF(O971="","",$D$3*PI()*(O971/1000)^2/4*3600)</f>
        <v>1.85257676746965</v>
      </c>
      <c r="AC971" s="19" t="n">
        <f aca="false">IF(OR(U971="",NOT(ISNUMBER(U971))),"",U971*$D$3^2/(2*$H$3))</f>
        <v>0.0415968639001128</v>
      </c>
      <c r="AD971" s="20" t="n">
        <f aca="false">IF(OR(U971="",NOT(ISNUMBER(U971))),"",U971*$D$3^2/2*$F$3)</f>
        <v>408.065234860107</v>
      </c>
      <c r="AE971" s="19" t="str">
        <f aca="false">IF(OR(V971="",NOT(ISNUMBER(V971))),"",V971*$D$3^2/(2*$H$3))</f>
        <v/>
      </c>
      <c r="AF971" s="20" t="str">
        <f aca="false">IF(OR(V971="",NOT(ISNUMBER(V971))),"",V971*$D$3^2/2*$F$3)</f>
        <v/>
      </c>
      <c r="AG971" s="19" t="n">
        <f aca="false">IF(OR(W971="",NOT(ISNUMBER(W971))),"",W971*$D$3^2/(2*$H$3))</f>
        <v>0.052362936600394</v>
      </c>
      <c r="AH971" s="20" t="n">
        <f aca="false">IF(OR(W971="",NOT(ISNUMBER(W971))),"",W971*$D$3^2/2*$F$3)</f>
        <v>513.680408049865</v>
      </c>
    </row>
    <row r="972" customFormat="false" ht="15" hidden="false" customHeight="false" outlineLevel="0" collapsed="false">
      <c r="A972" s="10" t="s">
        <v>2116</v>
      </c>
      <c r="B972" s="26" t="s">
        <v>2055</v>
      </c>
      <c r="C972" s="6" t="s">
        <v>1872</v>
      </c>
      <c r="D972" s="6" t="s">
        <v>2117</v>
      </c>
      <c r="E972" s="6" t="s">
        <v>2108</v>
      </c>
      <c r="F972" s="6" t="s">
        <v>2109</v>
      </c>
      <c r="G972" s="6"/>
      <c r="H972" s="6"/>
      <c r="I972" s="6" t="s">
        <v>2090</v>
      </c>
      <c r="J972" s="6" t="n">
        <v>16</v>
      </c>
      <c r="K972" s="6" t="s">
        <v>2059</v>
      </c>
      <c r="L972" s="6"/>
      <c r="M972" s="6"/>
      <c r="N972" s="12" t="n">
        <v>35.1</v>
      </c>
      <c r="O972" s="12" t="n">
        <v>26.6</v>
      </c>
      <c r="P972" s="12" t="n">
        <v>26.6</v>
      </c>
      <c r="Q972" s="12"/>
      <c r="R972" s="14" t="n">
        <v>0.022</v>
      </c>
      <c r="S972" s="6" t="n">
        <v>0</v>
      </c>
      <c r="T972" s="6"/>
      <c r="U972" s="15" t="n">
        <f aca="false">(0.5*(1-(P972/N972)^2)+(1-(P972/O972)^2)^2)*(O972/P972)^4+0.04</f>
        <v>0.252843239908767</v>
      </c>
      <c r="V972" s="14"/>
      <c r="W972" s="15" t="n">
        <f aca="false">(0.5*(1-(P972/O972)^2)+(1-(P972/N972)^2)^2)*(O972/P972)^4+0.04</f>
        <v>0.221208979099444</v>
      </c>
      <c r="X972" s="10" t="s">
        <v>2060</v>
      </c>
      <c r="Y972" s="16" t="n">
        <v>0.61</v>
      </c>
      <c r="Z972" s="17" t="s">
        <v>48</v>
      </c>
      <c r="AA972" s="6" t="s">
        <v>1874</v>
      </c>
      <c r="AB972" s="18" t="n">
        <f aca="false">IF(O972="","",$D$3*PI()*(O972/1000)^2/4*3600)</f>
        <v>3.00086815226489</v>
      </c>
      <c r="AC972" s="19" t="n">
        <f aca="false">IF(OR(U972="",NOT(ISNUMBER(U972))),"",U972*$D$3^2/(2*$H$3))</f>
        <v>0.0289957843932072</v>
      </c>
      <c r="AD972" s="20" t="n">
        <f aca="false">IF(OR(U972="",NOT(ISNUMBER(U972))),"",U972*$D$3^2/2*$F$3)</f>
        <v>284.448644897363</v>
      </c>
      <c r="AE972" s="19" t="str">
        <f aca="false">IF(OR(V972="",NOT(ISNUMBER(V972))),"",V972*$D$3^2/(2*$H$3))</f>
        <v/>
      </c>
      <c r="AF972" s="20" t="str">
        <f aca="false">IF(OR(V972="",NOT(ISNUMBER(V972))),"",V972*$D$3^2/2*$F$3)</f>
        <v/>
      </c>
      <c r="AG972" s="19" t="n">
        <f aca="false">IF(OR(W972="",NOT(ISNUMBER(W972))),"",W972*$D$3^2/(2*$H$3))</f>
        <v>0.0253680021903032</v>
      </c>
      <c r="AH972" s="20" t="n">
        <f aca="false">IF(OR(W972="",NOT(ISNUMBER(W972))),"",W972*$D$3^2/2*$F$3)</f>
        <v>248.860101486874</v>
      </c>
    </row>
    <row r="973" customFormat="false" ht="15" hidden="false" customHeight="false" outlineLevel="0" collapsed="false">
      <c r="A973" s="10" t="s">
        <v>2118</v>
      </c>
      <c r="B973" s="26" t="s">
        <v>2055</v>
      </c>
      <c r="C973" s="6" t="s">
        <v>1872</v>
      </c>
      <c r="D973" s="6" t="s">
        <v>2119</v>
      </c>
      <c r="E973" s="6" t="s">
        <v>2108</v>
      </c>
      <c r="F973" s="6" t="s">
        <v>2109</v>
      </c>
      <c r="G973" s="6"/>
      <c r="H973" s="6"/>
      <c r="I973" s="6" t="s">
        <v>2093</v>
      </c>
      <c r="J973" s="6" t="n">
        <v>16</v>
      </c>
      <c r="K973" s="6" t="s">
        <v>2059</v>
      </c>
      <c r="L973" s="6"/>
      <c r="M973" s="6"/>
      <c r="N973" s="12" t="n">
        <v>40.9</v>
      </c>
      <c r="O973" s="12" t="n">
        <v>20.9</v>
      </c>
      <c r="P973" s="12" t="n">
        <v>20.9</v>
      </c>
      <c r="Q973" s="12"/>
      <c r="R973" s="14" t="n">
        <v>0.021</v>
      </c>
      <c r="S973" s="6" t="n">
        <v>0</v>
      </c>
      <c r="T973" s="6"/>
      <c r="U973" s="15" t="n">
        <f aca="false">(0.5*(1-(P973/N973)^2)+(1-(P973/O973)^2)^2)*(O973/P973)^4+0.04</f>
        <v>0.409438250608258</v>
      </c>
      <c r="V973" s="14"/>
      <c r="W973" s="15" t="n">
        <f aca="false">(0.5*(1-(P973/O973)^2)+(1-(P973/N973)^2)^2)*(O973/P973)^4+0.04</f>
        <v>0.58593848404996</v>
      </c>
      <c r="X973" s="10" t="s">
        <v>2060</v>
      </c>
      <c r="Y973" s="16" t="n">
        <v>0.61</v>
      </c>
      <c r="Z973" s="17" t="s">
        <v>48</v>
      </c>
      <c r="AA973" s="6" t="s">
        <v>1874</v>
      </c>
      <c r="AB973" s="18" t="n">
        <f aca="false">IF(O973="","",$D$3*PI()*(O973/1000)^2/4*3600)</f>
        <v>1.85257676746965</v>
      </c>
      <c r="AC973" s="19" t="n">
        <f aca="false">IF(OR(U973="",NOT(ISNUMBER(U973))),"",U973*$D$3^2/(2*$H$3))</f>
        <v>0.0469539278220479</v>
      </c>
      <c r="AD973" s="20" t="n">
        <f aca="false">IF(OR(U973="",NOT(ISNUMBER(U973))),"",U973*$D$3^2/2*$F$3)</f>
        <v>460.61803193429</v>
      </c>
      <c r="AE973" s="19" t="str">
        <f aca="false">IF(OR(V973="",NOT(ISNUMBER(V973))),"",V973*$D$3^2/(2*$H$3))</f>
        <v/>
      </c>
      <c r="AF973" s="20" t="str">
        <f aca="false">IF(OR(V973="",NOT(ISNUMBER(V973))),"",V973*$D$3^2/2*$F$3)</f>
        <v/>
      </c>
      <c r="AG973" s="19" t="n">
        <f aca="false">IF(OR(W973="",NOT(ISNUMBER(W973))),"",W973*$D$3^2/(2*$H$3))</f>
        <v>0.0671947802809587</v>
      </c>
      <c r="AH973" s="20" t="n">
        <f aca="false">IF(OR(W973="",NOT(ISNUMBER(W973))),"",W973*$D$3^2/2*$F$3)</f>
        <v>659.180794556205</v>
      </c>
    </row>
    <row r="974" customFormat="false" ht="15" hidden="false" customHeight="false" outlineLevel="0" collapsed="false">
      <c r="A974" s="10" t="s">
        <v>2120</v>
      </c>
      <c r="B974" s="26" t="s">
        <v>2055</v>
      </c>
      <c r="C974" s="6" t="s">
        <v>1872</v>
      </c>
      <c r="D974" s="6" t="s">
        <v>2121</v>
      </c>
      <c r="E974" s="6" t="s">
        <v>2108</v>
      </c>
      <c r="F974" s="6" t="s">
        <v>2109</v>
      </c>
      <c r="G974" s="6"/>
      <c r="H974" s="6"/>
      <c r="I974" s="6" t="s">
        <v>2122</v>
      </c>
      <c r="J974" s="6" t="n">
        <v>16</v>
      </c>
      <c r="K974" s="6" t="s">
        <v>2059</v>
      </c>
      <c r="L974" s="6"/>
      <c r="M974" s="6"/>
      <c r="N974" s="12" t="n">
        <v>40.9</v>
      </c>
      <c r="O974" s="12" t="n">
        <v>26.6</v>
      </c>
      <c r="P974" s="12" t="n">
        <v>26.6</v>
      </c>
      <c r="Q974" s="12"/>
      <c r="R974" s="14" t="n">
        <v>0.021</v>
      </c>
      <c r="S974" s="6" t="n">
        <v>0</v>
      </c>
      <c r="T974" s="6"/>
      <c r="U974" s="15" t="n">
        <f aca="false">(0.5*(1-(P974/N974)^2)+(1-(P974/O974)^2)^2)*(O974/P974)^4+0.04</f>
        <v>0.328511546439823</v>
      </c>
      <c r="V974" s="14"/>
      <c r="W974" s="15" t="n">
        <f aca="false">(0.5*(1-(P974/O974)^2)+(1-(P974/N974)^2)^2)*(O974/P974)^4+0.04</f>
        <v>0.372955649716392</v>
      </c>
      <c r="X974" s="10" t="s">
        <v>2060</v>
      </c>
      <c r="Y974" s="16" t="n">
        <v>0.61</v>
      </c>
      <c r="Z974" s="17" t="s">
        <v>48</v>
      </c>
      <c r="AA974" s="6" t="s">
        <v>1874</v>
      </c>
      <c r="AB974" s="18" t="n">
        <f aca="false">IF(O974="","",$D$3*PI()*(O974/1000)^2/4*3600)</f>
        <v>3.00086815226489</v>
      </c>
      <c r="AC974" s="19" t="n">
        <f aca="false">IF(OR(U974="",NOT(ISNUMBER(U974))),"",U974*$D$3^2/(2*$H$3))</f>
        <v>0.037673342481631</v>
      </c>
      <c r="AD974" s="20" t="n">
        <f aca="false">IF(OR(U974="",NOT(ISNUMBER(U974))),"",U974*$D$3^2/2*$F$3)</f>
        <v>369.575489744801</v>
      </c>
      <c r="AE974" s="19" t="str">
        <f aca="false">IF(OR(V974="",NOT(ISNUMBER(V974))),"",V974*$D$3^2/(2*$H$3))</f>
        <v/>
      </c>
      <c r="AF974" s="20" t="str">
        <f aca="false">IF(OR(V974="",NOT(ISNUMBER(V974))),"",V974*$D$3^2/2*$F$3)</f>
        <v/>
      </c>
      <c r="AG974" s="19" t="n">
        <f aca="false">IF(OR(W974="",NOT(ISNUMBER(W974))),"",W974*$D$3^2/(2*$H$3))</f>
        <v>0.0427701433161</v>
      </c>
      <c r="AH974" s="20" t="n">
        <f aca="false">IF(OR(W974="",NOT(ISNUMBER(W974))),"",W974*$D$3^2/2*$F$3)</f>
        <v>419.575105930941</v>
      </c>
    </row>
    <row r="975" customFormat="false" ht="15" hidden="false" customHeight="false" outlineLevel="0" collapsed="false">
      <c r="A975" s="10" t="s">
        <v>2123</v>
      </c>
      <c r="B975" s="26" t="s">
        <v>2055</v>
      </c>
      <c r="C975" s="6" t="s">
        <v>1872</v>
      </c>
      <c r="D975" s="6" t="s">
        <v>2124</v>
      </c>
      <c r="E975" s="6" t="s">
        <v>2108</v>
      </c>
      <c r="F975" s="6" t="s">
        <v>2109</v>
      </c>
      <c r="G975" s="6"/>
      <c r="H975" s="6"/>
      <c r="I975" s="6" t="s">
        <v>2125</v>
      </c>
      <c r="J975" s="6" t="n">
        <v>16</v>
      </c>
      <c r="K975" s="6" t="s">
        <v>2059</v>
      </c>
      <c r="L975" s="6"/>
      <c r="M975" s="6"/>
      <c r="N975" s="12" t="n">
        <v>40.9</v>
      </c>
      <c r="O975" s="12" t="n">
        <v>35.1</v>
      </c>
      <c r="P975" s="12" t="n">
        <v>35.1</v>
      </c>
      <c r="Q975" s="12"/>
      <c r="R975" s="14" t="n">
        <v>0.021</v>
      </c>
      <c r="S975" s="6" t="n">
        <v>0</v>
      </c>
      <c r="T975" s="6"/>
      <c r="U975" s="15" t="n">
        <f aca="false">(0.5*(1-(P975/N975)^2)+(1-(P975/O975)^2)^2)*(O975/P975)^4+0.04</f>
        <v>0.171754353453172</v>
      </c>
      <c r="V975" s="14"/>
      <c r="W975" s="15" t="n">
        <f aca="false">(0.5*(1-(P975/O975)^2)+(1-(P975/N975)^2)^2)*(O975/P975)^4+0.04</f>
        <v>0.109436838615453</v>
      </c>
      <c r="X975" s="10" t="s">
        <v>2060</v>
      </c>
      <c r="Y975" s="16" t="n">
        <v>0.61</v>
      </c>
      <c r="Z975" s="17" t="s">
        <v>48</v>
      </c>
      <c r="AA975" s="6" t="s">
        <v>1874</v>
      </c>
      <c r="AB975" s="18" t="n">
        <f aca="false">IF(O975="","",$D$3*PI()*(O975/1000)^2/4*3600)</f>
        <v>5.22513931295137</v>
      </c>
      <c r="AC975" s="19" t="n">
        <f aca="false">IF(OR(U975="",NOT(ISNUMBER(U975))),"",U975*$D$3^2/(2*$H$3))</f>
        <v>0.0196966001666481</v>
      </c>
      <c r="AD975" s="20" t="n">
        <f aca="false">IF(OR(U975="",NOT(ISNUMBER(U975))),"",U975*$D$3^2/2*$F$3)</f>
        <v>193.223647634818</v>
      </c>
      <c r="AE975" s="19" t="str">
        <f aca="false">IF(OR(V975="",NOT(ISNUMBER(V975))),"",V975*$D$3^2/(2*$H$3))</f>
        <v/>
      </c>
      <c r="AF975" s="20" t="str">
        <f aca="false">IF(OR(V975="",NOT(ISNUMBER(V975))),"",V975*$D$3^2/2*$F$3)</f>
        <v/>
      </c>
      <c r="AG975" s="19" t="n">
        <f aca="false">IF(OR(W975="",NOT(ISNUMBER(W975))),"",W975*$D$3^2/(2*$H$3))</f>
        <v>0.0125500961714969</v>
      </c>
      <c r="AH975" s="20" t="n">
        <f aca="false">IF(OR(W975="",NOT(ISNUMBER(W975))),"",W975*$D$3^2/2*$F$3)</f>
        <v>123.116443442385</v>
      </c>
    </row>
    <row r="976" customFormat="false" ht="15" hidden="false" customHeight="false" outlineLevel="0" collapsed="false">
      <c r="A976" s="10" t="s">
        <v>2126</v>
      </c>
      <c r="B976" s="26" t="s">
        <v>2055</v>
      </c>
      <c r="C976" s="6" t="s">
        <v>1872</v>
      </c>
      <c r="D976" s="6" t="s">
        <v>2127</v>
      </c>
      <c r="E976" s="6" t="s">
        <v>2108</v>
      </c>
      <c r="F976" s="6" t="s">
        <v>2109</v>
      </c>
      <c r="G976" s="6"/>
      <c r="H976" s="6"/>
      <c r="I976" s="6" t="s">
        <v>2096</v>
      </c>
      <c r="J976" s="6" t="n">
        <v>16</v>
      </c>
      <c r="K976" s="6" t="s">
        <v>2059</v>
      </c>
      <c r="L976" s="6"/>
      <c r="M976" s="6"/>
      <c r="N976" s="12" t="n">
        <v>52.5</v>
      </c>
      <c r="O976" s="12" t="n">
        <v>26.6</v>
      </c>
      <c r="P976" s="12" t="n">
        <v>26.6</v>
      </c>
      <c r="Q976" s="12"/>
      <c r="R976" s="14" t="n">
        <v>0.019</v>
      </c>
      <c r="S976" s="6" t="n">
        <v>0</v>
      </c>
      <c r="T976" s="6"/>
      <c r="U976" s="15" t="n">
        <f aca="false">(0.5*(1-(P976/N976)^2)+(1-(P976/O976)^2)^2)*(O976/P976)^4+0.04</f>
        <v>0.411644444444444</v>
      </c>
      <c r="V976" s="14"/>
      <c r="W976" s="15" t="n">
        <f aca="false">(0.5*(1-(P976/O976)^2)+(1-(P976/N976)^2)^2)*(O976/P976)^4+0.04</f>
        <v>0.592478372345679</v>
      </c>
      <c r="X976" s="10" t="s">
        <v>2060</v>
      </c>
      <c r="Y976" s="16" t="n">
        <v>0.61</v>
      </c>
      <c r="Z976" s="17" t="s">
        <v>48</v>
      </c>
      <c r="AA976" s="6" t="s">
        <v>1874</v>
      </c>
      <c r="AB976" s="18" t="n">
        <f aca="false">IF(O976="","",$D$3*PI()*(O976/1000)^2/4*3600)</f>
        <v>3.00086815226489</v>
      </c>
      <c r="AC976" s="19" t="n">
        <f aca="false">IF(OR(U976="",NOT(ISNUMBER(U976))),"",U976*$D$3^2/(2*$H$3))</f>
        <v>0.0472069317023445</v>
      </c>
      <c r="AD976" s="20" t="n">
        <f aca="false">IF(OR(U976="",NOT(ISNUMBER(U976))),"",U976*$D$3^2/2*$F$3)</f>
        <v>463.1</v>
      </c>
      <c r="AE976" s="19" t="str">
        <f aca="false">IF(OR(V976="",NOT(ISNUMBER(V976))),"",V976*$D$3^2/(2*$H$3))</f>
        <v/>
      </c>
      <c r="AF976" s="20" t="str">
        <f aca="false">IF(OR(V976="",NOT(ISNUMBER(V976))),"",V976*$D$3^2/2*$F$3)</f>
        <v/>
      </c>
      <c r="AG976" s="19" t="n">
        <f aca="false">IF(OR(W976="",NOT(ISNUMBER(W976))),"",W976*$D$3^2/(2*$H$3))</f>
        <v>0.0679447674708348</v>
      </c>
      <c r="AH976" s="20" t="n">
        <f aca="false">IF(OR(W976="",NOT(ISNUMBER(W976))),"",W976*$D$3^2/2*$F$3)</f>
        <v>666.538168888889</v>
      </c>
    </row>
    <row r="977" customFormat="false" ht="15" hidden="false" customHeight="false" outlineLevel="0" collapsed="false">
      <c r="A977" s="10" t="s">
        <v>2128</v>
      </c>
      <c r="B977" s="26" t="s">
        <v>2055</v>
      </c>
      <c r="C977" s="6" t="s">
        <v>1872</v>
      </c>
      <c r="D977" s="6" t="s">
        <v>2129</v>
      </c>
      <c r="E977" s="6" t="s">
        <v>2108</v>
      </c>
      <c r="F977" s="6" t="s">
        <v>2109</v>
      </c>
      <c r="G977" s="6"/>
      <c r="H977" s="6"/>
      <c r="I977" s="6" t="s">
        <v>2099</v>
      </c>
      <c r="J977" s="6" t="n">
        <v>16</v>
      </c>
      <c r="K977" s="6" t="s">
        <v>2059</v>
      </c>
      <c r="L977" s="6"/>
      <c r="M977" s="6"/>
      <c r="N977" s="12" t="n">
        <v>52.5</v>
      </c>
      <c r="O977" s="12" t="n">
        <v>40.9</v>
      </c>
      <c r="P977" s="12" t="n">
        <v>40.9</v>
      </c>
      <c r="Q977" s="12"/>
      <c r="R977" s="14" t="n">
        <v>0.019</v>
      </c>
      <c r="S977" s="6" t="n">
        <v>0</v>
      </c>
      <c r="T977" s="6"/>
      <c r="U977" s="15" t="n">
        <f aca="false">(0.5*(1-(P977/N977)^2)+(1-(P977/O977)^2)^2)*(O977/P977)^4+0.04</f>
        <v>0.236542403628118</v>
      </c>
      <c r="V977" s="14"/>
      <c r="W977" s="15" t="n">
        <f aca="false">(0.5*(1-(P977/O977)^2)+(1-(P977/N977)^2)^2)*(O977/P977)^4+0.04</f>
        <v>0.194515665695672</v>
      </c>
      <c r="X977" s="10" t="s">
        <v>2060</v>
      </c>
      <c r="Y977" s="16" t="n">
        <v>0.61</v>
      </c>
      <c r="Z977" s="17" t="s">
        <v>48</v>
      </c>
      <c r="AA977" s="6" t="s">
        <v>1874</v>
      </c>
      <c r="AB977" s="18" t="n">
        <f aca="false">IF(O977="","",$D$3*PI()*(O977/1000)^2/4*3600)</f>
        <v>7.09463826924958</v>
      </c>
      <c r="AC977" s="19" t="n">
        <f aca="false">IF(OR(U977="",NOT(ISNUMBER(U977))),"",U977*$D$3^2/(2*$H$3))</f>
        <v>0.0271264224344172</v>
      </c>
      <c r="AD977" s="20" t="n">
        <f aca="false">IF(OR(U977="",NOT(ISNUMBER(U977))),"",U977*$D$3^2/2*$F$3)</f>
        <v>266.110204081633</v>
      </c>
      <c r="AE977" s="19" t="str">
        <f aca="false">IF(OR(V977="",NOT(ISNUMBER(V977))),"",V977*$D$3^2/(2*$H$3))</f>
        <v/>
      </c>
      <c r="AF977" s="20" t="str">
        <f aca="false">IF(OR(V977="",NOT(ISNUMBER(V977))),"",V977*$D$3^2/2*$F$3)</f>
        <v/>
      </c>
      <c r="AG977" s="19" t="n">
        <f aca="false">IF(OR(W977="",NOT(ISNUMBER(W977))),"",W977*$D$3^2/(2*$H$3))</f>
        <v>0.0223068423962927</v>
      </c>
      <c r="AH977" s="20" t="n">
        <f aca="false">IF(OR(W977="",NOT(ISNUMBER(W977))),"",W977*$D$3^2/2*$F$3)</f>
        <v>218.830123907631</v>
      </c>
    </row>
    <row r="978" customFormat="false" ht="15" hidden="false" customHeight="false" outlineLevel="0" collapsed="false">
      <c r="A978" s="10" t="s">
        <v>2130</v>
      </c>
      <c r="B978" s="26" t="s">
        <v>2055</v>
      </c>
      <c r="C978" s="6" t="s">
        <v>1872</v>
      </c>
      <c r="D978" s="6" t="s">
        <v>2131</v>
      </c>
      <c r="E978" s="6" t="s">
        <v>2108</v>
      </c>
      <c r="F978" s="6" t="s">
        <v>2109</v>
      </c>
      <c r="G978" s="6"/>
      <c r="H978" s="6"/>
      <c r="I978" s="6" t="s">
        <v>2102</v>
      </c>
      <c r="J978" s="6" t="n">
        <v>16</v>
      </c>
      <c r="K978" s="6" t="s">
        <v>2059</v>
      </c>
      <c r="L978" s="6"/>
      <c r="M978" s="6"/>
      <c r="N978" s="12" t="n">
        <v>62.7</v>
      </c>
      <c r="O978" s="12" t="n">
        <v>52.5</v>
      </c>
      <c r="P978" s="12" t="n">
        <v>52.5</v>
      </c>
      <c r="Q978" s="12"/>
      <c r="R978" s="14" t="n">
        <v>0.018</v>
      </c>
      <c r="S978" s="6" t="n">
        <v>0</v>
      </c>
      <c r="T978" s="6"/>
      <c r="U978" s="15" t="n">
        <f aca="false">(0.5*(1-(P978/N978)^2)+(1-(P978/O978)^2)^2)*(O978/P978)^4+0.04</f>
        <v>0.189447128041941</v>
      </c>
      <c r="V978" s="14"/>
      <c r="W978" s="15" t="n">
        <f aca="false">(0.5*(1-(P978/O978)^2)+(1-(P978/N978)^2)^2)*(O978/P978)^4+0.04</f>
        <v>0.129337776319937</v>
      </c>
      <c r="X978" s="10" t="s">
        <v>2060</v>
      </c>
      <c r="Y978" s="16" t="n">
        <v>0.61</v>
      </c>
      <c r="Z978" s="17" t="s">
        <v>48</v>
      </c>
      <c r="AA978" s="6" t="s">
        <v>1874</v>
      </c>
      <c r="AB978" s="18" t="n">
        <f aca="false">IF(O978="","",$D$3*PI()*(O978/1000)^2/4*3600)</f>
        <v>11.6896699144668</v>
      </c>
      <c r="AC978" s="19" t="n">
        <f aca="false">IF(OR(U978="",NOT(ISNUMBER(U978))),"",U978*$D$3^2/(2*$H$3))</f>
        <v>0.0217255880782042</v>
      </c>
      <c r="AD978" s="20" t="n">
        <f aca="false">IF(OR(U978="",NOT(ISNUMBER(U978))),"",U978*$D$3^2/2*$F$3)</f>
        <v>213.128019047183</v>
      </c>
      <c r="AE978" s="19" t="str">
        <f aca="false">IF(OR(V978="",NOT(ISNUMBER(V978))),"",V978*$D$3^2/(2*$H$3))</f>
        <v/>
      </c>
      <c r="AF978" s="20" t="str">
        <f aca="false">IF(OR(V978="",NOT(ISNUMBER(V978))),"",V978*$D$3^2/2*$F$3)</f>
        <v/>
      </c>
      <c r="AG978" s="19" t="n">
        <f aca="false">IF(OR(W978="",NOT(ISNUMBER(W978))),"",W978*$D$3^2/(2*$H$3))</f>
        <v>0.0148323137981579</v>
      </c>
      <c r="AH978" s="20" t="n">
        <f aca="false">IF(OR(W978="",NOT(ISNUMBER(W978))),"",W978*$D$3^2/2*$F$3)</f>
        <v>145.504998359929</v>
      </c>
    </row>
    <row r="979" customFormat="false" ht="15" hidden="false" customHeight="false" outlineLevel="0" collapsed="false">
      <c r="A979" s="10" t="s">
        <v>2132</v>
      </c>
      <c r="B979" s="26" t="s">
        <v>2055</v>
      </c>
      <c r="C979" s="6" t="s">
        <v>1872</v>
      </c>
      <c r="D979" s="6" t="s">
        <v>2133</v>
      </c>
      <c r="E979" s="6" t="s">
        <v>2108</v>
      </c>
      <c r="F979" s="6" t="s">
        <v>2109</v>
      </c>
      <c r="G979" s="6"/>
      <c r="H979" s="6"/>
      <c r="I979" s="6" t="s">
        <v>2105</v>
      </c>
      <c r="J979" s="6" t="n">
        <v>16</v>
      </c>
      <c r="K979" s="6" t="s">
        <v>2059</v>
      </c>
      <c r="L979" s="6"/>
      <c r="M979" s="6"/>
      <c r="N979" s="12" t="n">
        <v>77.9</v>
      </c>
      <c r="O979" s="12" t="n">
        <v>62.7</v>
      </c>
      <c r="P979" s="12" t="n">
        <v>62.7</v>
      </c>
      <c r="Q979" s="12"/>
      <c r="R979" s="14" t="n">
        <v>0.018</v>
      </c>
      <c r="S979" s="6" t="n">
        <v>0</v>
      </c>
      <c r="T979" s="6"/>
      <c r="U979" s="15" t="n">
        <f aca="false">(0.5*(1-(P979/N979)^2)+(1-(P979/O979)^2)^2)*(O979/P979)^4+0.04</f>
        <v>0.216085663295657</v>
      </c>
      <c r="V979" s="14"/>
      <c r="W979" s="15" t="n">
        <f aca="false">(0.5*(1-(P979/O979)^2)+(1-(P979/N979)^2)^2)*(O979/P979)^4+0.04</f>
        <v>0.164024643273087</v>
      </c>
      <c r="X979" s="10" t="s">
        <v>2060</v>
      </c>
      <c r="Y979" s="16" t="n">
        <v>0.61</v>
      </c>
      <c r="Z979" s="17" t="s">
        <v>48</v>
      </c>
      <c r="AA979" s="6" t="s">
        <v>1874</v>
      </c>
      <c r="AB979" s="18" t="n">
        <f aca="false">IF(O979="","",$D$3*PI()*(O979/1000)^2/4*3600)</f>
        <v>16.6731909072269</v>
      </c>
      <c r="AC979" s="19" t="n">
        <f aca="false">IF(OR(U979="",NOT(ISNUMBER(U979))),"",U979*$D$3^2/(2*$H$3))</f>
        <v>0.0247804659742726</v>
      </c>
      <c r="AD979" s="20" t="n">
        <f aca="false">IF(OR(U979="",NOT(ISNUMBER(U979))),"",U979*$D$3^2/2*$F$3)</f>
        <v>243.096371207615</v>
      </c>
      <c r="AE979" s="19" t="str">
        <f aca="false">IF(OR(V979="",NOT(ISNUMBER(V979))),"",V979*$D$3^2/(2*$H$3))</f>
        <v/>
      </c>
      <c r="AF979" s="20" t="str">
        <f aca="false">IF(OR(V979="",NOT(ISNUMBER(V979))),"",V979*$D$3^2/2*$F$3)</f>
        <v/>
      </c>
      <c r="AG979" s="19" t="n">
        <f aca="false">IF(OR(W979="",NOT(ISNUMBER(W979))),"",W979*$D$3^2/(2*$H$3))</f>
        <v>0.0188101655129686</v>
      </c>
      <c r="AH979" s="20" t="n">
        <f aca="false">IF(OR(W979="",NOT(ISNUMBER(W979))),"",W979*$D$3^2/2*$F$3)</f>
        <v>184.527723682222</v>
      </c>
    </row>
    <row r="980" customFormat="false" ht="15" hidden="false" customHeight="false" outlineLevel="0" collapsed="false">
      <c r="A980" s="10" t="s">
        <v>2134</v>
      </c>
      <c r="B980" s="26" t="s">
        <v>2055</v>
      </c>
      <c r="C980" s="6" t="s">
        <v>1872</v>
      </c>
      <c r="D980" s="6" t="s">
        <v>2135</v>
      </c>
      <c r="E980" s="6" t="s">
        <v>2136</v>
      </c>
      <c r="F980" s="6" t="s">
        <v>45</v>
      </c>
      <c r="G980" s="6"/>
      <c r="H980" s="6"/>
      <c r="I980" s="6" t="s">
        <v>108</v>
      </c>
      <c r="J980" s="6" t="n">
        <v>16</v>
      </c>
      <c r="K980" s="6" t="s">
        <v>801</v>
      </c>
      <c r="L980" s="6"/>
      <c r="M980" s="6"/>
      <c r="N980" s="12" t="n">
        <v>15.8</v>
      </c>
      <c r="O980" s="12" t="n">
        <v>15.8</v>
      </c>
      <c r="P980" s="12" t="n">
        <v>15.8</v>
      </c>
      <c r="Q980" s="12"/>
      <c r="R980" s="14" t="n">
        <v>0.027</v>
      </c>
      <c r="S980" s="6" t="n">
        <v>0</v>
      </c>
      <c r="T980" s="6"/>
      <c r="U980" s="15" t="n">
        <f aca="false">(0.5*(1-(P980/N980)^2)+(1-(P980/O980)^2)^2)*(O980/P980)^4+0.04</f>
        <v>0.04</v>
      </c>
      <c r="V980" s="14"/>
      <c r="W980" s="14"/>
      <c r="X980" s="10" t="s">
        <v>2060</v>
      </c>
      <c r="Y980" s="16" t="n">
        <v>1.06</v>
      </c>
      <c r="Z980" s="17" t="s">
        <v>48</v>
      </c>
      <c r="AA980" s="6" t="s">
        <v>1874</v>
      </c>
      <c r="AB980" s="18" t="n">
        <f aca="false">IF(O980="","",$D$3*PI()*(O980/1000)^2/4*3600)</f>
        <v>1.05876070655691</v>
      </c>
      <c r="AC980" s="19" t="n">
        <f aca="false">IF(OR(U980="",NOT(ISNUMBER(U980))),"",U980*$D$3^2/(2*$H$3))</f>
        <v>0.00458715596330275</v>
      </c>
      <c r="AD980" s="20" t="n">
        <f aca="false">IF(OR(U980="",NOT(ISNUMBER(U980))),"",U980*$D$3^2/2*$F$3)</f>
        <v>45</v>
      </c>
      <c r="AE980" s="19" t="str">
        <f aca="false">IF(OR(V980="",NOT(ISNUMBER(V980))),"",V980*$D$3^2/(2*$H$3))</f>
        <v/>
      </c>
      <c r="AF980" s="20" t="str">
        <f aca="false">IF(OR(V980="",NOT(ISNUMBER(V980))),"",V980*$D$3^2/2*$F$3)</f>
        <v/>
      </c>
      <c r="AG980" s="19" t="str">
        <f aca="false">IF(OR(W980="",NOT(ISNUMBER(W980))),"",W980*$D$3^2/(2*$H$3))</f>
        <v/>
      </c>
      <c r="AH980" s="20" t="str">
        <f aca="false">IF(OR(W980="",NOT(ISNUMBER(W980))),"",W980*$D$3^2/2*$F$3)</f>
        <v/>
      </c>
    </row>
    <row r="981" customFormat="false" ht="15" hidden="false" customHeight="false" outlineLevel="0" collapsed="false">
      <c r="A981" s="10" t="s">
        <v>2137</v>
      </c>
      <c r="B981" s="26" t="s">
        <v>2055</v>
      </c>
      <c r="C981" s="6" t="s">
        <v>1872</v>
      </c>
      <c r="D981" s="6" t="s">
        <v>2138</v>
      </c>
      <c r="E981" s="6" t="s">
        <v>2136</v>
      </c>
      <c r="F981" s="6" t="s">
        <v>45</v>
      </c>
      <c r="G981" s="6"/>
      <c r="H981" s="6"/>
      <c r="I981" s="6" t="s">
        <v>111</v>
      </c>
      <c r="J981" s="6" t="n">
        <v>16</v>
      </c>
      <c r="K981" s="6" t="s">
        <v>801</v>
      </c>
      <c r="L981" s="6"/>
      <c r="M981" s="6"/>
      <c r="N981" s="12" t="n">
        <v>20.9</v>
      </c>
      <c r="O981" s="12" t="n">
        <v>20.9</v>
      </c>
      <c r="P981" s="12" t="n">
        <v>20.9</v>
      </c>
      <c r="Q981" s="12"/>
      <c r="R981" s="14" t="n">
        <v>0.025</v>
      </c>
      <c r="S981" s="6" t="n">
        <v>0</v>
      </c>
      <c r="T981" s="6"/>
      <c r="U981" s="15" t="n">
        <f aca="false">(0.5*(1-(P981/N981)^2)+(1-(P981/O981)^2)^2)*(O981/P981)^4+0.04</f>
        <v>0.04</v>
      </c>
      <c r="V981" s="14"/>
      <c r="W981" s="14"/>
      <c r="X981" s="10" t="s">
        <v>2060</v>
      </c>
      <c r="Y981" s="16" t="n">
        <v>1.06</v>
      </c>
      <c r="Z981" s="17" t="s">
        <v>48</v>
      </c>
      <c r="AA981" s="6" t="s">
        <v>1874</v>
      </c>
      <c r="AB981" s="18" t="n">
        <f aca="false">IF(O981="","",$D$3*PI()*(O981/1000)^2/4*3600)</f>
        <v>1.85257676746965</v>
      </c>
      <c r="AC981" s="19" t="n">
        <f aca="false">IF(OR(U981="",NOT(ISNUMBER(U981))),"",U981*$D$3^2/(2*$H$3))</f>
        <v>0.00458715596330275</v>
      </c>
      <c r="AD981" s="20" t="n">
        <f aca="false">IF(OR(U981="",NOT(ISNUMBER(U981))),"",U981*$D$3^2/2*$F$3)</f>
        <v>45</v>
      </c>
      <c r="AE981" s="19" t="str">
        <f aca="false">IF(OR(V981="",NOT(ISNUMBER(V981))),"",V981*$D$3^2/(2*$H$3))</f>
        <v/>
      </c>
      <c r="AF981" s="20" t="str">
        <f aca="false">IF(OR(V981="",NOT(ISNUMBER(V981))),"",V981*$D$3^2/2*$F$3)</f>
        <v/>
      </c>
      <c r="AG981" s="19" t="str">
        <f aca="false">IF(OR(W981="",NOT(ISNUMBER(W981))),"",W981*$D$3^2/(2*$H$3))</f>
        <v/>
      </c>
      <c r="AH981" s="20" t="str">
        <f aca="false">IF(OR(W981="",NOT(ISNUMBER(W981))),"",W981*$D$3^2/2*$F$3)</f>
        <v/>
      </c>
    </row>
    <row r="982" customFormat="false" ht="15" hidden="false" customHeight="false" outlineLevel="0" collapsed="false">
      <c r="A982" s="10" t="s">
        <v>2139</v>
      </c>
      <c r="B982" s="26" t="s">
        <v>2055</v>
      </c>
      <c r="C982" s="6" t="s">
        <v>1872</v>
      </c>
      <c r="D982" s="6" t="s">
        <v>2140</v>
      </c>
      <c r="E982" s="6" t="s">
        <v>2136</v>
      </c>
      <c r="F982" s="6" t="s">
        <v>45</v>
      </c>
      <c r="G982" s="6"/>
      <c r="H982" s="6"/>
      <c r="I982" s="6" t="s">
        <v>118</v>
      </c>
      <c r="J982" s="6" t="n">
        <v>16</v>
      </c>
      <c r="K982" s="6" t="s">
        <v>801</v>
      </c>
      <c r="L982" s="6"/>
      <c r="M982" s="6"/>
      <c r="N982" s="12" t="n">
        <v>26.6</v>
      </c>
      <c r="O982" s="12" t="n">
        <v>26.6</v>
      </c>
      <c r="P982" s="12" t="n">
        <v>26.6</v>
      </c>
      <c r="Q982" s="12"/>
      <c r="R982" s="14" t="n">
        <v>0.023</v>
      </c>
      <c r="S982" s="6" t="n">
        <v>0</v>
      </c>
      <c r="T982" s="6"/>
      <c r="U982" s="15" t="n">
        <f aca="false">(0.5*(1-(P982/N982)^2)+(1-(P982/O982)^2)^2)*(O982/P982)^4+0.04</f>
        <v>0.04</v>
      </c>
      <c r="V982" s="14"/>
      <c r="W982" s="14"/>
      <c r="X982" s="10" t="s">
        <v>2060</v>
      </c>
      <c r="Y982" s="16" t="n">
        <v>1.06</v>
      </c>
      <c r="Z982" s="17" t="s">
        <v>48</v>
      </c>
      <c r="AA982" s="6" t="s">
        <v>1874</v>
      </c>
      <c r="AB982" s="18" t="n">
        <f aca="false">IF(O982="","",$D$3*PI()*(O982/1000)^2/4*3600)</f>
        <v>3.00086815226489</v>
      </c>
      <c r="AC982" s="19" t="n">
        <f aca="false">IF(OR(U982="",NOT(ISNUMBER(U982))),"",U982*$D$3^2/(2*$H$3))</f>
        <v>0.00458715596330275</v>
      </c>
      <c r="AD982" s="20" t="n">
        <f aca="false">IF(OR(U982="",NOT(ISNUMBER(U982))),"",U982*$D$3^2/2*$F$3)</f>
        <v>45</v>
      </c>
      <c r="AE982" s="19" t="str">
        <f aca="false">IF(OR(V982="",NOT(ISNUMBER(V982))),"",V982*$D$3^2/(2*$H$3))</f>
        <v/>
      </c>
      <c r="AF982" s="20" t="str">
        <f aca="false">IF(OR(V982="",NOT(ISNUMBER(V982))),"",V982*$D$3^2/2*$F$3)</f>
        <v/>
      </c>
      <c r="AG982" s="19" t="str">
        <f aca="false">IF(OR(W982="",NOT(ISNUMBER(W982))),"",W982*$D$3^2/(2*$H$3))</f>
        <v/>
      </c>
      <c r="AH982" s="20" t="str">
        <f aca="false">IF(OR(W982="",NOT(ISNUMBER(W982))),"",W982*$D$3^2/2*$F$3)</f>
        <v/>
      </c>
    </row>
    <row r="983" customFormat="false" ht="15" hidden="false" customHeight="false" outlineLevel="0" collapsed="false">
      <c r="A983" s="10" t="s">
        <v>2141</v>
      </c>
      <c r="B983" s="26" t="s">
        <v>2055</v>
      </c>
      <c r="C983" s="6" t="s">
        <v>1872</v>
      </c>
      <c r="D983" s="6" t="s">
        <v>2142</v>
      </c>
      <c r="E983" s="6" t="s">
        <v>2136</v>
      </c>
      <c r="F983" s="6" t="s">
        <v>45</v>
      </c>
      <c r="G983" s="6"/>
      <c r="H983" s="6"/>
      <c r="I983" s="6" t="s">
        <v>127</v>
      </c>
      <c r="J983" s="6" t="n">
        <v>16</v>
      </c>
      <c r="K983" s="6" t="s">
        <v>801</v>
      </c>
      <c r="L983" s="6"/>
      <c r="M983" s="6"/>
      <c r="N983" s="12" t="n">
        <v>35.1</v>
      </c>
      <c r="O983" s="12" t="n">
        <v>35.1</v>
      </c>
      <c r="P983" s="12" t="n">
        <v>35.1</v>
      </c>
      <c r="Q983" s="12"/>
      <c r="R983" s="14" t="n">
        <v>0.022</v>
      </c>
      <c r="S983" s="6" t="n">
        <v>0</v>
      </c>
      <c r="T983" s="6"/>
      <c r="U983" s="15" t="n">
        <f aca="false">(0.5*(1-(P983/N983)^2)+(1-(P983/O983)^2)^2)*(O983/P983)^4+0.04</f>
        <v>0.04</v>
      </c>
      <c r="V983" s="14"/>
      <c r="W983" s="14"/>
      <c r="X983" s="10" t="s">
        <v>2060</v>
      </c>
      <c r="Y983" s="16" t="n">
        <v>1.06</v>
      </c>
      <c r="Z983" s="17" t="s">
        <v>48</v>
      </c>
      <c r="AA983" s="6" t="s">
        <v>1874</v>
      </c>
      <c r="AB983" s="18" t="n">
        <f aca="false">IF(O983="","",$D$3*PI()*(O983/1000)^2/4*3600)</f>
        <v>5.22513931295137</v>
      </c>
      <c r="AC983" s="19" t="n">
        <f aca="false">IF(OR(U983="",NOT(ISNUMBER(U983))),"",U983*$D$3^2/(2*$H$3))</f>
        <v>0.00458715596330275</v>
      </c>
      <c r="AD983" s="20" t="n">
        <f aca="false">IF(OR(U983="",NOT(ISNUMBER(U983))),"",U983*$D$3^2/2*$F$3)</f>
        <v>45</v>
      </c>
      <c r="AE983" s="19" t="str">
        <f aca="false">IF(OR(V983="",NOT(ISNUMBER(V983))),"",V983*$D$3^2/(2*$H$3))</f>
        <v/>
      </c>
      <c r="AF983" s="20" t="str">
        <f aca="false">IF(OR(V983="",NOT(ISNUMBER(V983))),"",V983*$D$3^2/2*$F$3)</f>
        <v/>
      </c>
      <c r="AG983" s="19" t="str">
        <f aca="false">IF(OR(W983="",NOT(ISNUMBER(W983))),"",W983*$D$3^2/(2*$H$3))</f>
        <v/>
      </c>
      <c r="AH983" s="20" t="str">
        <f aca="false">IF(OR(W983="",NOT(ISNUMBER(W983))),"",W983*$D$3^2/2*$F$3)</f>
        <v/>
      </c>
    </row>
    <row r="984" customFormat="false" ht="15" hidden="false" customHeight="false" outlineLevel="0" collapsed="false">
      <c r="A984" s="10" t="s">
        <v>2143</v>
      </c>
      <c r="B984" s="26" t="s">
        <v>2055</v>
      </c>
      <c r="C984" s="6" t="s">
        <v>1872</v>
      </c>
      <c r="D984" s="6" t="s">
        <v>2144</v>
      </c>
      <c r="E984" s="6" t="s">
        <v>2136</v>
      </c>
      <c r="F984" s="6" t="s">
        <v>45</v>
      </c>
      <c r="G984" s="6"/>
      <c r="H984" s="6"/>
      <c r="I984" s="6" t="s">
        <v>130</v>
      </c>
      <c r="J984" s="6" t="n">
        <v>16</v>
      </c>
      <c r="K984" s="6" t="s">
        <v>801</v>
      </c>
      <c r="L984" s="6"/>
      <c r="M984" s="6"/>
      <c r="N984" s="12" t="n">
        <v>40.9</v>
      </c>
      <c r="O984" s="12" t="n">
        <v>40.9</v>
      </c>
      <c r="P984" s="12" t="n">
        <v>40.9</v>
      </c>
      <c r="Q984" s="12"/>
      <c r="R984" s="14" t="n">
        <v>0.021</v>
      </c>
      <c r="S984" s="6" t="n">
        <v>0</v>
      </c>
      <c r="T984" s="6"/>
      <c r="U984" s="15" t="n">
        <f aca="false">(0.5*(1-(P984/N984)^2)+(1-(P984/O984)^2)^2)*(O984/P984)^4+0.04</f>
        <v>0.04</v>
      </c>
      <c r="V984" s="14"/>
      <c r="W984" s="14"/>
      <c r="X984" s="10" t="s">
        <v>2060</v>
      </c>
      <c r="Y984" s="16" t="n">
        <v>1.06</v>
      </c>
      <c r="Z984" s="17" t="s">
        <v>48</v>
      </c>
      <c r="AA984" s="6" t="s">
        <v>1874</v>
      </c>
      <c r="AB984" s="18" t="n">
        <f aca="false">IF(O984="","",$D$3*PI()*(O984/1000)^2/4*3600)</f>
        <v>7.09463826924958</v>
      </c>
      <c r="AC984" s="19" t="n">
        <f aca="false">IF(OR(U984="",NOT(ISNUMBER(U984))),"",U984*$D$3^2/(2*$H$3))</f>
        <v>0.00458715596330275</v>
      </c>
      <c r="AD984" s="20" t="n">
        <f aca="false">IF(OR(U984="",NOT(ISNUMBER(U984))),"",U984*$D$3^2/2*$F$3)</f>
        <v>45</v>
      </c>
      <c r="AE984" s="19" t="str">
        <f aca="false">IF(OR(V984="",NOT(ISNUMBER(V984))),"",V984*$D$3^2/(2*$H$3))</f>
        <v/>
      </c>
      <c r="AF984" s="20" t="str">
        <f aca="false">IF(OR(V984="",NOT(ISNUMBER(V984))),"",V984*$D$3^2/2*$F$3)</f>
        <v/>
      </c>
      <c r="AG984" s="19" t="str">
        <f aca="false">IF(OR(W984="",NOT(ISNUMBER(W984))),"",W984*$D$3^2/(2*$H$3))</f>
        <v/>
      </c>
      <c r="AH984" s="20" t="str">
        <f aca="false">IF(OR(W984="",NOT(ISNUMBER(W984))),"",W984*$D$3^2/2*$F$3)</f>
        <v/>
      </c>
    </row>
    <row r="985" customFormat="false" ht="15" hidden="false" customHeight="false" outlineLevel="0" collapsed="false">
      <c r="A985" s="10" t="s">
        <v>2145</v>
      </c>
      <c r="B985" s="26" t="s">
        <v>2055</v>
      </c>
      <c r="C985" s="6" t="s">
        <v>1872</v>
      </c>
      <c r="D985" s="6" t="s">
        <v>2146</v>
      </c>
      <c r="E985" s="6" t="s">
        <v>2136</v>
      </c>
      <c r="F985" s="6" t="s">
        <v>45</v>
      </c>
      <c r="G985" s="6"/>
      <c r="H985" s="6"/>
      <c r="I985" s="6" t="s">
        <v>133</v>
      </c>
      <c r="J985" s="6" t="n">
        <v>16</v>
      </c>
      <c r="K985" s="6" t="s">
        <v>801</v>
      </c>
      <c r="L985" s="6"/>
      <c r="M985" s="6"/>
      <c r="N985" s="12" t="n">
        <v>52.5</v>
      </c>
      <c r="O985" s="12" t="n">
        <v>52.5</v>
      </c>
      <c r="P985" s="12" t="n">
        <v>52.5</v>
      </c>
      <c r="Q985" s="12"/>
      <c r="R985" s="14" t="n">
        <v>0.019</v>
      </c>
      <c r="S985" s="6" t="n">
        <v>0</v>
      </c>
      <c r="T985" s="6"/>
      <c r="U985" s="15" t="n">
        <f aca="false">(0.5*(1-(P985/N985)^2)+(1-(P985/O985)^2)^2)*(O985/P985)^4+0.04</f>
        <v>0.04</v>
      </c>
      <c r="V985" s="14"/>
      <c r="W985" s="14"/>
      <c r="X985" s="10" t="s">
        <v>2060</v>
      </c>
      <c r="Y985" s="16" t="n">
        <v>1.06</v>
      </c>
      <c r="Z985" s="17" t="s">
        <v>48</v>
      </c>
      <c r="AA985" s="6" t="s">
        <v>1874</v>
      </c>
      <c r="AB985" s="18" t="n">
        <f aca="false">IF(O985="","",$D$3*PI()*(O985/1000)^2/4*3600)</f>
        <v>11.6896699144668</v>
      </c>
      <c r="AC985" s="19" t="n">
        <f aca="false">IF(OR(U985="",NOT(ISNUMBER(U985))),"",U985*$D$3^2/(2*$H$3))</f>
        <v>0.00458715596330275</v>
      </c>
      <c r="AD985" s="20" t="n">
        <f aca="false">IF(OR(U985="",NOT(ISNUMBER(U985))),"",U985*$D$3^2/2*$F$3)</f>
        <v>45</v>
      </c>
      <c r="AE985" s="19" t="str">
        <f aca="false">IF(OR(V985="",NOT(ISNUMBER(V985))),"",V985*$D$3^2/(2*$H$3))</f>
        <v/>
      </c>
      <c r="AF985" s="20" t="str">
        <f aca="false">IF(OR(V985="",NOT(ISNUMBER(V985))),"",V985*$D$3^2/2*$F$3)</f>
        <v/>
      </c>
      <c r="AG985" s="19" t="str">
        <f aca="false">IF(OR(W985="",NOT(ISNUMBER(W985))),"",W985*$D$3^2/(2*$H$3))</f>
        <v/>
      </c>
      <c r="AH985" s="20" t="str">
        <f aca="false">IF(OR(W985="",NOT(ISNUMBER(W985))),"",W985*$D$3^2/2*$F$3)</f>
        <v/>
      </c>
    </row>
    <row r="986" customFormat="false" ht="15" hidden="false" customHeight="false" outlineLevel="0" collapsed="false">
      <c r="A986" s="10" t="s">
        <v>2147</v>
      </c>
      <c r="B986" s="27" t="s">
        <v>2148</v>
      </c>
      <c r="C986" s="6" t="s">
        <v>1872</v>
      </c>
      <c r="D986" s="6" t="s">
        <v>2149</v>
      </c>
      <c r="E986" s="6" t="s">
        <v>2150</v>
      </c>
      <c r="F986" s="6" t="s">
        <v>45</v>
      </c>
      <c r="G986" s="6"/>
      <c r="H986" s="6"/>
      <c r="I986" s="6" t="s">
        <v>118</v>
      </c>
      <c r="J986" s="6"/>
      <c r="K986" s="6" t="s">
        <v>2059</v>
      </c>
      <c r="L986" s="6"/>
      <c r="M986" s="6"/>
      <c r="N986" s="12" t="n">
        <v>26.6</v>
      </c>
      <c r="O986" s="12" t="n">
        <v>26.6</v>
      </c>
      <c r="P986" s="12" t="n">
        <v>26.6</v>
      </c>
      <c r="Q986" s="12"/>
      <c r="R986" s="14" t="n">
        <v>0.023</v>
      </c>
      <c r="S986" s="6"/>
      <c r="T986" s="6"/>
      <c r="U986" s="14" t="n">
        <v>0.5</v>
      </c>
      <c r="V986" s="14"/>
      <c r="W986" s="14" t="n">
        <v>1</v>
      </c>
      <c r="X986" s="10" t="s">
        <v>2151</v>
      </c>
      <c r="Y986" s="16" t="n">
        <v>10.7</v>
      </c>
      <c r="Z986" s="17" t="s">
        <v>48</v>
      </c>
      <c r="AA986" s="6"/>
      <c r="AB986" s="18" t="n">
        <f aca="false">IF(O986="","",$D$3*PI()*(O986/1000)^2/4*3600)</f>
        <v>3.00086815226489</v>
      </c>
      <c r="AC986" s="19" t="n">
        <f aca="false">IF(OR(U986="",NOT(ISNUMBER(U986))),"",U986*$D$3^2/(2*$H$3))</f>
        <v>0.0573394495412844</v>
      </c>
      <c r="AD986" s="20" t="n">
        <f aca="false">IF(OR(U986="",NOT(ISNUMBER(U986))),"",U986*$D$3^2/2*$F$3)</f>
        <v>562.5</v>
      </c>
      <c r="AE986" s="19" t="str">
        <f aca="false">IF(OR(V986="",NOT(ISNUMBER(V986))),"",V986*$D$3^2/(2*$H$3))</f>
        <v/>
      </c>
      <c r="AF986" s="20" t="str">
        <f aca="false">IF(OR(V986="",NOT(ISNUMBER(V986))),"",V986*$D$3^2/2*$F$3)</f>
        <v/>
      </c>
      <c r="AG986" s="19" t="n">
        <f aca="false">IF(OR(W986="",NOT(ISNUMBER(W986))),"",W986*$D$3^2/(2*$H$3))</f>
        <v>0.114678899082569</v>
      </c>
      <c r="AH986" s="20" t="n">
        <f aca="false">IF(OR(W986="",NOT(ISNUMBER(W986))),"",W986*$D$3^2/2*$F$3)</f>
        <v>1125</v>
      </c>
    </row>
    <row r="987" customFormat="false" ht="15" hidden="false" customHeight="false" outlineLevel="0" collapsed="false">
      <c r="A987" s="10" t="s">
        <v>2152</v>
      </c>
      <c r="B987" s="27" t="s">
        <v>2148</v>
      </c>
      <c r="C987" s="6" t="s">
        <v>1872</v>
      </c>
      <c r="D987" s="6" t="s">
        <v>2153</v>
      </c>
      <c r="E987" s="6" t="s">
        <v>2154</v>
      </c>
      <c r="F987" s="6" t="s">
        <v>45</v>
      </c>
      <c r="G987" s="6"/>
      <c r="H987" s="6"/>
      <c r="I987" s="6" t="s">
        <v>118</v>
      </c>
      <c r="J987" s="6"/>
      <c r="K987" s="6" t="s">
        <v>2059</v>
      </c>
      <c r="L987" s="6"/>
      <c r="M987" s="6"/>
      <c r="N987" s="12" t="n">
        <v>26.6</v>
      </c>
      <c r="O987" s="12" t="n">
        <v>26.6</v>
      </c>
      <c r="P987" s="12" t="n">
        <v>26.6</v>
      </c>
      <c r="Q987" s="12"/>
      <c r="R987" s="14" t="n">
        <v>0.023</v>
      </c>
      <c r="S987" s="6"/>
      <c r="T987" s="6"/>
      <c r="U987" s="14" t="n">
        <v>0.5</v>
      </c>
      <c r="V987" s="14"/>
      <c r="W987" s="14" t="n">
        <v>1</v>
      </c>
      <c r="X987" s="10" t="s">
        <v>2151</v>
      </c>
      <c r="Y987" s="16" t="n">
        <v>13.41</v>
      </c>
      <c r="Z987" s="17" t="s">
        <v>48</v>
      </c>
      <c r="AA987" s="6"/>
      <c r="AB987" s="18" t="n">
        <f aca="false">IF(O987="","",$D$3*PI()*(O987/1000)^2/4*3600)</f>
        <v>3.00086815226489</v>
      </c>
      <c r="AC987" s="19" t="n">
        <f aca="false">IF(OR(U987="",NOT(ISNUMBER(U987))),"",U987*$D$3^2/(2*$H$3))</f>
        <v>0.0573394495412844</v>
      </c>
      <c r="AD987" s="20" t="n">
        <f aca="false">IF(OR(U987="",NOT(ISNUMBER(U987))),"",U987*$D$3^2/2*$F$3)</f>
        <v>562.5</v>
      </c>
      <c r="AE987" s="19" t="str">
        <f aca="false">IF(OR(V987="",NOT(ISNUMBER(V987))),"",V987*$D$3^2/(2*$H$3))</f>
        <v/>
      </c>
      <c r="AF987" s="20" t="str">
        <f aca="false">IF(OR(V987="",NOT(ISNUMBER(V987))),"",V987*$D$3^2/2*$F$3)</f>
        <v/>
      </c>
      <c r="AG987" s="19" t="n">
        <f aca="false">IF(OR(W987="",NOT(ISNUMBER(W987))),"",W987*$D$3^2/(2*$H$3))</f>
        <v>0.114678899082569</v>
      </c>
      <c r="AH987" s="20" t="n">
        <f aca="false">IF(OR(W987="",NOT(ISNUMBER(W987))),"",W987*$D$3^2/2*$F$3)</f>
        <v>1125</v>
      </c>
    </row>
  </sheetData>
  <autoFilter ref="A4:AH987"/>
  <mergeCells count="2">
    <mergeCell ref="A2:Z2"/>
    <mergeCell ref="A3:C3"/>
  </mergeCells>
  <hyperlinks>
    <hyperlink ref="Z5" r:id="rId2" display="enlace"/>
    <hyperlink ref="Z6" r:id="rId3" display="enlace"/>
    <hyperlink ref="Z7" r:id="rId4" display="enlace"/>
    <hyperlink ref="Z8" r:id="rId5" display="enlace"/>
    <hyperlink ref="Z9" r:id="rId6" display="enlace"/>
    <hyperlink ref="Z10" r:id="rId7" display="enlace"/>
    <hyperlink ref="Z11" r:id="rId8" display="enlace"/>
    <hyperlink ref="Z12" r:id="rId9" display="enlace"/>
    <hyperlink ref="Z13" r:id="rId10" display="enlace"/>
    <hyperlink ref="Z14" r:id="rId11" display="enlace"/>
    <hyperlink ref="Z15" r:id="rId12" display="enlace"/>
    <hyperlink ref="Z16" r:id="rId13" display="enlace"/>
    <hyperlink ref="Z17" r:id="rId14" display="enlace"/>
    <hyperlink ref="Z18" r:id="rId15" display="enlace"/>
    <hyperlink ref="Z19" r:id="rId16" display="enlace"/>
    <hyperlink ref="Z20" r:id="rId17" display="enlace"/>
    <hyperlink ref="Z21" r:id="rId18" display="enlace"/>
    <hyperlink ref="Z22" r:id="rId19" display="enlace"/>
    <hyperlink ref="Z23" r:id="rId20" display="enlace"/>
    <hyperlink ref="Z24" r:id="rId21" display="enlace"/>
    <hyperlink ref="Z25" r:id="rId22" display="enlace"/>
    <hyperlink ref="Z26" r:id="rId23" display="enlace"/>
    <hyperlink ref="Z27" r:id="rId24" display="enlace"/>
    <hyperlink ref="Z28" r:id="rId25" display="enlace"/>
    <hyperlink ref="Z29" r:id="rId26" display="enlace"/>
    <hyperlink ref="Z30" r:id="rId27" display="enlace"/>
    <hyperlink ref="Z31" r:id="rId28" display="enlace"/>
    <hyperlink ref="Z32" r:id="rId29" display="enlace"/>
    <hyperlink ref="Z33" r:id="rId30" display="enlace"/>
    <hyperlink ref="Z34" r:id="rId31" display="enlace"/>
    <hyperlink ref="Z35" r:id="rId32" display="enlace"/>
    <hyperlink ref="Z36" r:id="rId33" display="enlace"/>
    <hyperlink ref="Z37" r:id="rId34" display="enlace"/>
    <hyperlink ref="Z38" r:id="rId35" display="enlace"/>
    <hyperlink ref="Z39" r:id="rId36" display="enlace"/>
    <hyperlink ref="Z40" r:id="rId37" display="enlace"/>
    <hyperlink ref="Z41" r:id="rId38" display="enlace"/>
    <hyperlink ref="Z42" r:id="rId39" display="enlace"/>
    <hyperlink ref="Z43" r:id="rId40" display="enlace"/>
    <hyperlink ref="Z44" r:id="rId41" display="enlace"/>
    <hyperlink ref="Z45" r:id="rId42" display="enlace"/>
    <hyperlink ref="Z46" r:id="rId43" display="enlace"/>
    <hyperlink ref="Z47" r:id="rId44" display="enlace"/>
    <hyperlink ref="Z48" r:id="rId45" display="enlace"/>
    <hyperlink ref="Z49" r:id="rId46" display="enlace"/>
    <hyperlink ref="Z50" r:id="rId47" display="enlace"/>
    <hyperlink ref="Z51" r:id="rId48" display="enlace"/>
    <hyperlink ref="Z52" r:id="rId49" display="enlace"/>
    <hyperlink ref="Z53" r:id="rId50" display="enlace"/>
    <hyperlink ref="Z54" r:id="rId51" display="enlace"/>
    <hyperlink ref="Z55" r:id="rId52" display="enlace"/>
    <hyperlink ref="Z56" r:id="rId53" display="enlace"/>
    <hyperlink ref="Z57" r:id="rId54" display="enlace"/>
    <hyperlink ref="Z58" r:id="rId55" display="enlace"/>
    <hyperlink ref="Z59" r:id="rId56" display="enlace"/>
    <hyperlink ref="Z60" r:id="rId57" display="enlace"/>
    <hyperlink ref="Z61" r:id="rId58" display="enlace"/>
    <hyperlink ref="Z62" r:id="rId59" display="enlace"/>
    <hyperlink ref="Z63" r:id="rId60" display="enlace"/>
    <hyperlink ref="Z64" r:id="rId61" display="enlace"/>
    <hyperlink ref="Z65" r:id="rId62" display="enlace"/>
    <hyperlink ref="Z66" r:id="rId63" display="enlace"/>
    <hyperlink ref="Z67" r:id="rId64" display="enlace"/>
    <hyperlink ref="Z68" r:id="rId65" display="enlace"/>
    <hyperlink ref="Z69" r:id="rId66" display="enlace"/>
    <hyperlink ref="Z70" r:id="rId67" display="enlace"/>
    <hyperlink ref="Z71" r:id="rId68" display="enlace"/>
    <hyperlink ref="Z72" r:id="rId69" display="enlace"/>
    <hyperlink ref="Z73" r:id="rId70" display="enlace"/>
    <hyperlink ref="Z74" r:id="rId71" display="enlace"/>
    <hyperlink ref="Z75" r:id="rId72" display="enlace"/>
    <hyperlink ref="Z76" r:id="rId73" display="enlace"/>
    <hyperlink ref="Z77" r:id="rId74" display="enlace"/>
    <hyperlink ref="Z78" r:id="rId75" display="enlace"/>
    <hyperlink ref="Z79" r:id="rId76" display="enlace"/>
    <hyperlink ref="Z80" r:id="rId77" display="enlace"/>
    <hyperlink ref="Z81" r:id="rId78" display="enlace"/>
    <hyperlink ref="Z82" r:id="rId79" display="enlace"/>
    <hyperlink ref="Z83" r:id="rId80" display="enlace"/>
    <hyperlink ref="Z84" r:id="rId81" display="enlace"/>
    <hyperlink ref="Z85" r:id="rId82" display="enlace"/>
    <hyperlink ref="Z86" r:id="rId83" display="enlace"/>
    <hyperlink ref="Z87" r:id="rId84" display="enlace"/>
    <hyperlink ref="Z88" r:id="rId85" display="enlace"/>
    <hyperlink ref="Z89" r:id="rId86" display="enlace"/>
    <hyperlink ref="Z90" r:id="rId87" display="enlace"/>
    <hyperlink ref="Z91" r:id="rId88" display="enlace"/>
    <hyperlink ref="Z92" r:id="rId89" display="enlace"/>
    <hyperlink ref="Z93" r:id="rId90" display="enlace"/>
    <hyperlink ref="Z94" r:id="rId91" display="enlace"/>
    <hyperlink ref="Z95" r:id="rId92" display="enlace"/>
    <hyperlink ref="Z96" r:id="rId93" display="enlace"/>
    <hyperlink ref="Z97" r:id="rId94" display="enlace"/>
    <hyperlink ref="Z98" r:id="rId95" display="enlace"/>
    <hyperlink ref="Z99" r:id="rId96" display="enlace"/>
    <hyperlink ref="Z100" r:id="rId97" display="enlace"/>
    <hyperlink ref="Z101" r:id="rId98" display="enlace"/>
    <hyperlink ref="Z102" r:id="rId99" display="enlace"/>
    <hyperlink ref="Z103" r:id="rId100" display="enlace"/>
    <hyperlink ref="Z104" r:id="rId101" display="enlace"/>
    <hyperlink ref="Z105" r:id="rId102" display="enlace"/>
    <hyperlink ref="Z106" r:id="rId103" display="enlace"/>
    <hyperlink ref="Z107" r:id="rId104" display="enlace"/>
    <hyperlink ref="Z108" r:id="rId105" display="enlace"/>
    <hyperlink ref="Z109" r:id="rId106" display="enlace"/>
    <hyperlink ref="Z110" r:id="rId107" display="enlace"/>
    <hyperlink ref="Z111" r:id="rId108" display="enlace"/>
    <hyperlink ref="Z112" r:id="rId109" display="enlace"/>
    <hyperlink ref="Z113" r:id="rId110" display="enlace"/>
    <hyperlink ref="Z114" r:id="rId111" display="enlace"/>
    <hyperlink ref="Z115" r:id="rId112" display="enlace"/>
    <hyperlink ref="Z116" r:id="rId113" display="enlace"/>
    <hyperlink ref="Z117" r:id="rId114" display="enlace"/>
    <hyperlink ref="Z118" r:id="rId115" display="enlace"/>
    <hyperlink ref="Z119" r:id="rId116" display="enlace"/>
    <hyperlink ref="Z120" r:id="rId117" display="enlace"/>
    <hyperlink ref="Z121" r:id="rId118" display="enlace"/>
    <hyperlink ref="Z122" r:id="rId119" display="enlace"/>
    <hyperlink ref="Z123" r:id="rId120" display="enlace"/>
    <hyperlink ref="Z124" r:id="rId121" display="enlace"/>
    <hyperlink ref="Z125" r:id="rId122" display="enlace"/>
    <hyperlink ref="Z126" r:id="rId123" display="enlace"/>
    <hyperlink ref="Z127" r:id="rId124" display="enlace"/>
    <hyperlink ref="Z128" r:id="rId125" display="enlace"/>
    <hyperlink ref="Z129" r:id="rId126" display="enlace"/>
    <hyperlink ref="Z130" r:id="rId127" display="enlace"/>
    <hyperlink ref="Z131" r:id="rId128" display="enlace"/>
    <hyperlink ref="Z132" r:id="rId129" display="enlace"/>
    <hyperlink ref="Z133" r:id="rId130" display="enlace"/>
    <hyperlink ref="Z134" r:id="rId131" display="enlace"/>
    <hyperlink ref="Z135" r:id="rId132" display="enlace"/>
    <hyperlink ref="Z136" r:id="rId133" display="enlace"/>
    <hyperlink ref="Z137" r:id="rId134" display="enlace"/>
    <hyperlink ref="Z138" r:id="rId135" display="enlace"/>
    <hyperlink ref="Z139" r:id="rId136" display="enlace"/>
    <hyperlink ref="Z140" r:id="rId137" display="enlace"/>
    <hyperlink ref="Z141" r:id="rId138" display="enlace"/>
    <hyperlink ref="Z142" r:id="rId139" display="enlace"/>
    <hyperlink ref="Z143" r:id="rId140" display="enlace"/>
    <hyperlink ref="Z144" r:id="rId141" display="enlace"/>
    <hyperlink ref="Z145" r:id="rId142" display="enlace"/>
    <hyperlink ref="Z146" r:id="rId143" display="enlace"/>
    <hyperlink ref="Z147" r:id="rId144" display="enlace"/>
    <hyperlink ref="Z148" r:id="rId145" display="enlace"/>
    <hyperlink ref="Z149" r:id="rId146" display="enlace"/>
    <hyperlink ref="Z150" r:id="rId147" display="enlace"/>
    <hyperlink ref="Z151" r:id="rId148" display="enlace"/>
    <hyperlink ref="Z152" r:id="rId149" display="enlace"/>
    <hyperlink ref="Z153" r:id="rId150" display="enlace"/>
    <hyperlink ref="Z154" r:id="rId151" display="enlace"/>
    <hyperlink ref="Z155" r:id="rId152" display="enlace"/>
    <hyperlink ref="Z156" r:id="rId153" display="enlace"/>
    <hyperlink ref="Z157" r:id="rId154" display="enlace"/>
    <hyperlink ref="Z158" r:id="rId155" display="enlace"/>
    <hyperlink ref="Z159" r:id="rId156" display="enlace"/>
    <hyperlink ref="Z160" r:id="rId157" display="enlace"/>
    <hyperlink ref="Z161" r:id="rId158" display="enlace"/>
    <hyperlink ref="Z162" r:id="rId159" display="enlace"/>
    <hyperlink ref="Z163" r:id="rId160" display="enlace"/>
    <hyperlink ref="Z164" r:id="rId161" display="enlace"/>
    <hyperlink ref="Z165" r:id="rId162" display="enlace"/>
    <hyperlink ref="Z166" r:id="rId163" display="enlace"/>
    <hyperlink ref="Z167" r:id="rId164" display="enlace"/>
    <hyperlink ref="Z168" r:id="rId165" display="enlace"/>
    <hyperlink ref="Z169" r:id="rId166" display="enlace"/>
    <hyperlink ref="Z170" r:id="rId167" display="enlace"/>
    <hyperlink ref="Z171" r:id="rId168" display="enlace"/>
    <hyperlink ref="Z172" r:id="rId169" display="enlace"/>
    <hyperlink ref="Z173" r:id="rId170" display="enlace"/>
    <hyperlink ref="Z174" r:id="rId171" display="enlace"/>
    <hyperlink ref="Z175" r:id="rId172" display="enlace"/>
    <hyperlink ref="Z176" r:id="rId173" display="enlace"/>
    <hyperlink ref="Z177" r:id="rId174" display="enlace"/>
    <hyperlink ref="Z178" r:id="rId175" display="enlace"/>
    <hyperlink ref="Z179" r:id="rId176" display="enlace"/>
    <hyperlink ref="Z180" r:id="rId177" display="enlace"/>
    <hyperlink ref="Z181" r:id="rId178" display="enlace"/>
    <hyperlink ref="Z182" r:id="rId179" display="enlace"/>
    <hyperlink ref="Z183" r:id="rId180" display="enlace"/>
    <hyperlink ref="Z184" r:id="rId181" display="enlace"/>
    <hyperlink ref="Z185" r:id="rId182" display="enlace"/>
    <hyperlink ref="Z186" r:id="rId183" display="enlace"/>
    <hyperlink ref="Z187" r:id="rId184" display="enlace"/>
    <hyperlink ref="Z188" r:id="rId185" display="enlace"/>
    <hyperlink ref="Z189" r:id="rId186" display="enlace"/>
    <hyperlink ref="Z190" r:id="rId187" display="enlace"/>
    <hyperlink ref="Z191" r:id="rId188" display="enlace"/>
    <hyperlink ref="Z192" r:id="rId189" display="enlace"/>
    <hyperlink ref="Z193" r:id="rId190" display="enlace"/>
    <hyperlink ref="Z194" r:id="rId191" display="enlace"/>
    <hyperlink ref="Z195" r:id="rId192" display="enlace"/>
    <hyperlink ref="Z196" r:id="rId193" display="enlace"/>
    <hyperlink ref="Z197" r:id="rId194" display="enlace"/>
    <hyperlink ref="Z198" r:id="rId195" display="enlace"/>
    <hyperlink ref="Z199" r:id="rId196" display="enlace"/>
    <hyperlink ref="Z200" r:id="rId197" display="enlace"/>
    <hyperlink ref="Z201" r:id="rId198" display="enlace"/>
    <hyperlink ref="Z202" r:id="rId199" display="enlace"/>
    <hyperlink ref="Z203" r:id="rId200" display="enlace"/>
    <hyperlink ref="Z204" r:id="rId201" display="enlace"/>
    <hyperlink ref="Z205" r:id="rId202" display="enlace"/>
    <hyperlink ref="Z206" r:id="rId203" display="enlace"/>
    <hyperlink ref="Z207" r:id="rId204" display="enlace"/>
    <hyperlink ref="Z208" r:id="rId205" display="enlace"/>
    <hyperlink ref="Z209" r:id="rId206" display="enlace"/>
    <hyperlink ref="Z210" r:id="rId207" display="enlace"/>
    <hyperlink ref="Z211" r:id="rId208" display="enlace"/>
    <hyperlink ref="Z212" r:id="rId209" display="enlace"/>
    <hyperlink ref="Z213" r:id="rId210" display="enlace"/>
    <hyperlink ref="Z214" r:id="rId211" display="enlace"/>
    <hyperlink ref="Z215" r:id="rId212" display="enlace"/>
    <hyperlink ref="Z216" r:id="rId213" display="enlace"/>
    <hyperlink ref="Z217" r:id="rId214" display="enlace"/>
    <hyperlink ref="Z218" r:id="rId215" display="enlace"/>
    <hyperlink ref="Z219" r:id="rId216" display="enlace"/>
    <hyperlink ref="Z220" r:id="rId217" display="enlace"/>
    <hyperlink ref="Z221" r:id="rId218" display="enlace"/>
    <hyperlink ref="Z222" r:id="rId219" display="enlace"/>
    <hyperlink ref="Z223" r:id="rId220" display="enlace"/>
    <hyperlink ref="Z224" r:id="rId221" display="enlace"/>
    <hyperlink ref="Z225" r:id="rId222" display="enlace"/>
    <hyperlink ref="Z226" r:id="rId223" display="enlace"/>
    <hyperlink ref="Z227" r:id="rId224" display="enlace"/>
    <hyperlink ref="Z228" r:id="rId225" display="enlace"/>
    <hyperlink ref="Z229" r:id="rId226" display="enlace"/>
    <hyperlink ref="Z230" r:id="rId227" display="enlace"/>
    <hyperlink ref="Z231" r:id="rId228" display="enlace"/>
    <hyperlink ref="Z232" r:id="rId229" display="enlace"/>
    <hyperlink ref="Z233" r:id="rId230" display="enlace"/>
    <hyperlink ref="Z234" r:id="rId231" display="enlace"/>
    <hyperlink ref="Z235" r:id="rId232" display="enlace"/>
    <hyperlink ref="Z236" r:id="rId233" display="enlace"/>
    <hyperlink ref="Z237" r:id="rId234" display="enlace"/>
    <hyperlink ref="Z238" r:id="rId235" display="enlace"/>
    <hyperlink ref="Z239" r:id="rId236" display="enlace"/>
    <hyperlink ref="Z240" r:id="rId237" display="enlace"/>
    <hyperlink ref="Z241" r:id="rId238" display="enlace"/>
    <hyperlink ref="Z242" r:id="rId239" display="enlace"/>
    <hyperlink ref="Z243" r:id="rId240" display="enlace"/>
    <hyperlink ref="Z244" r:id="rId241" display="enlace"/>
    <hyperlink ref="Z245" r:id="rId242" display="enlace"/>
    <hyperlink ref="Z246" r:id="rId243" display="enlace"/>
    <hyperlink ref="Z247" r:id="rId244" display="enlace"/>
    <hyperlink ref="Z248" r:id="rId245" display="enlace"/>
    <hyperlink ref="Z249" r:id="rId246" display="enlace"/>
    <hyperlink ref="Z250" r:id="rId247" display="enlace"/>
    <hyperlink ref="Z251" r:id="rId248" display="enlace"/>
    <hyperlink ref="Z252" r:id="rId249" display="enlace"/>
    <hyperlink ref="Z253" r:id="rId250" display="enlace"/>
    <hyperlink ref="Z254" r:id="rId251" display="enlace"/>
    <hyperlink ref="Z255" r:id="rId252" display="enlace"/>
    <hyperlink ref="Z256" r:id="rId253" display="enlace"/>
    <hyperlink ref="Z257" r:id="rId254" display="enlace"/>
    <hyperlink ref="Z258" r:id="rId255" display="enlace"/>
    <hyperlink ref="Z259" r:id="rId256" display="enlace"/>
    <hyperlink ref="Z260" r:id="rId257" display="enlace"/>
    <hyperlink ref="Z261" r:id="rId258" display="enlace"/>
    <hyperlink ref="Z262" r:id="rId259" display="enlace"/>
    <hyperlink ref="Z263" r:id="rId260" display="enlace"/>
    <hyperlink ref="Z264" r:id="rId261" display="enlace"/>
    <hyperlink ref="Z265" r:id="rId262" display="enlace"/>
    <hyperlink ref="Z266" r:id="rId263" display="enlace"/>
    <hyperlink ref="Z267" r:id="rId264" display="enlace"/>
    <hyperlink ref="Z268" r:id="rId265" display="enlace"/>
    <hyperlink ref="Z269" r:id="rId266" display="enlace"/>
    <hyperlink ref="Z270" r:id="rId267" display="enlace"/>
    <hyperlink ref="Z271" r:id="rId268" display="enlace"/>
    <hyperlink ref="Z272" r:id="rId269" display="enlace"/>
    <hyperlink ref="Z273" r:id="rId270" display="enlace"/>
    <hyperlink ref="Z274" r:id="rId271" display="enlace"/>
    <hyperlink ref="Z275" r:id="rId272" display="enlace"/>
    <hyperlink ref="Z276" r:id="rId273" display="enlace"/>
    <hyperlink ref="Z277" r:id="rId274" display="enlace"/>
    <hyperlink ref="Z278" r:id="rId275" display="enlace"/>
    <hyperlink ref="Z279" r:id="rId276" display="enlace"/>
    <hyperlink ref="Z280" r:id="rId277" display="enlace"/>
    <hyperlink ref="Z281" r:id="rId278" display="enlace"/>
    <hyperlink ref="Z282" r:id="rId279" display="enlace"/>
    <hyperlink ref="Z283" r:id="rId280" display="enlace"/>
    <hyperlink ref="Z284" r:id="rId281" display="enlace"/>
    <hyperlink ref="Z285" r:id="rId282" display="enlace"/>
    <hyperlink ref="Z286" r:id="rId283" display="enlace"/>
    <hyperlink ref="Z287" r:id="rId284" display="enlace"/>
    <hyperlink ref="Z288" r:id="rId285" display="enlace"/>
    <hyperlink ref="Z289" r:id="rId286" display="enlace"/>
    <hyperlink ref="Z290" r:id="rId287" display="enlace"/>
    <hyperlink ref="Z291" r:id="rId288" display="enlace"/>
    <hyperlink ref="Z292" r:id="rId289" display="enlace"/>
    <hyperlink ref="Z293" r:id="rId290" display="enlace"/>
    <hyperlink ref="Z294" r:id="rId291" display="enlace"/>
    <hyperlink ref="Z295" r:id="rId292" display="enlace"/>
    <hyperlink ref="Z296" r:id="rId293" display="enlace"/>
    <hyperlink ref="Z297" r:id="rId294" display="enlace"/>
    <hyperlink ref="Z298" r:id="rId295" display="enlace"/>
    <hyperlink ref="Z299" r:id="rId296" display="enlace"/>
    <hyperlink ref="Z300" r:id="rId297" display="enlace"/>
    <hyperlink ref="Z301" r:id="rId298" display="enlace"/>
    <hyperlink ref="Z302" r:id="rId299" display="enlace"/>
    <hyperlink ref="Z303" r:id="rId300" display="enlace"/>
    <hyperlink ref="Z304" r:id="rId301" display="enlace"/>
    <hyperlink ref="Z305" r:id="rId302" display="enlace"/>
    <hyperlink ref="Z306" r:id="rId303" display="enlace"/>
    <hyperlink ref="Z307" r:id="rId304" display="enlace"/>
    <hyperlink ref="Z308" r:id="rId305" display="enlace"/>
    <hyperlink ref="Z309" r:id="rId306" display="enlace"/>
    <hyperlink ref="Z310" r:id="rId307" display="enlace"/>
    <hyperlink ref="Z311" r:id="rId308" display="enlace"/>
    <hyperlink ref="Z312" r:id="rId309" display="enlace"/>
    <hyperlink ref="Z313" r:id="rId310" display="enlace"/>
    <hyperlink ref="Z314" r:id="rId311" display="enlace"/>
    <hyperlink ref="Z315" r:id="rId312" display="enlace"/>
    <hyperlink ref="Z316" r:id="rId313" display="enlace"/>
    <hyperlink ref="Z317" r:id="rId314" display="enlace"/>
    <hyperlink ref="Z318" r:id="rId315" display="enlace"/>
    <hyperlink ref="Z319" r:id="rId316" display="enlace"/>
    <hyperlink ref="Z320" r:id="rId317" display="enlace"/>
    <hyperlink ref="Z321" r:id="rId318" display="enlace"/>
    <hyperlink ref="Z322" r:id="rId319" display="enlace"/>
    <hyperlink ref="Z323" r:id="rId320" display="enlace"/>
    <hyperlink ref="Z324" r:id="rId321" display="enlace"/>
    <hyperlink ref="Z325" r:id="rId322" display="enlace"/>
    <hyperlink ref="Z326" r:id="rId323" display="enlace"/>
    <hyperlink ref="Z327" r:id="rId324" display="enlace"/>
    <hyperlink ref="Z328" r:id="rId325" display="enlace"/>
    <hyperlink ref="Z329" r:id="rId326" display="enlace"/>
    <hyperlink ref="Z330" r:id="rId327" display="enlace"/>
    <hyperlink ref="Z331" r:id="rId328" display="enlace"/>
    <hyperlink ref="Z332" r:id="rId329" display="enlace"/>
    <hyperlink ref="Z333" r:id="rId330" display="enlace"/>
    <hyperlink ref="Z334" r:id="rId331" display="enlace"/>
    <hyperlink ref="Z335" r:id="rId332" display="enlace"/>
    <hyperlink ref="Z336" r:id="rId333" display="enlace"/>
    <hyperlink ref="Z337" r:id="rId334" display="enlace"/>
    <hyperlink ref="Z338" r:id="rId335" display="enlace"/>
    <hyperlink ref="Z339" r:id="rId336" display="enlace"/>
    <hyperlink ref="Z340" r:id="rId337" display="enlace"/>
    <hyperlink ref="Z341" r:id="rId338" display="enlace"/>
    <hyperlink ref="Z342" r:id="rId339" display="enlace"/>
    <hyperlink ref="Z343" r:id="rId340" display="enlace"/>
    <hyperlink ref="Z344" r:id="rId341" display="enlace"/>
    <hyperlink ref="Z345" r:id="rId342" display="enlace"/>
    <hyperlink ref="Z346" r:id="rId343" display="enlace"/>
    <hyperlink ref="Z347" r:id="rId344" display="enlace"/>
    <hyperlink ref="Z348" r:id="rId345" display="enlace"/>
    <hyperlink ref="Z349" r:id="rId346" display="enlace"/>
    <hyperlink ref="Z350" r:id="rId347" display="enlace"/>
    <hyperlink ref="Z351" r:id="rId348" display="enlace"/>
    <hyperlink ref="Z352" r:id="rId349" display="enlace"/>
    <hyperlink ref="Z353" r:id="rId350" display="enlace"/>
    <hyperlink ref="Z354" r:id="rId351" display="enlace"/>
    <hyperlink ref="Z355" r:id="rId352" display="enlace"/>
    <hyperlink ref="Z356" r:id="rId353" display="enlace"/>
    <hyperlink ref="Z357" r:id="rId354" display="enlace"/>
    <hyperlink ref="Z358" r:id="rId355" display="enlace"/>
    <hyperlink ref="Z359" r:id="rId356" display="enlace"/>
    <hyperlink ref="Z360" r:id="rId357" display="enlace"/>
    <hyperlink ref="Z361" r:id="rId358" display="enlace"/>
    <hyperlink ref="Z362" r:id="rId359" display="enlace"/>
    <hyperlink ref="Z363" r:id="rId360" display="enlace"/>
    <hyperlink ref="Z364" r:id="rId361" display="enlace"/>
    <hyperlink ref="Z365" r:id="rId362" display="enlace"/>
    <hyperlink ref="Z366" r:id="rId363" display="enlace"/>
    <hyperlink ref="Z367" r:id="rId364" display="enlace"/>
    <hyperlink ref="Z368" r:id="rId365" display="enlace"/>
    <hyperlink ref="Z369" r:id="rId366" display="enlace"/>
    <hyperlink ref="Z370" r:id="rId367" display="enlace"/>
    <hyperlink ref="Z371" r:id="rId368" display="enlace"/>
    <hyperlink ref="Z372" r:id="rId369" display="enlace"/>
    <hyperlink ref="Z373" r:id="rId370" display="enlace"/>
    <hyperlink ref="Z374" r:id="rId371" display="enlace"/>
    <hyperlink ref="Z375" r:id="rId372" display="enlace"/>
    <hyperlink ref="Z376" r:id="rId373" display="enlace"/>
    <hyperlink ref="Z377" r:id="rId374" display="enlace"/>
    <hyperlink ref="Z378" r:id="rId375" display="enlace"/>
    <hyperlink ref="Z379" r:id="rId376" display="enlace"/>
    <hyperlink ref="Z380" r:id="rId377" display="enlace"/>
    <hyperlink ref="Z381" r:id="rId378" display="enlace"/>
    <hyperlink ref="Z382" r:id="rId379" display="enlace"/>
    <hyperlink ref="Z383" r:id="rId380" display="enlace"/>
    <hyperlink ref="Z384" r:id="rId381" display="enlace"/>
    <hyperlink ref="Z385" r:id="rId382" display="enlace"/>
    <hyperlink ref="Z386" r:id="rId383" display="enlace"/>
    <hyperlink ref="Z387" r:id="rId384" display="enlace"/>
    <hyperlink ref="Z388" r:id="rId385" display="enlace"/>
    <hyperlink ref="Z389" r:id="rId386" display="enlace"/>
    <hyperlink ref="Z390" r:id="rId387" display="enlace"/>
    <hyperlink ref="Z391" r:id="rId388" display="enlace"/>
    <hyperlink ref="Z392" r:id="rId389" display="enlace"/>
    <hyperlink ref="Z393" r:id="rId390" display="enlace"/>
    <hyperlink ref="Z394" r:id="rId391" display="enlace"/>
    <hyperlink ref="Z395" r:id="rId392" display="enlace"/>
    <hyperlink ref="Z396" r:id="rId393" display="enlace"/>
    <hyperlink ref="Z397" r:id="rId394" display="enlace"/>
    <hyperlink ref="Z398" r:id="rId395" display="enlace"/>
    <hyperlink ref="Z399" r:id="rId396" display="enlace"/>
    <hyperlink ref="Z400" r:id="rId397" display="enlace"/>
    <hyperlink ref="Z401" r:id="rId398" display="enlace"/>
    <hyperlink ref="Z402" r:id="rId399" display="enlace"/>
    <hyperlink ref="Z403" r:id="rId400" display="enlace"/>
    <hyperlink ref="Z404" r:id="rId401" display="enlace"/>
    <hyperlink ref="Z405" r:id="rId402" display="enlace"/>
    <hyperlink ref="Z406" r:id="rId403" display="enlace"/>
    <hyperlink ref="Z407" r:id="rId404" display="enlace"/>
    <hyperlink ref="Z408" r:id="rId405" display="enlace"/>
    <hyperlink ref="Z409" r:id="rId406" display="enlace"/>
    <hyperlink ref="Z410" r:id="rId407" display="enlace"/>
    <hyperlink ref="Z411" r:id="rId408" display="enlace"/>
    <hyperlink ref="Z412" r:id="rId409" display="enlace"/>
    <hyperlink ref="Z413" r:id="rId410" display="enlace"/>
    <hyperlink ref="Z414" r:id="rId411" display="enlace"/>
    <hyperlink ref="Z415" r:id="rId412" display="enlace"/>
    <hyperlink ref="Z416" r:id="rId413" display="enlace"/>
    <hyperlink ref="Z417" r:id="rId414" display="enlace"/>
    <hyperlink ref="Z418" r:id="rId415" display="enlace"/>
    <hyperlink ref="Z419" r:id="rId416" display="enlace"/>
    <hyperlink ref="Z420" r:id="rId417" display="enlace"/>
    <hyperlink ref="Z421" r:id="rId418" display="enlace"/>
    <hyperlink ref="Z422" r:id="rId419" display="enlace"/>
    <hyperlink ref="Z423" r:id="rId420" display="enlace"/>
    <hyperlink ref="Z424" r:id="rId421" display="enlace"/>
    <hyperlink ref="Z425" r:id="rId422" display="enlace"/>
    <hyperlink ref="Z426" r:id="rId423" display="enlace"/>
    <hyperlink ref="Z427" r:id="rId424" display="enlace"/>
    <hyperlink ref="Z428" r:id="rId425" display="enlace"/>
    <hyperlink ref="Z429" r:id="rId426" display="enlace"/>
    <hyperlink ref="Z430" r:id="rId427" display="enlace"/>
    <hyperlink ref="Z431" r:id="rId428" display="enlace"/>
    <hyperlink ref="Z432" r:id="rId429" display="enlace"/>
    <hyperlink ref="Z433" r:id="rId430" display="enlace"/>
    <hyperlink ref="Z434" r:id="rId431" display="enlace"/>
    <hyperlink ref="Z435" r:id="rId432" display="enlace"/>
    <hyperlink ref="Z436" r:id="rId433" display="enlace"/>
    <hyperlink ref="Z437" r:id="rId434" display="enlace"/>
    <hyperlink ref="Z438" r:id="rId435" display="enlace"/>
    <hyperlink ref="Z439" r:id="rId436" display="enlace"/>
    <hyperlink ref="Z440" r:id="rId437" display="enlace"/>
    <hyperlink ref="Z441" r:id="rId438" display="enlace"/>
    <hyperlink ref="Z442" r:id="rId439" display="enlace"/>
    <hyperlink ref="Z443" r:id="rId440" display="enlace"/>
    <hyperlink ref="Z444" r:id="rId441" display="enlace"/>
    <hyperlink ref="Z445" r:id="rId442" display="enlace"/>
    <hyperlink ref="Z446" r:id="rId443" display="enlace"/>
    <hyperlink ref="Z447" r:id="rId444" display="enlace"/>
    <hyperlink ref="Z448" r:id="rId445" display="enlace"/>
    <hyperlink ref="Z449" r:id="rId446" display="enlace"/>
    <hyperlink ref="Z450" r:id="rId447" display="enlace"/>
    <hyperlink ref="Z451" r:id="rId448" display="enlace"/>
    <hyperlink ref="Z452" r:id="rId449" display="enlace"/>
    <hyperlink ref="Z453" r:id="rId450" display="enlace"/>
    <hyperlink ref="Z454" r:id="rId451" display="enlace"/>
    <hyperlink ref="Z455" r:id="rId452" display="enlace"/>
    <hyperlink ref="Z456" r:id="rId453" display="enlace"/>
    <hyperlink ref="Z457" r:id="rId454" display="enlace"/>
    <hyperlink ref="Z458" r:id="rId455" display="enlace"/>
    <hyperlink ref="Z459" r:id="rId456" display="enlace"/>
    <hyperlink ref="Z460" r:id="rId457" display="enlace"/>
    <hyperlink ref="Z461" r:id="rId458" display="enlace"/>
    <hyperlink ref="Z462" r:id="rId459" display="enlace"/>
    <hyperlink ref="Z463" r:id="rId460" display="enlace"/>
    <hyperlink ref="Z464" r:id="rId461" display="enlace"/>
    <hyperlink ref="Z465" r:id="rId462" display="enlace"/>
    <hyperlink ref="Z466" r:id="rId463" display="enlace"/>
    <hyperlink ref="Z467" r:id="rId464" display="enlace"/>
    <hyperlink ref="Z468" r:id="rId465" display="enlace"/>
    <hyperlink ref="Z469" r:id="rId466" display="enlace"/>
    <hyperlink ref="Z470" r:id="rId467" display="enlace"/>
    <hyperlink ref="Z471" r:id="rId468" display="enlace"/>
    <hyperlink ref="Z472" r:id="rId469" display="enlace"/>
    <hyperlink ref="Z473" r:id="rId470" display="enlace"/>
    <hyperlink ref="Z474" r:id="rId471" display="enlace"/>
    <hyperlink ref="Z475" r:id="rId472" display="enlace"/>
    <hyperlink ref="Z476" r:id="rId473" display="enlace"/>
    <hyperlink ref="Z477" r:id="rId474" display="enlace"/>
    <hyperlink ref="Z478" r:id="rId475" display="enlace"/>
    <hyperlink ref="Z479" r:id="rId476" display="enlace"/>
    <hyperlink ref="Z480" r:id="rId477" display="enlace"/>
    <hyperlink ref="Z481" r:id="rId478" display="enlace"/>
    <hyperlink ref="Z482" r:id="rId479" display="enlace"/>
    <hyperlink ref="Z483" r:id="rId480" display="enlace"/>
    <hyperlink ref="Z484" r:id="rId481" display="enlace"/>
    <hyperlink ref="Z485" r:id="rId482" display="enlace"/>
    <hyperlink ref="Z486" r:id="rId483" display="enlace"/>
    <hyperlink ref="Z487" r:id="rId484" display="enlace"/>
    <hyperlink ref="Z488" r:id="rId485" display="enlace"/>
    <hyperlink ref="Z489" r:id="rId486" display="enlace"/>
    <hyperlink ref="Z490" r:id="rId487" display="enlace"/>
    <hyperlink ref="Z491" r:id="rId488" display="enlace"/>
    <hyperlink ref="Z492" r:id="rId489" display="enlace"/>
    <hyperlink ref="Z493" r:id="rId490" display="enlace"/>
    <hyperlink ref="Z494" r:id="rId491" display="enlace"/>
    <hyperlink ref="Z495" r:id="rId492" display="enlace"/>
    <hyperlink ref="Z496" r:id="rId493" display="enlace"/>
    <hyperlink ref="Z497" r:id="rId494" display="enlace"/>
    <hyperlink ref="Z498" r:id="rId495" display="enlace"/>
    <hyperlink ref="Z499" r:id="rId496" display="enlace"/>
    <hyperlink ref="Z500" r:id="rId497" display="enlace"/>
    <hyperlink ref="Z501" r:id="rId498" display="enlace"/>
    <hyperlink ref="Z502" r:id="rId499" display="enlace"/>
    <hyperlink ref="Z503" r:id="rId500" display="enlace"/>
    <hyperlink ref="Z504" r:id="rId501" display="enlace"/>
    <hyperlink ref="Z505" r:id="rId502" display="enlace"/>
    <hyperlink ref="Z506" r:id="rId503" display="enlace"/>
    <hyperlink ref="Z507" r:id="rId504" display="enlace"/>
    <hyperlink ref="Z508" r:id="rId505" display="enlace"/>
    <hyperlink ref="Z509" r:id="rId506" display="enlace"/>
    <hyperlink ref="Z510" r:id="rId507" display="enlace"/>
    <hyperlink ref="Z511" r:id="rId508" display="enlace"/>
    <hyperlink ref="Z512" r:id="rId509" display="enlace"/>
    <hyperlink ref="Z513" r:id="rId510" display="enlace"/>
    <hyperlink ref="Z514" r:id="rId511" display="enlace"/>
    <hyperlink ref="Z515" r:id="rId512" display="enlace"/>
    <hyperlink ref="Z516" r:id="rId513" display="enlace"/>
    <hyperlink ref="Z517" r:id="rId514" display="enlace"/>
    <hyperlink ref="Z518" r:id="rId515" display="enlace"/>
    <hyperlink ref="Z519" r:id="rId516" display="enlace"/>
    <hyperlink ref="Z520" r:id="rId517" display="enlace"/>
    <hyperlink ref="Z521" r:id="rId518" display="enlace"/>
    <hyperlink ref="Z522" r:id="rId519" display="enlace"/>
    <hyperlink ref="Z523" r:id="rId520" display="enlace"/>
    <hyperlink ref="Z524" r:id="rId521" display="enlace"/>
    <hyperlink ref="Z525" r:id="rId522" display="enlace"/>
    <hyperlink ref="Z526" r:id="rId523" display="enlace"/>
    <hyperlink ref="Z527" r:id="rId524" display="enlace"/>
    <hyperlink ref="Z528" r:id="rId525" display="enlace"/>
    <hyperlink ref="Z529" r:id="rId526" display="enlace"/>
    <hyperlink ref="Z530" r:id="rId527" display="enlace"/>
    <hyperlink ref="Z531" r:id="rId528" display="enlace"/>
    <hyperlink ref="Z532" r:id="rId529" display="enlace"/>
    <hyperlink ref="Z533" r:id="rId530" display="enlace"/>
    <hyperlink ref="Z534" r:id="rId531" display="enlace"/>
    <hyperlink ref="Z535" r:id="rId532" display="enlace"/>
    <hyperlink ref="Z536" r:id="rId533" display="enlace"/>
    <hyperlink ref="Z537" r:id="rId534" display="enlace"/>
    <hyperlink ref="Z538" r:id="rId535" display="enlace"/>
    <hyperlink ref="Z539" r:id="rId536" display="enlace"/>
    <hyperlink ref="Z540" r:id="rId537" display="enlace"/>
    <hyperlink ref="Z541" r:id="rId538" display="enlace"/>
    <hyperlink ref="Z542" r:id="rId539" display="enlace"/>
    <hyperlink ref="Z543" r:id="rId540" display="enlace"/>
    <hyperlink ref="Z544" r:id="rId541" display="enlace"/>
    <hyperlink ref="Z545" r:id="rId542" display="enlace"/>
    <hyperlink ref="Z546" r:id="rId543" display="enlace"/>
    <hyperlink ref="Z547" r:id="rId544" display="enlace"/>
    <hyperlink ref="Z548" r:id="rId545" display="enlace"/>
    <hyperlink ref="Z549" r:id="rId546" display="enlace"/>
    <hyperlink ref="Z550" r:id="rId547" display="enlace"/>
    <hyperlink ref="Z551" r:id="rId548" display="enlace"/>
    <hyperlink ref="Z552" r:id="rId549" display="enlace"/>
    <hyperlink ref="Z553" r:id="rId550" display="enlace"/>
    <hyperlink ref="Z554" r:id="rId551" display="enlace"/>
    <hyperlink ref="Z555" r:id="rId552" display="enlace"/>
    <hyperlink ref="Z556" r:id="rId553" display="enlace"/>
    <hyperlink ref="Z557" r:id="rId554" display="enlace"/>
    <hyperlink ref="Z558" r:id="rId555" display="enlace"/>
    <hyperlink ref="Z559" r:id="rId556" display="enlace"/>
    <hyperlink ref="Z560" r:id="rId557" display="enlace"/>
    <hyperlink ref="Z561" r:id="rId558" display="enlace"/>
    <hyperlink ref="Z562" r:id="rId559" display="enlace"/>
    <hyperlink ref="Z563" r:id="rId560" display="enlace"/>
    <hyperlink ref="Z564" r:id="rId561" display="enlace"/>
    <hyperlink ref="Z565" r:id="rId562" display="enlace"/>
    <hyperlink ref="Z566" r:id="rId563" display="enlace"/>
    <hyperlink ref="Z567" r:id="rId564" display="enlace"/>
    <hyperlink ref="Z568" r:id="rId565" display="enlace"/>
    <hyperlink ref="Z569" r:id="rId566" display="enlace"/>
    <hyperlink ref="Z570" r:id="rId567" display="enlace"/>
    <hyperlink ref="Z571" r:id="rId568" display="enlace"/>
    <hyperlink ref="Z572" r:id="rId569" display="enlace"/>
    <hyperlink ref="Z573" r:id="rId570" display="enlace"/>
    <hyperlink ref="Z574" r:id="rId571" display="enlace"/>
    <hyperlink ref="Z575" r:id="rId572" display="enlace"/>
    <hyperlink ref="Z576" r:id="rId573" display="enlace"/>
    <hyperlink ref="Z577" r:id="rId574" display="enlace"/>
    <hyperlink ref="Z578" r:id="rId575" display="enlace"/>
    <hyperlink ref="Z579" r:id="rId576" display="enlace"/>
    <hyperlink ref="Z580" r:id="rId577" display="enlace"/>
    <hyperlink ref="Z581" r:id="rId578" display="enlace"/>
    <hyperlink ref="Z582" r:id="rId579" display="enlace"/>
    <hyperlink ref="Z583" r:id="rId580" display="enlace"/>
    <hyperlink ref="Z584" r:id="rId581" display="enlace"/>
    <hyperlink ref="Z585" r:id="rId582" display="enlace"/>
    <hyperlink ref="Z586" r:id="rId583" display="enlace"/>
    <hyperlink ref="Z587" r:id="rId584" display="enlace"/>
    <hyperlink ref="Z588" r:id="rId585" display="enlace"/>
    <hyperlink ref="Z589" r:id="rId586" display="enlace"/>
    <hyperlink ref="Z590" r:id="rId587" display="enlace"/>
    <hyperlink ref="Z591" r:id="rId588" display="enlace"/>
    <hyperlink ref="Z592" r:id="rId589" display="enlace"/>
    <hyperlink ref="Z593" r:id="rId590" display="enlace"/>
    <hyperlink ref="Z594" r:id="rId591" display="enlace"/>
    <hyperlink ref="Z595" r:id="rId592" display="enlace"/>
    <hyperlink ref="Z596" r:id="rId593" display="enlace"/>
    <hyperlink ref="Z597" r:id="rId594" display="enlace"/>
    <hyperlink ref="Z598" r:id="rId595" display="enlace"/>
    <hyperlink ref="Z599" r:id="rId596" display="enlace"/>
    <hyperlink ref="Z600" r:id="rId597" display="enlace"/>
    <hyperlink ref="Z601" r:id="rId598" display="enlace"/>
    <hyperlink ref="Z602" r:id="rId599" display="enlace"/>
    <hyperlink ref="Z603" r:id="rId600" display="enlace"/>
    <hyperlink ref="Z604" r:id="rId601" display="enlace"/>
    <hyperlink ref="Z605" r:id="rId602" display="enlace"/>
    <hyperlink ref="Z606" r:id="rId603" display="enlace"/>
    <hyperlink ref="Z607" r:id="rId604" display="enlace"/>
    <hyperlink ref="Z608" r:id="rId605" display="enlace"/>
    <hyperlink ref="Z609" r:id="rId606" display="enlace"/>
    <hyperlink ref="Z610" r:id="rId607" display="enlace"/>
    <hyperlink ref="Z611" r:id="rId608" display="enlace"/>
    <hyperlink ref="Z612" r:id="rId609" display="enlace"/>
    <hyperlink ref="Z613" r:id="rId610" display="enlace"/>
    <hyperlink ref="Z614" r:id="rId611" display="enlace"/>
    <hyperlink ref="Z615" r:id="rId612" display="enlace"/>
    <hyperlink ref="Z616" r:id="rId613" display="enlace"/>
    <hyperlink ref="Z617" r:id="rId614" display="enlace"/>
    <hyperlink ref="Z618" r:id="rId615" display="enlace"/>
    <hyperlink ref="Z619" r:id="rId616" display="enlace"/>
    <hyperlink ref="Z620" r:id="rId617" display="enlace"/>
    <hyperlink ref="Z621" r:id="rId618" display="enlace"/>
    <hyperlink ref="Z622" r:id="rId619" display="enlace"/>
    <hyperlink ref="Z623" r:id="rId620" display="enlace"/>
    <hyperlink ref="Z624" r:id="rId621" display="enlace"/>
    <hyperlink ref="Z625" r:id="rId622" display="enlace"/>
    <hyperlink ref="Z626" r:id="rId623" display="enlace"/>
    <hyperlink ref="Z627" r:id="rId624" display="enlace"/>
    <hyperlink ref="Z628" r:id="rId625" display="enlace"/>
    <hyperlink ref="Z629" r:id="rId626" display="enlace"/>
    <hyperlink ref="Z630" r:id="rId627" display="enlace"/>
    <hyperlink ref="Z631" r:id="rId628" display="enlace"/>
    <hyperlink ref="Z632" r:id="rId629" display="enlace"/>
    <hyperlink ref="Z633" r:id="rId630" display="enlace"/>
    <hyperlink ref="Z634" r:id="rId631" display="enlace"/>
    <hyperlink ref="Z635" r:id="rId632" display="enlace"/>
    <hyperlink ref="Z636" r:id="rId633" display="enlace"/>
    <hyperlink ref="Z637" r:id="rId634" display="enlace"/>
    <hyperlink ref="Z638" r:id="rId635" display="enlace"/>
    <hyperlink ref="Z639" r:id="rId636" display="enlace"/>
    <hyperlink ref="Z640" r:id="rId637" display="enlace"/>
    <hyperlink ref="Z641" r:id="rId638" display="enlace"/>
    <hyperlink ref="Z642" r:id="rId639" display="enlace"/>
    <hyperlink ref="Z643" r:id="rId640" display="enlace"/>
    <hyperlink ref="Z644" r:id="rId641" display="enlace"/>
    <hyperlink ref="Z645" r:id="rId642" display="enlace"/>
    <hyperlink ref="Z646" r:id="rId643" display="enlace"/>
    <hyperlink ref="Z647" r:id="rId644" display="enlace"/>
    <hyperlink ref="Z648" r:id="rId645" display="enlace"/>
    <hyperlink ref="Z649" r:id="rId646" display="enlace"/>
    <hyperlink ref="Z650" r:id="rId647" display="enlace"/>
    <hyperlink ref="Z651" r:id="rId648" display="enlace"/>
    <hyperlink ref="Z652" r:id="rId649" display="enlace"/>
    <hyperlink ref="Z653" r:id="rId650" display="enlace"/>
    <hyperlink ref="Z654" r:id="rId651" display="enlace"/>
    <hyperlink ref="Z655" r:id="rId652" display="enlace"/>
    <hyperlink ref="Z656" r:id="rId653" display="enlace"/>
    <hyperlink ref="Z657" r:id="rId654" display="enlace"/>
    <hyperlink ref="Z658" r:id="rId655" display="enlace"/>
    <hyperlink ref="Z659" r:id="rId656" display="enlace"/>
    <hyperlink ref="Z660" r:id="rId657" display="enlace"/>
    <hyperlink ref="Z661" r:id="rId658" display="enlace"/>
    <hyperlink ref="Z662" r:id="rId659" display="enlace"/>
    <hyperlink ref="Z663" r:id="rId660" display="enlace"/>
    <hyperlink ref="Z664" r:id="rId661" display="enlace"/>
    <hyperlink ref="Z665" r:id="rId662" display="enlace"/>
    <hyperlink ref="Z666" r:id="rId663" display="enlace"/>
    <hyperlink ref="Z667" r:id="rId664" display="enlace"/>
    <hyperlink ref="Z668" r:id="rId665" display="enlace"/>
    <hyperlink ref="Z669" r:id="rId666" display="enlace"/>
    <hyperlink ref="Z670" r:id="rId667" display="enlace"/>
    <hyperlink ref="Z671" r:id="rId668" display="enlace"/>
    <hyperlink ref="Z672" r:id="rId669" display="enlace"/>
    <hyperlink ref="Z673" r:id="rId670" display="enlace"/>
    <hyperlink ref="Z674" r:id="rId671" display="enlace"/>
    <hyperlink ref="Z675" r:id="rId672" display="enlace"/>
    <hyperlink ref="Z676" r:id="rId673" display="enlace"/>
    <hyperlink ref="Z677" r:id="rId674" display="enlace"/>
    <hyperlink ref="Z678" r:id="rId675" display="enlace"/>
    <hyperlink ref="Z679" r:id="rId676" display="enlace"/>
    <hyperlink ref="Z680" r:id="rId677" display="enlace"/>
    <hyperlink ref="Z681" r:id="rId678" display="enlace"/>
    <hyperlink ref="Z682" r:id="rId679" display="enlace"/>
    <hyperlink ref="Z683" r:id="rId680" display="enlace"/>
    <hyperlink ref="Z684" r:id="rId681" display="enlace"/>
    <hyperlink ref="Z685" r:id="rId682" display="enlace"/>
    <hyperlink ref="Z686" r:id="rId683" display="enlace"/>
    <hyperlink ref="Z687" r:id="rId684" display="enlace"/>
    <hyperlink ref="Z688" r:id="rId685" display="enlace"/>
    <hyperlink ref="Z689" r:id="rId686" display="enlace"/>
    <hyperlink ref="Z690" r:id="rId687" display="enlace"/>
    <hyperlink ref="Z691" r:id="rId688" display="enlace"/>
    <hyperlink ref="Z692" r:id="rId689" display="enlace"/>
    <hyperlink ref="Z693" r:id="rId690" display="enlace"/>
    <hyperlink ref="Z694" r:id="rId691" display="enlace"/>
    <hyperlink ref="Z695" r:id="rId692" display="enlace"/>
    <hyperlink ref="Z696" r:id="rId693" display="enlace"/>
    <hyperlink ref="Z697" r:id="rId694" display="enlace"/>
    <hyperlink ref="Z698" r:id="rId695" display="enlace"/>
    <hyperlink ref="Z699" r:id="rId696" display="enlace"/>
    <hyperlink ref="Z700" r:id="rId697" display="enlace"/>
    <hyperlink ref="Z701" r:id="rId698" display="enlace"/>
    <hyperlink ref="Z702" r:id="rId699" display="enlace"/>
    <hyperlink ref="Z703" r:id="rId700" display="enlace"/>
    <hyperlink ref="Z704" r:id="rId701" display="enlace"/>
    <hyperlink ref="Z705" r:id="rId702" display="enlace"/>
    <hyperlink ref="Z706" r:id="rId703" display="enlace"/>
    <hyperlink ref="Z707" r:id="rId704" display="enlace"/>
    <hyperlink ref="Z708" r:id="rId705" display="enlace"/>
    <hyperlink ref="Z709" r:id="rId706" display="enlace"/>
    <hyperlink ref="Z710" r:id="rId707" display="enlace"/>
    <hyperlink ref="Z711" r:id="rId708" display="enlace"/>
    <hyperlink ref="Z712" r:id="rId709" display="enlace"/>
    <hyperlink ref="Z713" r:id="rId710" display="enlace"/>
    <hyperlink ref="Z714" r:id="rId711" display="enlace"/>
    <hyperlink ref="Z715" r:id="rId712" display="enlace"/>
    <hyperlink ref="Z716" r:id="rId713" display="enlace"/>
    <hyperlink ref="Z717" r:id="rId714" display="enlace"/>
    <hyperlink ref="Z718" r:id="rId715" display="enlace"/>
    <hyperlink ref="Z719" r:id="rId716" display="enlace"/>
    <hyperlink ref="Z720" r:id="rId717" display="enlace"/>
    <hyperlink ref="Z721" r:id="rId718" display="enlace"/>
    <hyperlink ref="Z722" r:id="rId719" display="enlace"/>
    <hyperlink ref="Z723" r:id="rId720" display="enlace"/>
    <hyperlink ref="Z724" r:id="rId721" display="enlace"/>
    <hyperlink ref="Z725" r:id="rId722" display="enlace"/>
    <hyperlink ref="Z726" r:id="rId723" display="enlace"/>
    <hyperlink ref="Z727" r:id="rId724" display="enlace"/>
    <hyperlink ref="Z728" r:id="rId725" display="enlace"/>
    <hyperlink ref="Z729" r:id="rId726" display="enlace"/>
    <hyperlink ref="Z730" r:id="rId727" display="enlace"/>
    <hyperlink ref="Z731" r:id="rId728" display="enlace"/>
    <hyperlink ref="Z732" r:id="rId729" display="enlace"/>
    <hyperlink ref="Z733" r:id="rId730" display="enlace"/>
    <hyperlink ref="Z734" r:id="rId731" display="enlace"/>
    <hyperlink ref="Z735" r:id="rId732" display="enlace"/>
    <hyperlink ref="Z736" r:id="rId733" display="enlace"/>
    <hyperlink ref="Z737" r:id="rId734" display="enlace"/>
    <hyperlink ref="Z738" r:id="rId735" display="enlace"/>
    <hyperlink ref="Z739" r:id="rId736" display="enlace"/>
    <hyperlink ref="Z740" r:id="rId737" display="enlace"/>
    <hyperlink ref="Z741" r:id="rId738" display="enlace"/>
    <hyperlink ref="Z742" r:id="rId739" display="enlace"/>
    <hyperlink ref="Z743" r:id="rId740" display="enlace"/>
    <hyperlink ref="Z744" r:id="rId741" display="enlace"/>
    <hyperlink ref="Z745" r:id="rId742" display="enlace"/>
    <hyperlink ref="Z746" r:id="rId743" display="enlace"/>
    <hyperlink ref="Z747" r:id="rId744" display="enlace"/>
    <hyperlink ref="Z748" r:id="rId745" display="enlace"/>
    <hyperlink ref="Z749" r:id="rId746" display="enlace"/>
    <hyperlink ref="Z750" r:id="rId747" display="enlace"/>
    <hyperlink ref="Z751" r:id="rId748" display="enlace"/>
    <hyperlink ref="Z752" r:id="rId749" display="enlace"/>
    <hyperlink ref="Z753" r:id="rId750" display="enlace"/>
    <hyperlink ref="Z754" r:id="rId751" display="enlace"/>
    <hyperlink ref="Z755" r:id="rId752" display="enlace"/>
    <hyperlink ref="Z756" r:id="rId753" display="enlace"/>
    <hyperlink ref="Z757" r:id="rId754" display="enlace"/>
    <hyperlink ref="Z758" r:id="rId755" display="enlace"/>
    <hyperlink ref="Z759" r:id="rId756" display="enlace"/>
    <hyperlink ref="Z760" r:id="rId757" display="enlace"/>
    <hyperlink ref="Z761" r:id="rId758" display="enlace"/>
    <hyperlink ref="Z762" r:id="rId759" display="enlace"/>
    <hyperlink ref="Z763" r:id="rId760" display="enlace"/>
    <hyperlink ref="Z764" r:id="rId761" display="enlace"/>
    <hyperlink ref="Z765" r:id="rId762" display="enlace"/>
    <hyperlink ref="Z766" r:id="rId763" display="enlace"/>
    <hyperlink ref="Z767" r:id="rId764" display="enlace"/>
    <hyperlink ref="Z768" r:id="rId765" display="enlace"/>
    <hyperlink ref="Z769" r:id="rId766" display="enlace"/>
    <hyperlink ref="Z770" r:id="rId767" display="enlace"/>
    <hyperlink ref="Z771" r:id="rId768" display="enlace"/>
    <hyperlink ref="Z772" r:id="rId769" display="enlace"/>
    <hyperlink ref="Z773" r:id="rId770" display="enlace"/>
    <hyperlink ref="Z774" r:id="rId771" display="enlace"/>
    <hyperlink ref="Z775" r:id="rId772" display="enlace"/>
    <hyperlink ref="Z776" r:id="rId773" display="enlace"/>
    <hyperlink ref="Z777" r:id="rId774" display="enlace"/>
    <hyperlink ref="Z778" r:id="rId775" display="enlace"/>
    <hyperlink ref="Z779" r:id="rId776" display="enlace"/>
    <hyperlink ref="Z780" r:id="rId777" display="enlace"/>
    <hyperlink ref="Z781" r:id="rId778" display="enlace"/>
    <hyperlink ref="Z782" r:id="rId779" display="enlace"/>
    <hyperlink ref="Z783" r:id="rId780" display="enlace"/>
    <hyperlink ref="Z784" r:id="rId781" display="enlace"/>
    <hyperlink ref="Z785" r:id="rId782" display="enlace"/>
    <hyperlink ref="Z786" r:id="rId783" display="enlace"/>
    <hyperlink ref="Z787" r:id="rId784" display="enlace"/>
    <hyperlink ref="Z788" r:id="rId785" display="enlace"/>
    <hyperlink ref="Z789" r:id="rId786" display="enlace"/>
    <hyperlink ref="Z790" r:id="rId787" display="enlace"/>
    <hyperlink ref="Z791" r:id="rId788" display="enlace"/>
    <hyperlink ref="Z792" r:id="rId789" display="enlace"/>
    <hyperlink ref="Z793" r:id="rId790" display="enlace"/>
    <hyperlink ref="Z794" r:id="rId791" display="enlace"/>
    <hyperlink ref="Z795" r:id="rId792" display="enlace"/>
    <hyperlink ref="Z796" r:id="rId793" display="enlace"/>
    <hyperlink ref="Z797" r:id="rId794" display="enlace"/>
    <hyperlink ref="Z798" r:id="rId795" display="enlace"/>
    <hyperlink ref="Z799" r:id="rId796" display="enlace"/>
    <hyperlink ref="Z800" r:id="rId797" display="enlace"/>
    <hyperlink ref="Z801" r:id="rId798" display="enlace"/>
    <hyperlink ref="Z802" r:id="rId799" display="enlace"/>
    <hyperlink ref="Z803" r:id="rId800" display="enlace"/>
    <hyperlink ref="Z804" r:id="rId801" display="enlace"/>
    <hyperlink ref="Z805" r:id="rId802" display="enlace"/>
    <hyperlink ref="Z806" r:id="rId803" display="enlace"/>
    <hyperlink ref="Z807" r:id="rId804" display="enlace"/>
    <hyperlink ref="Z808" r:id="rId805" display="enlace"/>
    <hyperlink ref="Z809" r:id="rId806" display="enlace"/>
    <hyperlink ref="Z810" r:id="rId807" display="enlace"/>
    <hyperlink ref="Z811" r:id="rId808" display="enlace"/>
    <hyperlink ref="Z812" r:id="rId809" display="enlace"/>
    <hyperlink ref="Z813" r:id="rId810" display="enlace"/>
    <hyperlink ref="Z814" r:id="rId811" display="enlace"/>
    <hyperlink ref="Z815" r:id="rId812" display="enlace"/>
    <hyperlink ref="Z816" r:id="rId813" display="enlace"/>
    <hyperlink ref="Z817" r:id="rId814" display="enlace"/>
    <hyperlink ref="Z818" r:id="rId815" display="enlace"/>
    <hyperlink ref="Z819" r:id="rId816" display="enlace"/>
    <hyperlink ref="Z820" r:id="rId817" display="enlace"/>
    <hyperlink ref="Z821" r:id="rId818" display="enlace"/>
    <hyperlink ref="Z822" r:id="rId819" display="enlace"/>
    <hyperlink ref="Z823" r:id="rId820" display="enlace"/>
    <hyperlink ref="Z824" r:id="rId821" display="enlace"/>
    <hyperlink ref="Z825" r:id="rId822" display="enlace"/>
    <hyperlink ref="Z826" r:id="rId823" display="enlace"/>
    <hyperlink ref="Z827" r:id="rId824" display="enlace"/>
    <hyperlink ref="Z828" r:id="rId825" display="enlace"/>
    <hyperlink ref="Z829" r:id="rId826" display="enlace"/>
    <hyperlink ref="Z830" r:id="rId827" display="enlace"/>
    <hyperlink ref="Z831" r:id="rId828" display="enlace"/>
    <hyperlink ref="Z832" r:id="rId829" display="enlace"/>
    <hyperlink ref="Z833" r:id="rId830" display="enlace"/>
    <hyperlink ref="Z834" r:id="rId831" display="enlace"/>
    <hyperlink ref="Z835" r:id="rId832" display="enlace"/>
    <hyperlink ref="Z836" r:id="rId833" display="enlace"/>
    <hyperlink ref="Z837" r:id="rId834" display="enlace"/>
    <hyperlink ref="Z838" r:id="rId835" display="enlace"/>
    <hyperlink ref="Z839" r:id="rId836" display="enlace"/>
    <hyperlink ref="Z840" r:id="rId837" display="enlace"/>
    <hyperlink ref="Z841" r:id="rId838" display="enlace"/>
    <hyperlink ref="Z842" r:id="rId839" display="enlace"/>
    <hyperlink ref="Z843" r:id="rId840" display="enlace"/>
    <hyperlink ref="Z844" r:id="rId841" display="enlace"/>
    <hyperlink ref="Z845" r:id="rId842" display="enlace"/>
    <hyperlink ref="Z846" r:id="rId843" display="enlace"/>
    <hyperlink ref="Z847" r:id="rId844" display="enlace"/>
    <hyperlink ref="Z848" r:id="rId845" display="enlace"/>
    <hyperlink ref="Z849" r:id="rId846" display="enlace"/>
    <hyperlink ref="Z850" r:id="rId847" display="enlace"/>
    <hyperlink ref="Z851" r:id="rId848" display="enlace"/>
    <hyperlink ref="Z852" r:id="rId849" display="enlace"/>
    <hyperlink ref="Z853" r:id="rId850" display="enlace"/>
    <hyperlink ref="Z854" r:id="rId851" display="enlace"/>
    <hyperlink ref="Z855" r:id="rId852" display="enlace"/>
    <hyperlink ref="Z856" r:id="rId853" display="enlace"/>
    <hyperlink ref="Z857" r:id="rId854" display="enlace"/>
    <hyperlink ref="Z858" r:id="rId855" display="enlace"/>
    <hyperlink ref="Z859" r:id="rId856" display="enlace"/>
    <hyperlink ref="Z860" r:id="rId857" display="enlace"/>
    <hyperlink ref="Z861" r:id="rId858" display="enlace"/>
    <hyperlink ref="Z862" r:id="rId859" display="enlace"/>
    <hyperlink ref="Z863" r:id="rId860" display="enlace"/>
    <hyperlink ref="Z864" r:id="rId861" display="enlace"/>
    <hyperlink ref="Z865" r:id="rId862" display="enlace"/>
    <hyperlink ref="Z866" r:id="rId863" display="enlace"/>
    <hyperlink ref="Z867" r:id="rId864" display="enlace"/>
    <hyperlink ref="Z868" r:id="rId865" display="enlace"/>
    <hyperlink ref="Z869" r:id="rId866" display="enlace"/>
    <hyperlink ref="Z870" r:id="rId867" display="enlace"/>
    <hyperlink ref="Z871" r:id="rId868" display="enlace"/>
    <hyperlink ref="Z872" r:id="rId869" display="enlace"/>
    <hyperlink ref="Z873" r:id="rId870" display="enlace"/>
    <hyperlink ref="Z874" r:id="rId871" display="enlace"/>
    <hyperlink ref="Z875" r:id="rId872" display="enlace"/>
    <hyperlink ref="Z876" r:id="rId873" display="enlace"/>
    <hyperlink ref="Z877" r:id="rId874" display="enlace"/>
    <hyperlink ref="Z878" r:id="rId875" display="enlace"/>
    <hyperlink ref="Z879" r:id="rId876" display="enlace"/>
    <hyperlink ref="Z880" r:id="rId877" display="enlace"/>
    <hyperlink ref="Z881" r:id="rId878" display="enlace"/>
    <hyperlink ref="Z882" r:id="rId879" display="enlace"/>
    <hyperlink ref="Z883" r:id="rId880" display="enlace"/>
    <hyperlink ref="Z884" r:id="rId881" display="enlace"/>
    <hyperlink ref="Z885" r:id="rId882" display="enlace"/>
    <hyperlink ref="Z886" r:id="rId883" display="enlace"/>
    <hyperlink ref="Z887" r:id="rId884" display="enlace"/>
    <hyperlink ref="Z888" r:id="rId885" display="enlace"/>
    <hyperlink ref="Z889" r:id="rId886" display="enlace"/>
    <hyperlink ref="Z890" r:id="rId887" display="enlace"/>
    <hyperlink ref="Z891" r:id="rId888" display="enlace"/>
    <hyperlink ref="Z892" r:id="rId889" display="enlace"/>
    <hyperlink ref="Z893" r:id="rId890" display="enlace"/>
    <hyperlink ref="Z894" r:id="rId891" display="enlace"/>
    <hyperlink ref="Z895" r:id="rId892" display="enlace"/>
    <hyperlink ref="Z896" r:id="rId893" display="enlace"/>
    <hyperlink ref="Z897" r:id="rId894" display="enlace"/>
    <hyperlink ref="Z898" r:id="rId895" display="enlace"/>
    <hyperlink ref="Z899" r:id="rId896" display="enlace"/>
    <hyperlink ref="Z900" r:id="rId897" display="enlace"/>
    <hyperlink ref="Z901" r:id="rId898" display="enlace"/>
    <hyperlink ref="Z902" r:id="rId899" display="enlace"/>
    <hyperlink ref="Z903" r:id="rId900" display="enlace"/>
    <hyperlink ref="Z904" r:id="rId901" display="enlace"/>
    <hyperlink ref="Z905" r:id="rId902" display="enlace"/>
    <hyperlink ref="Z906" r:id="rId903" display="enlace"/>
    <hyperlink ref="Z907" r:id="rId904" display="enlace"/>
    <hyperlink ref="Z908" r:id="rId905" display="enlace"/>
    <hyperlink ref="Z909" r:id="rId906" display="enlace"/>
    <hyperlink ref="Z910" r:id="rId907" display="enlace"/>
    <hyperlink ref="Z911" r:id="rId908" display="enlace"/>
    <hyperlink ref="Z912" r:id="rId909" display="enlace"/>
    <hyperlink ref="Z913" r:id="rId910" display="enlace"/>
    <hyperlink ref="Z914" r:id="rId911" display="enlace"/>
    <hyperlink ref="Z915" r:id="rId912" display="enlace"/>
    <hyperlink ref="Z916" r:id="rId913" display="enlace"/>
    <hyperlink ref="Z917" r:id="rId914" display="enlace"/>
    <hyperlink ref="Z918" r:id="rId915" display="enlace"/>
    <hyperlink ref="Z919" r:id="rId916" display="enlace"/>
    <hyperlink ref="Z920" r:id="rId917" display="enlace"/>
    <hyperlink ref="Z921" r:id="rId918" display="enlace"/>
    <hyperlink ref="Z922" r:id="rId919" display="enlace"/>
    <hyperlink ref="Z923" r:id="rId920" display="enlace"/>
    <hyperlink ref="Z924" r:id="rId921" display="enlace"/>
    <hyperlink ref="Z925" r:id="rId922" display="enlace"/>
    <hyperlink ref="Z926" r:id="rId923" display="enlace"/>
    <hyperlink ref="Z927" r:id="rId924" display="enlace"/>
    <hyperlink ref="Z928" r:id="rId925" display="enlace"/>
    <hyperlink ref="Z929" r:id="rId926" display="enlace"/>
    <hyperlink ref="Z930" r:id="rId927" display="enlace"/>
    <hyperlink ref="Z931" r:id="rId928" display="enlace"/>
    <hyperlink ref="Z932" r:id="rId929" display="enlace"/>
    <hyperlink ref="Z933" r:id="rId930" display="enlace"/>
    <hyperlink ref="Z934" r:id="rId931" display="enlace"/>
    <hyperlink ref="Z935" r:id="rId932" display="enlace"/>
    <hyperlink ref="Z936" r:id="rId933" display="enlace"/>
    <hyperlink ref="Z937" r:id="rId934" display="enlace"/>
    <hyperlink ref="Z938" r:id="rId935" display="enlace"/>
    <hyperlink ref="Z939" r:id="rId936" display="enlace"/>
    <hyperlink ref="Z940" r:id="rId937" display="enlace"/>
    <hyperlink ref="Z941" r:id="rId938" display="enlace"/>
    <hyperlink ref="Z942" r:id="rId939" display="enlace"/>
    <hyperlink ref="Z943" r:id="rId940" display="enlace"/>
    <hyperlink ref="Z944" r:id="rId941" display="enlace"/>
    <hyperlink ref="Z945" r:id="rId942" display="enlace"/>
    <hyperlink ref="Z946" r:id="rId943" display="enlace"/>
    <hyperlink ref="Z947" r:id="rId944" display="enlace"/>
    <hyperlink ref="Z948" r:id="rId945" display="enlace"/>
    <hyperlink ref="Z949" r:id="rId946" display="enlace"/>
    <hyperlink ref="Z950" r:id="rId947" display="enlace"/>
    <hyperlink ref="Z951" r:id="rId948" display="enlace"/>
    <hyperlink ref="Z952" r:id="rId949" display="enlace"/>
    <hyperlink ref="Z953" r:id="rId950" display="enlace"/>
    <hyperlink ref="Z954" r:id="rId951" display="enlace"/>
    <hyperlink ref="Z955" r:id="rId952" display="enlace"/>
    <hyperlink ref="Z956" r:id="rId953" display="enlace"/>
    <hyperlink ref="Z957" r:id="rId954" display="enlace"/>
    <hyperlink ref="Z958" r:id="rId955" display="enlace"/>
    <hyperlink ref="Z959" r:id="rId956" display="enlace"/>
    <hyperlink ref="Z960" r:id="rId957" display="enlace"/>
    <hyperlink ref="Z961" r:id="rId958" display="enlace"/>
    <hyperlink ref="Z962" r:id="rId959" display="enlace"/>
    <hyperlink ref="Z963" r:id="rId960" display="enlace"/>
    <hyperlink ref="Z964" r:id="rId961" display="enlace"/>
    <hyperlink ref="Z965" r:id="rId962" display="enlace"/>
    <hyperlink ref="Z966" r:id="rId963" display="enlace"/>
    <hyperlink ref="Z967" r:id="rId964" display="enlace"/>
    <hyperlink ref="Z968" r:id="rId965" display="enlace"/>
    <hyperlink ref="Z969" r:id="rId966" display="enlace"/>
    <hyperlink ref="Z970" r:id="rId967" display="enlace"/>
    <hyperlink ref="Z971" r:id="rId968" display="enlace"/>
    <hyperlink ref="Z972" r:id="rId969" display="enlace"/>
    <hyperlink ref="Z973" r:id="rId970" display="enlace"/>
    <hyperlink ref="Z974" r:id="rId971" display="enlace"/>
    <hyperlink ref="Z975" r:id="rId972" display="enlace"/>
    <hyperlink ref="Z976" r:id="rId973" display="enlace"/>
    <hyperlink ref="Z977" r:id="rId974" display="enlace"/>
    <hyperlink ref="Z978" r:id="rId975" display="enlace"/>
    <hyperlink ref="Z979" r:id="rId976" display="enlace"/>
    <hyperlink ref="Z980" r:id="rId977" display="enlace"/>
    <hyperlink ref="Z981" r:id="rId978" display="enlace"/>
    <hyperlink ref="Z982" r:id="rId979" display="enlace"/>
    <hyperlink ref="Z983" r:id="rId980" display="enlace"/>
    <hyperlink ref="Z984" r:id="rId981" display="enlace"/>
    <hyperlink ref="Z985" r:id="rId982" display="enlace"/>
    <hyperlink ref="Z986" r:id="rId983" display="enlace"/>
    <hyperlink ref="Z987" r:id="rId984" display="enla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985"/>
  <legacyDrawing r:id="rId986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2026-10-21T19:40:17Z</dcterms:created>
  <dc:creator>openpyxl</dc:creator>
  <dc:description/>
  <dc:language>en-US</dc:language>
  <cp:lastModifiedBy/>
  <dcterms:modified xsi:type="dcterms:W3CDTF">2026-10-21T19:40:18Z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